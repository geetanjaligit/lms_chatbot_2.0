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D:\Final year coordinator\"/>
    </mc:Choice>
  </mc:AlternateContent>
  <bookViews>
    <workbookView xWindow="-110" yWindow="-110" windowWidth="23260" windowHeight="12580" firstSheet="2" activeTab="2"/>
  </bookViews>
  <sheets>
    <sheet name="2501_MIS " sheetId="37" state="hidden" r:id="rId1"/>
    <sheet name="Sheet1" sheetId="1" state="hidden" r:id="rId2"/>
    <sheet name="MIS" sheetId="44" r:id="rId3"/>
    <sheet name="Fast Track " sheetId="43" r:id="rId4"/>
    <sheet name="A" sheetId="19" r:id="rId5"/>
    <sheet name="B" sheetId="20" r:id="rId6"/>
    <sheet name="C" sheetId="21" r:id="rId7"/>
    <sheet name="D" sheetId="27" r:id="rId8"/>
    <sheet name="E" sheetId="23" r:id="rId9"/>
    <sheet name="F" sheetId="24" r:id="rId10"/>
    <sheet name="G" sheetId="25" r:id="rId11"/>
    <sheet name="H" sheetId="26" r:id="rId12"/>
    <sheet name="AIML_J" sheetId="16" r:id="rId13"/>
    <sheet name="AIML_K" sheetId="17" r:id="rId14"/>
    <sheet name="AIML_L" sheetId="18" r:id="rId15"/>
    <sheet name="DS_M" sheetId="13" r:id="rId16"/>
    <sheet name="Cyber-O" sheetId="12" r:id="rId17"/>
    <sheet name="New Par" sheetId="42" r:id="rId18"/>
  </sheets>
  <externalReferences>
    <externalReference r:id="rId19"/>
    <externalReference r:id="rId20"/>
    <externalReference r:id="rId21"/>
  </externalReferences>
  <definedNames>
    <definedName name="_xlnm._FilterDatabase" localSheetId="0" hidden="1">'2501_MIS '!$A$1:$O$902</definedName>
    <definedName name="_xlnm._FilterDatabase" localSheetId="4" hidden="1">A!$A$1:$L$59</definedName>
    <definedName name="_xlnm._FilterDatabase" localSheetId="12" hidden="1">AIML_J!$A$1:$M$67</definedName>
    <definedName name="_xlnm._FilterDatabase" localSheetId="13" hidden="1">AIML_K!$A$1:$M$50</definedName>
    <definedName name="_xlnm._FilterDatabase" localSheetId="14" hidden="1">AIML_L!$A$1:$M$50</definedName>
    <definedName name="_xlnm._FilterDatabase" localSheetId="5" hidden="1">B!$A$1:$M$58</definedName>
    <definedName name="_xlnm._FilterDatabase" localSheetId="6" hidden="1">'C'!$A$1:$M$61</definedName>
    <definedName name="_xlnm._FilterDatabase" localSheetId="16" hidden="1">'Cyber-O'!$A$1:$M$48</definedName>
    <definedName name="_xlnm._FilterDatabase" localSheetId="7" hidden="1">D!$A$1:$M$86</definedName>
    <definedName name="_xlnm._FilterDatabase" localSheetId="15" hidden="1">DS_M!$A$1:$M$60</definedName>
    <definedName name="_xlnm._FilterDatabase" localSheetId="8" hidden="1">E!$A$1:$M$59</definedName>
    <definedName name="_xlnm._FilterDatabase" localSheetId="9" hidden="1">F!$A$1:$M$64</definedName>
    <definedName name="_xlnm._FilterDatabase" localSheetId="10" hidden="1">G!$A$1:$M$63</definedName>
    <definedName name="_xlnm._FilterDatabase" localSheetId="11" hidden="1">H!$A$1:$M$61</definedName>
    <definedName name="_xlnm._FilterDatabase" localSheetId="2" hidden="1">MIS!$A$1:$M$889</definedName>
    <definedName name="_xlnm._FilterDatabase" localSheetId="17" hidden="1">'New Par'!$A$1:$L$62</definedName>
    <definedName name="_xlnm._FilterDatabase" localSheetId="1" hidden="1">Sheet1!$A$1:$AA$902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97" i="44" l="1"/>
  <c r="F889" i="44" l="1"/>
  <c r="F888" i="44"/>
  <c r="F887" i="44"/>
  <c r="F886" i="44"/>
  <c r="F885" i="44"/>
  <c r="F884" i="44"/>
  <c r="F883" i="44"/>
  <c r="F882" i="44"/>
  <c r="F881" i="44"/>
  <c r="F880" i="44"/>
  <c r="F879" i="44"/>
  <c r="F878" i="44"/>
  <c r="F877" i="44"/>
  <c r="F876" i="44"/>
  <c r="F875" i="44"/>
  <c r="F874" i="44"/>
  <c r="F873" i="44"/>
  <c r="F872" i="44"/>
  <c r="F871" i="44"/>
  <c r="F870" i="44"/>
  <c r="F869" i="44"/>
  <c r="F868" i="44"/>
  <c r="F867" i="44"/>
  <c r="F866" i="44"/>
  <c r="F865" i="44"/>
  <c r="F864" i="44"/>
  <c r="F863" i="44"/>
  <c r="F862" i="44"/>
  <c r="F861" i="44"/>
  <c r="F860" i="44"/>
  <c r="F859" i="44"/>
  <c r="F858" i="44"/>
  <c r="F857" i="44"/>
  <c r="F856" i="44"/>
  <c r="F855" i="44"/>
  <c r="F854" i="44"/>
  <c r="F853" i="44"/>
  <c r="F852" i="44"/>
  <c r="F851" i="44"/>
  <c r="F850" i="44"/>
  <c r="F849" i="44"/>
  <c r="F848" i="44"/>
  <c r="F847" i="44"/>
  <c r="F846" i="44"/>
  <c r="F845" i="44"/>
  <c r="F844" i="44"/>
  <c r="F843" i="44"/>
  <c r="F842" i="44"/>
  <c r="F841" i="44"/>
  <c r="F840" i="44"/>
  <c r="F839" i="44"/>
  <c r="F838" i="44"/>
  <c r="F837" i="44"/>
  <c r="F836" i="44"/>
  <c r="F835" i="44"/>
  <c r="F834" i="44"/>
  <c r="F833" i="44"/>
  <c r="F832" i="44"/>
  <c r="F831" i="44"/>
  <c r="F830" i="44"/>
  <c r="F829" i="44"/>
  <c r="F828" i="44"/>
  <c r="F827" i="44"/>
  <c r="F826" i="44"/>
  <c r="F825" i="44"/>
  <c r="F824" i="44"/>
  <c r="F823" i="44"/>
  <c r="F822" i="44"/>
  <c r="F821" i="44"/>
  <c r="F820" i="44"/>
  <c r="F819" i="44"/>
  <c r="F818" i="44"/>
  <c r="F817" i="44"/>
  <c r="F816" i="44"/>
  <c r="F815" i="44"/>
  <c r="F814" i="44"/>
  <c r="F813" i="44"/>
  <c r="F812" i="44"/>
  <c r="F811" i="44"/>
  <c r="F810" i="44"/>
  <c r="F809" i="44"/>
  <c r="F808" i="44"/>
  <c r="F807" i="44"/>
  <c r="F806" i="44"/>
  <c r="F805" i="44"/>
  <c r="F804" i="44"/>
  <c r="F803" i="44"/>
  <c r="F802" i="44"/>
  <c r="F801" i="44"/>
  <c r="F800" i="44"/>
  <c r="F799" i="44"/>
  <c r="F798" i="44"/>
  <c r="F797" i="44"/>
  <c r="F796" i="44"/>
  <c r="F795" i="44"/>
  <c r="F794" i="44"/>
  <c r="F793" i="44"/>
  <c r="F792" i="44"/>
  <c r="F791" i="44"/>
  <c r="F790" i="44"/>
  <c r="F789" i="44"/>
  <c r="F788" i="44"/>
  <c r="F787" i="44"/>
  <c r="F786" i="44"/>
  <c r="F785" i="44"/>
  <c r="F784" i="44"/>
  <c r="F783" i="44"/>
  <c r="F782" i="44"/>
  <c r="F781" i="44"/>
  <c r="F780" i="44"/>
  <c r="F779" i="44"/>
  <c r="F778" i="44"/>
  <c r="F777" i="44"/>
  <c r="F776" i="44"/>
  <c r="F775" i="44"/>
  <c r="F774" i="44"/>
  <c r="F773" i="44"/>
  <c r="F772" i="44"/>
  <c r="F771" i="44"/>
  <c r="F770" i="44"/>
  <c r="F769" i="44"/>
  <c r="F768" i="44"/>
  <c r="F767" i="44"/>
  <c r="F766" i="44"/>
  <c r="F765" i="44"/>
  <c r="F764" i="44"/>
  <c r="F763" i="44"/>
  <c r="F762" i="44"/>
  <c r="F761" i="44"/>
  <c r="F760" i="44"/>
  <c r="F759" i="44"/>
  <c r="F758" i="44"/>
  <c r="F757" i="44"/>
  <c r="F756" i="44"/>
  <c r="F755" i="44"/>
  <c r="F754" i="44"/>
  <c r="F753" i="44"/>
  <c r="F752" i="44"/>
  <c r="F751" i="44"/>
  <c r="F750" i="44"/>
  <c r="F749" i="44"/>
  <c r="F748" i="44"/>
  <c r="F747" i="44"/>
  <c r="F746" i="44"/>
  <c r="F745" i="44"/>
  <c r="F744" i="44"/>
  <c r="F743" i="44"/>
  <c r="F742" i="44"/>
  <c r="F741" i="44"/>
  <c r="F740" i="44"/>
  <c r="F739" i="44"/>
  <c r="F738" i="44"/>
  <c r="F737" i="44"/>
  <c r="F736" i="44"/>
  <c r="F735" i="44"/>
  <c r="F734" i="44"/>
  <c r="F733" i="44"/>
  <c r="F732" i="44"/>
  <c r="F731" i="44"/>
  <c r="F730" i="44"/>
  <c r="F729" i="44"/>
  <c r="F728" i="44"/>
  <c r="F727" i="44"/>
  <c r="F726" i="44"/>
  <c r="F725" i="44"/>
  <c r="F724" i="44"/>
  <c r="F723" i="44"/>
  <c r="F722" i="44"/>
  <c r="F721" i="44"/>
  <c r="F720" i="44"/>
  <c r="F719" i="44"/>
  <c r="F718" i="44"/>
  <c r="F717" i="44"/>
  <c r="F716" i="44"/>
  <c r="F715" i="44"/>
  <c r="F714" i="44"/>
  <c r="F713" i="44"/>
  <c r="F712" i="44"/>
  <c r="F711" i="44"/>
  <c r="F710" i="44"/>
  <c r="F709" i="44"/>
  <c r="F708" i="44"/>
  <c r="F707" i="44"/>
  <c r="F706" i="44"/>
  <c r="F705" i="44"/>
  <c r="F704" i="44"/>
  <c r="F703" i="44"/>
  <c r="F702" i="44"/>
  <c r="F701" i="44"/>
  <c r="F700" i="44"/>
  <c r="F699" i="44"/>
  <c r="F698" i="44"/>
  <c r="F697" i="44"/>
  <c r="F696" i="44"/>
  <c r="F695" i="44"/>
  <c r="F694" i="44"/>
  <c r="F693" i="44"/>
  <c r="F692" i="44"/>
  <c r="F691" i="44"/>
  <c r="F690" i="44"/>
  <c r="F689" i="44"/>
  <c r="F688" i="44"/>
  <c r="F687" i="44"/>
  <c r="F686" i="44"/>
  <c r="F685" i="44"/>
  <c r="F684" i="44"/>
  <c r="F683" i="44"/>
  <c r="F682" i="44"/>
  <c r="F681" i="44"/>
  <c r="F680" i="44"/>
  <c r="F679" i="44"/>
  <c r="F678" i="44"/>
  <c r="F677" i="44"/>
  <c r="F676" i="44"/>
  <c r="F675" i="44"/>
  <c r="F674" i="44"/>
  <c r="F673" i="44"/>
  <c r="F672" i="44"/>
  <c r="F671" i="44"/>
  <c r="F670" i="44"/>
  <c r="F669" i="44"/>
  <c r="F668" i="44"/>
  <c r="F667" i="44"/>
  <c r="F666" i="44"/>
  <c r="F665" i="44"/>
  <c r="F664" i="44"/>
  <c r="F663" i="44"/>
  <c r="F662" i="44"/>
  <c r="F661" i="44"/>
  <c r="F660" i="44"/>
  <c r="F659" i="44"/>
  <c r="F658" i="44"/>
  <c r="F657" i="44"/>
  <c r="F656" i="44"/>
  <c r="F655" i="44"/>
  <c r="F654" i="44"/>
  <c r="F653" i="44"/>
  <c r="F652" i="44"/>
  <c r="F651" i="44"/>
  <c r="F650" i="44"/>
  <c r="F649" i="44"/>
  <c r="F648" i="44"/>
  <c r="F647" i="44"/>
  <c r="F646" i="44"/>
  <c r="F645" i="44"/>
  <c r="F644" i="44"/>
  <c r="F643" i="44"/>
  <c r="F642" i="44"/>
  <c r="F641" i="44"/>
  <c r="F640" i="44"/>
  <c r="F639" i="44"/>
  <c r="F638" i="44"/>
  <c r="F637" i="44"/>
  <c r="F636" i="44"/>
  <c r="F635" i="44"/>
  <c r="F634" i="44"/>
  <c r="F633" i="44"/>
  <c r="F632" i="44"/>
  <c r="F631" i="44"/>
  <c r="F630" i="44"/>
  <c r="F629" i="44"/>
  <c r="F628" i="44"/>
  <c r="F627" i="44"/>
  <c r="F626" i="44"/>
  <c r="F625" i="44"/>
  <c r="F624" i="44"/>
  <c r="F623" i="44"/>
  <c r="F622" i="44"/>
  <c r="F621" i="44"/>
  <c r="F620" i="44"/>
  <c r="F619" i="44"/>
  <c r="F618" i="44"/>
  <c r="F617" i="44"/>
  <c r="F616" i="44"/>
  <c r="F615" i="44"/>
  <c r="F614" i="44"/>
  <c r="F613" i="44"/>
  <c r="F612" i="44"/>
  <c r="F611" i="44"/>
  <c r="F610" i="44"/>
  <c r="F609" i="44"/>
  <c r="F608" i="44"/>
  <c r="F607" i="44"/>
  <c r="F606" i="44"/>
  <c r="F605" i="44"/>
  <c r="F604" i="44"/>
  <c r="F603" i="44"/>
  <c r="F602" i="44"/>
  <c r="F601" i="44"/>
  <c r="F600" i="44"/>
  <c r="F599" i="44"/>
  <c r="F598" i="44"/>
  <c r="F595" i="44"/>
  <c r="F594" i="44"/>
  <c r="F593" i="44"/>
  <c r="F592" i="44"/>
  <c r="F591" i="44"/>
  <c r="F590" i="44"/>
  <c r="F589" i="44"/>
  <c r="F588" i="44"/>
  <c r="F587" i="44"/>
  <c r="F586" i="44"/>
  <c r="F585" i="44"/>
  <c r="F584" i="44"/>
  <c r="F583" i="44"/>
  <c r="F582" i="44"/>
  <c r="F581" i="44"/>
  <c r="F580" i="44"/>
  <c r="F579" i="44"/>
  <c r="F578" i="44"/>
  <c r="F577" i="44"/>
  <c r="F576" i="44"/>
  <c r="F575" i="44"/>
  <c r="F574" i="44"/>
  <c r="F573" i="44"/>
  <c r="F572" i="44"/>
  <c r="F571" i="44"/>
  <c r="F570" i="44"/>
  <c r="F569" i="44"/>
  <c r="F568" i="44"/>
  <c r="F567" i="44"/>
  <c r="F566" i="44"/>
  <c r="F565" i="44"/>
  <c r="F564" i="44"/>
  <c r="F563" i="44"/>
  <c r="F562" i="44"/>
  <c r="F561" i="44"/>
  <c r="F560" i="44"/>
  <c r="F559" i="44"/>
  <c r="F558" i="44"/>
  <c r="F557" i="44"/>
  <c r="F556" i="44"/>
  <c r="F555" i="44"/>
  <c r="F554" i="44"/>
  <c r="F553" i="44"/>
  <c r="F552" i="44"/>
  <c r="F551" i="44"/>
  <c r="F550" i="44"/>
  <c r="F549" i="44"/>
  <c r="F548" i="44"/>
  <c r="F547" i="44"/>
  <c r="F546" i="44"/>
  <c r="F545" i="44"/>
  <c r="F544" i="44"/>
  <c r="F543" i="44"/>
  <c r="F542" i="44"/>
  <c r="F541" i="44"/>
  <c r="F540" i="44"/>
  <c r="F539" i="44"/>
  <c r="F538" i="44"/>
  <c r="F537" i="44"/>
  <c r="F536" i="44"/>
  <c r="F535" i="44"/>
  <c r="F534" i="44"/>
  <c r="F533" i="44"/>
  <c r="F532" i="44"/>
  <c r="F531" i="44"/>
  <c r="F530" i="44"/>
  <c r="F529" i="44"/>
  <c r="F528" i="44"/>
  <c r="F527" i="44"/>
  <c r="I526" i="44"/>
  <c r="I525" i="44"/>
  <c r="I524" i="44"/>
  <c r="I523" i="44"/>
  <c r="I522" i="44"/>
  <c r="I521" i="44"/>
  <c r="I520" i="44"/>
  <c r="I519" i="44"/>
  <c r="I518" i="44"/>
  <c r="I517" i="44"/>
  <c r="I516" i="44"/>
  <c r="I515" i="44"/>
  <c r="I514" i="44"/>
  <c r="I513" i="44"/>
  <c r="I512" i="44"/>
  <c r="I511" i="44"/>
  <c r="I510" i="44"/>
  <c r="I509" i="44"/>
  <c r="F509" i="44"/>
  <c r="I508" i="44"/>
  <c r="F508" i="44"/>
  <c r="I507" i="44"/>
  <c r="F507" i="44"/>
  <c r="I506" i="44"/>
  <c r="F506" i="44"/>
  <c r="I505" i="44"/>
  <c r="F505" i="44"/>
  <c r="I504" i="44"/>
  <c r="F504" i="44"/>
  <c r="I503" i="44"/>
  <c r="F503" i="44"/>
  <c r="I502" i="44"/>
  <c r="F502" i="44"/>
  <c r="I501" i="44"/>
  <c r="F501" i="44"/>
  <c r="I500" i="44"/>
  <c r="F500" i="44"/>
  <c r="I499" i="44"/>
  <c r="F499" i="44"/>
  <c r="I498" i="44"/>
  <c r="F498" i="44"/>
  <c r="I497" i="44"/>
  <c r="F497" i="44"/>
  <c r="I496" i="44"/>
  <c r="F496" i="44"/>
  <c r="I495" i="44"/>
  <c r="F495" i="44"/>
  <c r="I494" i="44"/>
  <c r="F494" i="44"/>
  <c r="I493" i="44"/>
  <c r="F493" i="44"/>
  <c r="I492" i="44"/>
  <c r="F492" i="44"/>
  <c r="I491" i="44"/>
  <c r="F491" i="44"/>
  <c r="I490" i="44"/>
  <c r="F490" i="44"/>
  <c r="I489" i="44"/>
  <c r="F489" i="44"/>
  <c r="I488" i="44"/>
  <c r="F488" i="44"/>
  <c r="I487" i="44"/>
  <c r="F487" i="44"/>
  <c r="I486" i="44"/>
  <c r="F486" i="44"/>
  <c r="I485" i="44"/>
  <c r="F485" i="44"/>
  <c r="I484" i="44"/>
  <c r="F484" i="44"/>
  <c r="I483" i="44"/>
  <c r="F483" i="44"/>
  <c r="I482" i="44"/>
  <c r="F482" i="44"/>
  <c r="I481" i="44"/>
  <c r="F481" i="44"/>
  <c r="I480" i="44"/>
  <c r="F480" i="44"/>
  <c r="I479" i="44"/>
  <c r="F479" i="44"/>
  <c r="I478" i="44"/>
  <c r="F478" i="44"/>
  <c r="I477" i="44"/>
  <c r="F477" i="44"/>
  <c r="I476" i="44"/>
  <c r="F476" i="44"/>
  <c r="I475" i="44"/>
  <c r="F475" i="44"/>
  <c r="I474" i="44"/>
  <c r="F474" i="44"/>
  <c r="I473" i="44"/>
  <c r="F473" i="44"/>
  <c r="I472" i="44"/>
  <c r="F472" i="44"/>
  <c r="I471" i="44"/>
  <c r="F471" i="44"/>
  <c r="I470" i="44"/>
  <c r="F470" i="44"/>
  <c r="I469" i="44"/>
  <c r="F469" i="44"/>
  <c r="I468" i="44"/>
  <c r="F468" i="44"/>
  <c r="I467" i="44"/>
  <c r="F467" i="44"/>
  <c r="I466" i="44"/>
  <c r="F466" i="44"/>
  <c r="I465" i="44"/>
  <c r="F465" i="44"/>
  <c r="F464" i="44"/>
  <c r="I463" i="44"/>
  <c r="F463" i="44"/>
  <c r="I462" i="44"/>
  <c r="F462" i="44"/>
  <c r="I461" i="44"/>
  <c r="F461" i="44"/>
  <c r="I460" i="44"/>
  <c r="F460" i="44"/>
  <c r="I459" i="44"/>
  <c r="F459" i="44"/>
  <c r="I458" i="44"/>
  <c r="F458" i="44"/>
  <c r="I457" i="44"/>
  <c r="F457" i="44"/>
  <c r="I456" i="44"/>
  <c r="F456" i="44"/>
  <c r="I455" i="44"/>
  <c r="F455" i="44"/>
  <c r="I454" i="44"/>
  <c r="F454" i="44"/>
  <c r="I453" i="44"/>
  <c r="F453" i="44"/>
  <c r="I452" i="44"/>
  <c r="F452" i="44"/>
  <c r="I451" i="44"/>
  <c r="F451" i="44"/>
  <c r="I450" i="44"/>
  <c r="F450" i="44"/>
  <c r="I449" i="44"/>
  <c r="F449" i="44"/>
  <c r="I448" i="44"/>
  <c r="F448" i="44"/>
  <c r="I447" i="44"/>
  <c r="F447" i="44"/>
  <c r="I446" i="44"/>
  <c r="F446" i="44"/>
  <c r="I445" i="44"/>
  <c r="F445" i="44"/>
  <c r="I444" i="44"/>
  <c r="F444" i="44"/>
  <c r="I443" i="44"/>
  <c r="F443" i="44"/>
  <c r="I442" i="44"/>
  <c r="F442" i="44"/>
  <c r="I441" i="44"/>
  <c r="F441" i="44"/>
  <c r="I440" i="44"/>
  <c r="F440" i="44"/>
  <c r="I439" i="44"/>
  <c r="F439" i="44"/>
  <c r="I438" i="44"/>
  <c r="F438" i="44"/>
  <c r="I437" i="44"/>
  <c r="F437" i="44"/>
  <c r="I436" i="44"/>
  <c r="F436" i="44"/>
  <c r="I435" i="44"/>
  <c r="F435" i="44"/>
  <c r="I434" i="44"/>
  <c r="F434" i="44"/>
  <c r="I433" i="44"/>
  <c r="F433" i="44"/>
  <c r="I432" i="44"/>
  <c r="F432" i="44"/>
  <c r="I431" i="44"/>
  <c r="F431" i="44"/>
  <c r="I430" i="44"/>
  <c r="F430" i="44"/>
  <c r="I429" i="44"/>
  <c r="F429" i="44"/>
  <c r="I428" i="44"/>
  <c r="F428" i="44"/>
  <c r="I427" i="44"/>
  <c r="F427" i="44"/>
  <c r="I426" i="44"/>
  <c r="F426" i="44"/>
  <c r="I425" i="44"/>
  <c r="F425" i="44"/>
  <c r="I424" i="44"/>
  <c r="F424" i="44"/>
  <c r="I423" i="44"/>
  <c r="F423" i="44"/>
  <c r="I422" i="44"/>
  <c r="F422" i="44"/>
  <c r="I421" i="44"/>
  <c r="F421" i="44"/>
  <c r="I420" i="44"/>
  <c r="F420" i="44"/>
  <c r="I419" i="44"/>
  <c r="F419" i="44"/>
  <c r="I418" i="44"/>
  <c r="F418" i="44"/>
  <c r="I417" i="44"/>
  <c r="F417" i="44"/>
  <c r="I416" i="44"/>
  <c r="F416" i="44"/>
  <c r="I415" i="44"/>
  <c r="F415" i="44"/>
  <c r="I414" i="44"/>
  <c r="F414" i="44"/>
  <c r="I413" i="44"/>
  <c r="F413" i="44"/>
  <c r="I412" i="44"/>
  <c r="F412" i="44"/>
  <c r="I411" i="44"/>
  <c r="F411" i="44"/>
  <c r="I410" i="44"/>
  <c r="F410" i="44"/>
  <c r="I409" i="44"/>
  <c r="F409" i="44"/>
  <c r="I408" i="44"/>
  <c r="F408" i="44"/>
  <c r="I407" i="44"/>
  <c r="F407" i="44"/>
  <c r="I406" i="44"/>
  <c r="F406" i="44"/>
  <c r="I405" i="44"/>
  <c r="F405" i="44"/>
  <c r="I404" i="44"/>
  <c r="F404" i="44"/>
  <c r="I403" i="44"/>
  <c r="F403" i="44"/>
  <c r="I402" i="44"/>
  <c r="F402" i="44"/>
  <c r="I401" i="44"/>
  <c r="F401" i="44"/>
  <c r="I400" i="44"/>
  <c r="F400" i="44"/>
  <c r="I399" i="44"/>
  <c r="F399" i="44"/>
  <c r="I398" i="44"/>
  <c r="F398" i="44"/>
  <c r="I397" i="44"/>
  <c r="F397" i="44"/>
  <c r="I396" i="44"/>
  <c r="F396" i="44"/>
  <c r="I395" i="44"/>
  <c r="F395" i="44"/>
  <c r="I394" i="44"/>
  <c r="F394" i="44"/>
  <c r="I393" i="44"/>
  <c r="F393" i="44"/>
  <c r="I392" i="44"/>
  <c r="F392" i="44"/>
  <c r="I391" i="44"/>
  <c r="F391" i="44"/>
  <c r="I390" i="44"/>
  <c r="F390" i="44"/>
  <c r="I389" i="44"/>
  <c r="F389" i="44"/>
  <c r="I388" i="44"/>
  <c r="F388" i="44"/>
  <c r="I387" i="44"/>
  <c r="F387" i="44"/>
  <c r="I386" i="44"/>
  <c r="F386" i="44"/>
  <c r="I385" i="44"/>
  <c r="F385" i="44"/>
  <c r="I384" i="44"/>
  <c r="F384" i="44"/>
  <c r="I383" i="44"/>
  <c r="F383" i="44"/>
  <c r="I382" i="44"/>
  <c r="F382" i="44"/>
  <c r="I381" i="44"/>
  <c r="F381" i="44"/>
  <c r="I380" i="44"/>
  <c r="F380" i="44"/>
  <c r="I379" i="44"/>
  <c r="F379" i="44"/>
  <c r="I378" i="44"/>
  <c r="F378" i="44"/>
  <c r="I377" i="44"/>
  <c r="F377" i="44"/>
  <c r="I376" i="44"/>
  <c r="F376" i="44"/>
  <c r="I375" i="44"/>
  <c r="F375" i="44"/>
  <c r="I374" i="44"/>
  <c r="F374" i="44"/>
  <c r="I373" i="44"/>
  <c r="F373" i="44"/>
  <c r="I372" i="44"/>
  <c r="F372" i="44"/>
  <c r="I371" i="44"/>
  <c r="F371" i="44"/>
  <c r="I370" i="44"/>
  <c r="F370" i="44"/>
  <c r="I369" i="44"/>
  <c r="F369" i="44"/>
  <c r="I368" i="44"/>
  <c r="F368" i="44"/>
  <c r="I367" i="44"/>
  <c r="F367" i="44"/>
  <c r="I366" i="44"/>
  <c r="F366" i="44"/>
  <c r="I365" i="44"/>
  <c r="F365" i="44"/>
  <c r="I364" i="44"/>
  <c r="F364" i="44"/>
  <c r="I363" i="44"/>
  <c r="F363" i="44"/>
  <c r="I362" i="44"/>
  <c r="F362" i="44"/>
  <c r="I361" i="44"/>
  <c r="F361" i="44"/>
  <c r="I360" i="44"/>
  <c r="F360" i="44"/>
  <c r="I359" i="44"/>
  <c r="F359" i="44"/>
  <c r="I358" i="44"/>
  <c r="F358" i="44"/>
  <c r="I357" i="44"/>
  <c r="F357" i="44"/>
  <c r="I356" i="44"/>
  <c r="F356" i="44"/>
  <c r="I355" i="44"/>
  <c r="F355" i="44"/>
  <c r="I354" i="44"/>
  <c r="F354" i="44"/>
  <c r="I353" i="44"/>
  <c r="F353" i="44"/>
  <c r="I352" i="44"/>
  <c r="F352" i="44"/>
  <c r="I351" i="44"/>
  <c r="F351" i="44"/>
  <c r="I350" i="44"/>
  <c r="F350" i="44"/>
  <c r="I349" i="44"/>
  <c r="F349" i="44"/>
  <c r="I348" i="44"/>
  <c r="F348" i="44"/>
  <c r="I347" i="44"/>
  <c r="F347" i="44"/>
  <c r="I346" i="44"/>
  <c r="F346" i="44"/>
  <c r="I345" i="44"/>
  <c r="F345" i="44"/>
  <c r="I344" i="44"/>
  <c r="F344" i="44"/>
  <c r="I343" i="44"/>
  <c r="F343" i="44"/>
  <c r="I342" i="44"/>
  <c r="F342" i="44"/>
  <c r="I341" i="44"/>
  <c r="F341" i="44"/>
  <c r="F340" i="44"/>
  <c r="F339" i="44"/>
  <c r="F338" i="44"/>
  <c r="F337" i="44"/>
  <c r="F336" i="44"/>
  <c r="F335" i="44"/>
  <c r="F334" i="44"/>
  <c r="J333" i="44"/>
  <c r="I333" i="44"/>
  <c r="F333" i="44"/>
  <c r="J332" i="44"/>
  <c r="I332" i="44"/>
  <c r="F332" i="44"/>
  <c r="J331" i="44"/>
  <c r="I331" i="44"/>
  <c r="F331" i="44"/>
  <c r="J330" i="44"/>
  <c r="I330" i="44"/>
  <c r="F330" i="44"/>
  <c r="J329" i="44"/>
  <c r="I329" i="44"/>
  <c r="F329" i="44"/>
  <c r="J328" i="44"/>
  <c r="I328" i="44"/>
  <c r="F328" i="44"/>
  <c r="J327" i="44"/>
  <c r="I327" i="44"/>
  <c r="F327" i="44"/>
  <c r="J326" i="44"/>
  <c r="I326" i="44"/>
  <c r="F326" i="44"/>
  <c r="J325" i="44"/>
  <c r="I325" i="44"/>
  <c r="F325" i="44"/>
  <c r="J324" i="44"/>
  <c r="I324" i="44"/>
  <c r="F324" i="44"/>
  <c r="J323" i="44"/>
  <c r="I323" i="44"/>
  <c r="F323" i="44"/>
  <c r="J322" i="44"/>
  <c r="I322" i="44"/>
  <c r="F322" i="44"/>
  <c r="J321" i="44"/>
  <c r="I321" i="44"/>
  <c r="F321" i="44"/>
  <c r="J320" i="44"/>
  <c r="I320" i="44"/>
  <c r="F320" i="44"/>
  <c r="J319" i="44"/>
  <c r="I319" i="44"/>
  <c r="F319" i="44"/>
  <c r="J318" i="44"/>
  <c r="I318" i="44"/>
  <c r="F318" i="44"/>
  <c r="J317" i="44"/>
  <c r="I317" i="44"/>
  <c r="F317" i="44"/>
  <c r="J316" i="44"/>
  <c r="I316" i="44"/>
  <c r="F316" i="44"/>
  <c r="J315" i="44"/>
  <c r="I315" i="44"/>
  <c r="F315" i="44"/>
  <c r="J314" i="44"/>
  <c r="I314" i="44"/>
  <c r="F314" i="44"/>
  <c r="J313" i="44"/>
  <c r="I313" i="44"/>
  <c r="F313" i="44"/>
  <c r="J312" i="44"/>
  <c r="I312" i="44"/>
  <c r="F312" i="44"/>
  <c r="J311" i="44"/>
  <c r="I311" i="44"/>
  <c r="F311" i="44"/>
  <c r="J310" i="44"/>
  <c r="I310" i="44"/>
  <c r="F310" i="44"/>
  <c r="J309" i="44"/>
  <c r="I309" i="44"/>
  <c r="F309" i="44"/>
  <c r="J308" i="44"/>
  <c r="I308" i="44"/>
  <c r="F308" i="44"/>
  <c r="J307" i="44"/>
  <c r="I307" i="44"/>
  <c r="F307" i="44"/>
  <c r="J306" i="44"/>
  <c r="I306" i="44"/>
  <c r="F306" i="44"/>
  <c r="J305" i="44"/>
  <c r="I305" i="44"/>
  <c r="F305" i="44"/>
  <c r="J304" i="44"/>
  <c r="I304" i="44"/>
  <c r="F304" i="44"/>
  <c r="J303" i="44"/>
  <c r="I303" i="44"/>
  <c r="F303" i="44"/>
  <c r="J302" i="44"/>
  <c r="I302" i="44"/>
  <c r="F302" i="44"/>
  <c r="J301" i="44"/>
  <c r="I301" i="44"/>
  <c r="F301" i="44"/>
  <c r="J300" i="44"/>
  <c r="I300" i="44"/>
  <c r="F300" i="44"/>
  <c r="J299" i="44"/>
  <c r="I299" i="44"/>
  <c r="F299" i="44"/>
  <c r="J298" i="44"/>
  <c r="I298" i="44"/>
  <c r="F298" i="44"/>
  <c r="J297" i="44"/>
  <c r="I297" i="44"/>
  <c r="F297" i="44"/>
  <c r="J296" i="44"/>
  <c r="I296" i="44"/>
  <c r="F296" i="44"/>
  <c r="J295" i="44"/>
  <c r="I295" i="44"/>
  <c r="F295" i="44"/>
  <c r="J294" i="44"/>
  <c r="I294" i="44"/>
  <c r="F294" i="44"/>
  <c r="J293" i="44"/>
  <c r="I293" i="44"/>
  <c r="F293" i="44"/>
  <c r="J292" i="44"/>
  <c r="I292" i="44"/>
  <c r="F292" i="44"/>
  <c r="J291" i="44"/>
  <c r="I291" i="44"/>
  <c r="F291" i="44"/>
  <c r="J290" i="44"/>
  <c r="I290" i="44"/>
  <c r="F290" i="44"/>
  <c r="J289" i="44"/>
  <c r="I289" i="44"/>
  <c r="F289" i="44"/>
  <c r="J288" i="44"/>
  <c r="I288" i="44"/>
  <c r="F288" i="44"/>
  <c r="J287" i="44"/>
  <c r="I287" i="44"/>
  <c r="F287" i="44"/>
  <c r="J286" i="44"/>
  <c r="I286" i="44"/>
  <c r="F286" i="44"/>
  <c r="J285" i="44"/>
  <c r="I285" i="44"/>
  <c r="F285" i="44"/>
  <c r="J284" i="44"/>
  <c r="I284" i="44"/>
  <c r="F284" i="44"/>
  <c r="J283" i="44"/>
  <c r="I283" i="44"/>
  <c r="F283" i="44"/>
  <c r="J282" i="44"/>
  <c r="I282" i="44"/>
  <c r="F282" i="44"/>
  <c r="J281" i="44"/>
  <c r="I281" i="44"/>
  <c r="F281" i="44"/>
  <c r="J280" i="44"/>
  <c r="I280" i="44"/>
  <c r="F280" i="44"/>
  <c r="J279" i="44"/>
  <c r="I279" i="44"/>
  <c r="F279" i="44"/>
  <c r="J278" i="44"/>
  <c r="I278" i="44"/>
  <c r="F278" i="44"/>
  <c r="J277" i="44"/>
  <c r="I277" i="44"/>
  <c r="F277" i="44"/>
  <c r="J276" i="44"/>
  <c r="I276" i="44"/>
  <c r="F276" i="44"/>
  <c r="F275" i="44"/>
  <c r="F274" i="44"/>
  <c r="F273" i="44"/>
  <c r="F272" i="44"/>
  <c r="F271" i="44"/>
  <c r="F270" i="44"/>
  <c r="F269" i="44"/>
  <c r="F268" i="44"/>
  <c r="F267" i="44"/>
  <c r="F266" i="44"/>
  <c r="F265" i="44"/>
  <c r="F264" i="44"/>
  <c r="F263" i="44"/>
  <c r="F262" i="44"/>
  <c r="F261" i="44"/>
  <c r="F260" i="44"/>
  <c r="F259" i="44"/>
  <c r="F258" i="44"/>
  <c r="F257" i="44"/>
  <c r="F256" i="44"/>
  <c r="F255" i="44"/>
  <c r="F254" i="44"/>
  <c r="I253" i="44"/>
  <c r="F253" i="44"/>
  <c r="I252" i="44"/>
  <c r="F252" i="44"/>
  <c r="I251" i="44"/>
  <c r="F251" i="44"/>
  <c r="I250" i="44"/>
  <c r="F250" i="44"/>
  <c r="I249" i="44"/>
  <c r="F249" i="44"/>
  <c r="I248" i="44"/>
  <c r="F248" i="44"/>
  <c r="I247" i="44"/>
  <c r="F247" i="44"/>
  <c r="I246" i="44"/>
  <c r="F246" i="44"/>
  <c r="I245" i="44"/>
  <c r="F245" i="44"/>
  <c r="I244" i="44"/>
  <c r="F244" i="44"/>
  <c r="I243" i="44"/>
  <c r="F243" i="44"/>
  <c r="I242" i="44"/>
  <c r="F242" i="44"/>
  <c r="I241" i="44"/>
  <c r="F241" i="44"/>
  <c r="I240" i="44"/>
  <c r="F240" i="44"/>
  <c r="I239" i="44"/>
  <c r="F239" i="44"/>
  <c r="I238" i="44"/>
  <c r="F238" i="44"/>
  <c r="I237" i="44"/>
  <c r="F237" i="44"/>
  <c r="I236" i="44"/>
  <c r="F236" i="44"/>
  <c r="I235" i="44"/>
  <c r="F235" i="44"/>
  <c r="I234" i="44"/>
  <c r="F234" i="44"/>
  <c r="I233" i="44"/>
  <c r="F233" i="44"/>
  <c r="I232" i="44"/>
  <c r="F232" i="44"/>
  <c r="I231" i="44"/>
  <c r="F231" i="44"/>
  <c r="I230" i="44"/>
  <c r="F230" i="44"/>
  <c r="I229" i="44"/>
  <c r="F229" i="44"/>
  <c r="I228" i="44"/>
  <c r="F228" i="44"/>
  <c r="I227" i="44"/>
  <c r="F227" i="44"/>
  <c r="I226" i="44"/>
  <c r="F226" i="44"/>
  <c r="I225" i="44"/>
  <c r="F225" i="44"/>
  <c r="I224" i="44"/>
  <c r="F224" i="44"/>
  <c r="I223" i="44"/>
  <c r="F223" i="44"/>
  <c r="I222" i="44"/>
  <c r="F222" i="44"/>
  <c r="I221" i="44"/>
  <c r="F221" i="44"/>
  <c r="I220" i="44"/>
  <c r="F220" i="44"/>
  <c r="I219" i="44"/>
  <c r="F219" i="44"/>
  <c r="I218" i="44"/>
  <c r="F218" i="44"/>
  <c r="I217" i="44"/>
  <c r="F217" i="44"/>
  <c r="I216" i="44"/>
  <c r="F216" i="44"/>
  <c r="I215" i="44"/>
  <c r="F215" i="44"/>
  <c r="I214" i="44"/>
  <c r="F214" i="44"/>
  <c r="I213" i="44"/>
  <c r="F213" i="44"/>
  <c r="I212" i="44"/>
  <c r="F212" i="44"/>
  <c r="I211" i="44"/>
  <c r="F211" i="44"/>
  <c r="I210" i="44"/>
  <c r="F210" i="44"/>
  <c r="I209" i="44"/>
  <c r="F209" i="44"/>
  <c r="I208" i="44"/>
  <c r="F208" i="44"/>
  <c r="I207" i="44"/>
  <c r="F207" i="44"/>
  <c r="I206" i="44"/>
  <c r="F206" i="44"/>
  <c r="I205" i="44"/>
  <c r="F205" i="44"/>
  <c r="I204" i="44"/>
  <c r="F204" i="44"/>
  <c r="I203" i="44"/>
  <c r="F203" i="44"/>
  <c r="I202" i="44"/>
  <c r="F202" i="44"/>
  <c r="I201" i="44"/>
  <c r="F201" i="44"/>
  <c r="I200" i="44"/>
  <c r="F200" i="44"/>
  <c r="I199" i="44"/>
  <c r="F199" i="44"/>
  <c r="I198" i="44"/>
  <c r="F198" i="44"/>
  <c r="I197" i="44"/>
  <c r="F197" i="44"/>
  <c r="I196" i="44"/>
  <c r="F196" i="44"/>
  <c r="I195" i="44"/>
  <c r="F195" i="44"/>
  <c r="I194" i="44"/>
  <c r="F194" i="44"/>
  <c r="I193" i="44"/>
  <c r="F193" i="44"/>
  <c r="I192" i="44"/>
  <c r="F192" i="44"/>
  <c r="I191" i="44"/>
  <c r="F191" i="44"/>
  <c r="I190" i="44"/>
  <c r="F190" i="44"/>
  <c r="I189" i="44"/>
  <c r="F189" i="44"/>
  <c r="I188" i="44"/>
  <c r="F188" i="44"/>
  <c r="I187" i="44"/>
  <c r="F187" i="44"/>
  <c r="I186" i="44"/>
  <c r="F186" i="44"/>
  <c r="I185" i="44"/>
  <c r="F185" i="44"/>
  <c r="I184" i="44"/>
  <c r="F184" i="44"/>
  <c r="I183" i="44"/>
  <c r="F183" i="44"/>
  <c r="I182" i="44"/>
  <c r="F182" i="44"/>
  <c r="I181" i="44"/>
  <c r="F181" i="44"/>
  <c r="I180" i="44"/>
  <c r="F180" i="44"/>
  <c r="I179" i="44"/>
  <c r="F179" i="44"/>
  <c r="I178" i="44"/>
  <c r="F178" i="44"/>
  <c r="I177" i="44"/>
  <c r="F177" i="44"/>
  <c r="I176" i="44"/>
  <c r="F176" i="44"/>
  <c r="I175" i="44"/>
  <c r="F175" i="44"/>
  <c r="I174" i="44"/>
  <c r="F174" i="44"/>
  <c r="I173" i="44"/>
  <c r="F173" i="44"/>
  <c r="I172" i="44"/>
  <c r="F172" i="44"/>
  <c r="I171" i="44"/>
  <c r="F171" i="44"/>
  <c r="I170" i="44"/>
  <c r="F170" i="44"/>
  <c r="I169" i="44"/>
  <c r="F169" i="44"/>
  <c r="I168" i="44"/>
  <c r="F168" i="44"/>
  <c r="I167" i="44"/>
  <c r="F167" i="44"/>
  <c r="I166" i="44"/>
  <c r="F166" i="44"/>
  <c r="I165" i="44"/>
  <c r="F165" i="44"/>
  <c r="I164" i="44"/>
  <c r="F164" i="44"/>
  <c r="I163" i="44"/>
  <c r="F163" i="44"/>
  <c r="I162" i="44"/>
  <c r="F162" i="44"/>
  <c r="I161" i="44"/>
  <c r="F161" i="44"/>
  <c r="I160" i="44"/>
  <c r="F160" i="44"/>
  <c r="I159" i="44"/>
  <c r="F159" i="44"/>
  <c r="I158" i="44"/>
  <c r="F158" i="44"/>
  <c r="I157" i="44"/>
  <c r="F157" i="44"/>
  <c r="I156" i="44"/>
  <c r="F156" i="44"/>
  <c r="I155" i="44"/>
  <c r="F155" i="44"/>
  <c r="I154" i="44"/>
  <c r="F154" i="44"/>
  <c r="I153" i="44"/>
  <c r="F153" i="44"/>
  <c r="I152" i="44"/>
  <c r="F152" i="44"/>
  <c r="I151" i="44"/>
  <c r="F151" i="44"/>
  <c r="I150" i="44"/>
  <c r="F150" i="44"/>
  <c r="I149" i="44"/>
  <c r="F149" i="44"/>
  <c r="I148" i="44"/>
  <c r="F148" i="44"/>
  <c r="I147" i="44"/>
  <c r="F147" i="44"/>
  <c r="I146" i="44"/>
  <c r="F146" i="44"/>
  <c r="I145" i="44"/>
  <c r="F145" i="44"/>
  <c r="I144" i="44"/>
  <c r="F144" i="44"/>
  <c r="I143" i="44"/>
  <c r="F143" i="44"/>
  <c r="I142" i="44"/>
  <c r="F142" i="44"/>
  <c r="I141" i="44"/>
  <c r="F141" i="44"/>
  <c r="I140" i="44"/>
  <c r="F140" i="44"/>
  <c r="I139" i="44"/>
  <c r="F139" i="44"/>
  <c r="I138" i="44"/>
  <c r="F138" i="44"/>
  <c r="I137" i="44"/>
  <c r="F137" i="44"/>
  <c r="I136" i="44"/>
  <c r="F136" i="44"/>
  <c r="I135" i="44"/>
  <c r="F135" i="44"/>
  <c r="I134" i="44"/>
  <c r="F134" i="44"/>
  <c r="I133" i="44"/>
  <c r="F133" i="44"/>
  <c r="I132" i="44"/>
  <c r="F132" i="44"/>
  <c r="I131" i="44"/>
  <c r="F131" i="44"/>
  <c r="I130" i="44"/>
  <c r="F130" i="44"/>
  <c r="F129" i="44"/>
  <c r="F128" i="44"/>
  <c r="F127" i="44"/>
  <c r="F126" i="44"/>
  <c r="F125" i="44"/>
  <c r="F124" i="44"/>
  <c r="F123" i="44"/>
  <c r="I122" i="44"/>
  <c r="F122" i="44"/>
  <c r="I121" i="44"/>
  <c r="F121" i="44"/>
  <c r="I120" i="44"/>
  <c r="F120" i="44"/>
  <c r="I119" i="44"/>
  <c r="F119" i="44"/>
  <c r="I118" i="44"/>
  <c r="F118" i="44"/>
  <c r="I117" i="44"/>
  <c r="F117" i="44"/>
  <c r="I116" i="44"/>
  <c r="F116" i="44"/>
  <c r="I115" i="44"/>
  <c r="F115" i="44"/>
  <c r="I114" i="44"/>
  <c r="F114" i="44"/>
  <c r="I113" i="44"/>
  <c r="F113" i="44"/>
  <c r="I112" i="44"/>
  <c r="F112" i="44"/>
  <c r="I111" i="44"/>
  <c r="F111" i="44"/>
  <c r="I110" i="44"/>
  <c r="F110" i="44"/>
  <c r="I109" i="44"/>
  <c r="F109" i="44"/>
  <c r="I108" i="44"/>
  <c r="F108" i="44"/>
  <c r="I107" i="44"/>
  <c r="F107" i="44"/>
  <c r="I106" i="44"/>
  <c r="F106" i="44"/>
  <c r="I105" i="44"/>
  <c r="F105" i="44"/>
  <c r="I104" i="44"/>
  <c r="F104" i="44"/>
  <c r="I103" i="44"/>
  <c r="F103" i="44"/>
  <c r="I102" i="44"/>
  <c r="F102" i="44"/>
  <c r="I101" i="44"/>
  <c r="F101" i="44"/>
  <c r="I100" i="44"/>
  <c r="F100" i="44"/>
  <c r="I99" i="44"/>
  <c r="F99" i="44"/>
  <c r="I98" i="44"/>
  <c r="F98" i="44"/>
  <c r="I97" i="44"/>
  <c r="F97" i="44"/>
  <c r="I96" i="44"/>
  <c r="F96" i="44"/>
  <c r="I95" i="44"/>
  <c r="F95" i="44"/>
  <c r="I94" i="44"/>
  <c r="F94" i="44"/>
  <c r="I93" i="44"/>
  <c r="F93" i="44"/>
  <c r="I92" i="44"/>
  <c r="F92" i="44"/>
  <c r="I91" i="44"/>
  <c r="F91" i="44"/>
  <c r="I90" i="44"/>
  <c r="F90" i="44"/>
  <c r="I89" i="44"/>
  <c r="F89" i="44"/>
  <c r="I88" i="44"/>
  <c r="F88" i="44"/>
  <c r="I87" i="44"/>
  <c r="F87" i="44"/>
  <c r="I86" i="44"/>
  <c r="F86" i="44"/>
  <c r="I85" i="44"/>
  <c r="F85" i="44"/>
  <c r="I84" i="44"/>
  <c r="F84" i="44"/>
  <c r="I83" i="44"/>
  <c r="F83" i="44"/>
  <c r="I82" i="44"/>
  <c r="F82" i="44"/>
  <c r="I81" i="44"/>
  <c r="F81" i="44"/>
  <c r="I80" i="44"/>
  <c r="F80" i="44"/>
  <c r="I79" i="44"/>
  <c r="F79" i="44"/>
  <c r="I78" i="44"/>
  <c r="F78" i="44"/>
  <c r="I77" i="44"/>
  <c r="F77" i="44"/>
  <c r="I76" i="44"/>
  <c r="F76" i="44"/>
  <c r="I75" i="44"/>
  <c r="F75" i="44"/>
  <c r="I74" i="44"/>
  <c r="F74" i="44"/>
  <c r="I73" i="44"/>
  <c r="F73" i="44"/>
  <c r="I72" i="44"/>
  <c r="F72" i="44"/>
  <c r="I71" i="44"/>
  <c r="F71" i="44"/>
  <c r="I70" i="44"/>
  <c r="F70" i="44"/>
  <c r="I69" i="44"/>
  <c r="F69" i="44"/>
  <c r="I68" i="44"/>
  <c r="F68" i="44"/>
  <c r="I67" i="44"/>
  <c r="F67" i="44"/>
  <c r="I66" i="44"/>
  <c r="F66" i="44"/>
  <c r="F65" i="44"/>
  <c r="F64" i="44"/>
  <c r="F63" i="44"/>
  <c r="F62" i="44"/>
  <c r="F61" i="44"/>
  <c r="F60" i="44"/>
  <c r="F59" i="44"/>
  <c r="F58" i="44"/>
  <c r="I57" i="44"/>
  <c r="H57" i="44"/>
  <c r="F57" i="44"/>
  <c r="I56" i="44"/>
  <c r="H56" i="44"/>
  <c r="F56" i="44"/>
  <c r="I55" i="44"/>
  <c r="H55" i="44"/>
  <c r="F55" i="44"/>
  <c r="I54" i="44"/>
  <c r="H54" i="44"/>
  <c r="F54" i="44"/>
  <c r="I53" i="44"/>
  <c r="H53" i="44"/>
  <c r="F53" i="44"/>
  <c r="I52" i="44"/>
  <c r="H52" i="44"/>
  <c r="F52" i="44"/>
  <c r="I51" i="44"/>
  <c r="H51" i="44"/>
  <c r="F51" i="44"/>
  <c r="I50" i="44"/>
  <c r="H50" i="44"/>
  <c r="F50" i="44"/>
  <c r="I49" i="44"/>
  <c r="H49" i="44"/>
  <c r="F49" i="44"/>
  <c r="I48" i="44"/>
  <c r="H48" i="44"/>
  <c r="F48" i="44"/>
  <c r="I47" i="44"/>
  <c r="H47" i="44"/>
  <c r="F47" i="44"/>
  <c r="I46" i="44"/>
  <c r="H46" i="44"/>
  <c r="F46" i="44"/>
  <c r="I45" i="44"/>
  <c r="H45" i="44"/>
  <c r="F45" i="44"/>
  <c r="I44" i="44"/>
  <c r="H44" i="44"/>
  <c r="F44" i="44"/>
  <c r="I43" i="44"/>
  <c r="H43" i="44"/>
  <c r="F43" i="44"/>
  <c r="I42" i="44"/>
  <c r="H42" i="44"/>
  <c r="F42" i="44"/>
  <c r="I41" i="44"/>
  <c r="H41" i="44"/>
  <c r="F41" i="44"/>
  <c r="I40" i="44"/>
  <c r="H40" i="44"/>
  <c r="F40" i="44"/>
  <c r="I39" i="44"/>
  <c r="H39" i="44"/>
  <c r="F39" i="44"/>
  <c r="I38" i="44"/>
  <c r="H38" i="44"/>
  <c r="F38" i="44"/>
  <c r="I37" i="44"/>
  <c r="H37" i="44"/>
  <c r="F37" i="44"/>
  <c r="I36" i="44"/>
  <c r="H36" i="44"/>
  <c r="F36" i="44"/>
  <c r="I35" i="44"/>
  <c r="H35" i="44"/>
  <c r="F35" i="44"/>
  <c r="I34" i="44"/>
  <c r="H34" i="44"/>
  <c r="F34" i="44"/>
  <c r="I33" i="44"/>
  <c r="H33" i="44"/>
  <c r="F33" i="44"/>
  <c r="I32" i="44"/>
  <c r="H32" i="44"/>
  <c r="F32" i="44"/>
  <c r="I31" i="44"/>
  <c r="H31" i="44"/>
  <c r="F31" i="44"/>
  <c r="I30" i="44"/>
  <c r="H30" i="44"/>
  <c r="F30" i="44"/>
  <c r="I29" i="44"/>
  <c r="H29" i="44"/>
  <c r="F29" i="44"/>
  <c r="I28" i="44"/>
  <c r="H28" i="44"/>
  <c r="F28" i="44"/>
  <c r="I27" i="44"/>
  <c r="H27" i="44"/>
  <c r="F27" i="44"/>
  <c r="I26" i="44"/>
  <c r="H26" i="44"/>
  <c r="F26" i="44"/>
  <c r="I25" i="44"/>
  <c r="H25" i="44"/>
  <c r="F25" i="44"/>
  <c r="I24" i="44"/>
  <c r="H24" i="44"/>
  <c r="F24" i="44"/>
  <c r="I23" i="44"/>
  <c r="H23" i="44"/>
  <c r="F23" i="44"/>
  <c r="I22" i="44"/>
  <c r="H22" i="44"/>
  <c r="F22" i="44"/>
  <c r="I21" i="44"/>
  <c r="H21" i="44"/>
  <c r="F21" i="44"/>
  <c r="I20" i="44"/>
  <c r="H20" i="44"/>
  <c r="F20" i="44"/>
  <c r="I19" i="44"/>
  <c r="H19" i="44"/>
  <c r="F19" i="44"/>
  <c r="I18" i="44"/>
  <c r="H18" i="44"/>
  <c r="F18" i="44"/>
  <c r="I17" i="44"/>
  <c r="H17" i="44"/>
  <c r="F17" i="44"/>
  <c r="I16" i="44"/>
  <c r="H16" i="44"/>
  <c r="F16" i="44"/>
  <c r="I15" i="44"/>
  <c r="H15" i="44"/>
  <c r="F15" i="44"/>
  <c r="I14" i="44"/>
  <c r="H14" i="44"/>
  <c r="F14" i="44"/>
  <c r="I13" i="44"/>
  <c r="H13" i="44"/>
  <c r="F13" i="44"/>
  <c r="I12" i="44"/>
  <c r="H12" i="44"/>
  <c r="F12" i="44"/>
  <c r="I11" i="44"/>
  <c r="H11" i="44"/>
  <c r="F11" i="44"/>
  <c r="I10" i="44"/>
  <c r="H10" i="44"/>
  <c r="F10" i="44"/>
  <c r="I9" i="44"/>
  <c r="H9" i="44"/>
  <c r="F9" i="44"/>
  <c r="I8" i="44"/>
  <c r="H8" i="44"/>
  <c r="F8" i="44"/>
  <c r="I7" i="44"/>
  <c r="H7" i="44"/>
  <c r="F7" i="44"/>
  <c r="I6" i="44"/>
  <c r="H6" i="44"/>
  <c r="F6" i="44"/>
  <c r="I5" i="44"/>
  <c r="H5" i="44"/>
  <c r="F5" i="44"/>
  <c r="I4" i="44"/>
  <c r="H4" i="44"/>
  <c r="F4" i="44"/>
  <c r="I3" i="44"/>
  <c r="H3" i="44"/>
  <c r="F3" i="44"/>
  <c r="I2" i="44"/>
  <c r="H2" i="44"/>
  <c r="F2" i="44"/>
  <c r="F3" i="19"/>
  <c r="F4" i="19"/>
  <c r="F5" i="19"/>
  <c r="F6" i="19"/>
  <c r="F7" i="19"/>
  <c r="F8" i="19"/>
  <c r="F9" i="19"/>
  <c r="F10" i="19"/>
  <c r="F11" i="19"/>
  <c r="F12" i="19"/>
  <c r="F13" i="19"/>
  <c r="F14" i="19"/>
  <c r="F15" i="19"/>
  <c r="F16" i="19"/>
  <c r="F17" i="19"/>
  <c r="F18" i="19"/>
  <c r="F19" i="19"/>
  <c r="F20" i="19"/>
  <c r="F21" i="19"/>
  <c r="F22" i="19"/>
  <c r="F23" i="19"/>
  <c r="F24" i="19"/>
  <c r="F25" i="19"/>
  <c r="F26" i="19"/>
  <c r="F27" i="19"/>
  <c r="F28" i="19"/>
  <c r="F29" i="19"/>
  <c r="F30" i="19"/>
  <c r="F31" i="19"/>
  <c r="F32" i="19"/>
  <c r="F33" i="19"/>
  <c r="F34" i="19"/>
  <c r="F35" i="19"/>
  <c r="F36" i="19"/>
  <c r="F37" i="19"/>
  <c r="F38" i="19"/>
  <c r="F39" i="19"/>
  <c r="F40" i="19"/>
  <c r="F41" i="19"/>
  <c r="F42" i="19"/>
  <c r="F43" i="19"/>
  <c r="F44" i="19"/>
  <c r="F45" i="19"/>
  <c r="F46" i="19"/>
  <c r="F47" i="19"/>
  <c r="F48" i="19"/>
  <c r="F49" i="19"/>
  <c r="F50" i="19"/>
  <c r="F51" i="19"/>
  <c r="F52" i="19"/>
  <c r="F53" i="19"/>
  <c r="F54" i="19"/>
  <c r="F55" i="19"/>
  <c r="F56" i="19"/>
  <c r="F57" i="19"/>
  <c r="F58" i="19"/>
  <c r="F59" i="19"/>
  <c r="F60" i="19"/>
  <c r="F61" i="19"/>
  <c r="F62" i="19"/>
  <c r="F63" i="19"/>
  <c r="F64" i="19"/>
  <c r="F65" i="19"/>
  <c r="F3" i="20"/>
  <c r="F4" i="20"/>
  <c r="F5" i="20"/>
  <c r="F6" i="20"/>
  <c r="F7" i="20"/>
  <c r="F8" i="20"/>
  <c r="F9" i="20"/>
  <c r="F10" i="20"/>
  <c r="F11" i="20"/>
  <c r="F12" i="20"/>
  <c r="F13" i="20"/>
  <c r="F14" i="20"/>
  <c r="F15" i="20"/>
  <c r="F16" i="20"/>
  <c r="F17" i="20"/>
  <c r="F18" i="20"/>
  <c r="F19" i="20"/>
  <c r="F20" i="20"/>
  <c r="F21" i="20"/>
  <c r="F22" i="20"/>
  <c r="F23" i="20"/>
  <c r="F24" i="20"/>
  <c r="F25" i="20"/>
  <c r="F26" i="20"/>
  <c r="F27" i="20"/>
  <c r="F28" i="20"/>
  <c r="F29" i="20"/>
  <c r="F30" i="20"/>
  <c r="F31" i="20"/>
  <c r="F32" i="20"/>
  <c r="F33"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3" i="21"/>
  <c r="F4" i="21"/>
  <c r="F5"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3" i="27"/>
  <c r="F4" i="27"/>
  <c r="F5" i="27"/>
  <c r="F6" i="27"/>
  <c r="F7" i="27"/>
  <c r="F8" i="27"/>
  <c r="F9" i="27"/>
  <c r="F10" i="27"/>
  <c r="F11" i="27"/>
  <c r="F12" i="27"/>
  <c r="F13" i="27"/>
  <c r="F14" i="27"/>
  <c r="F15" i="27"/>
  <c r="F16" i="27"/>
  <c r="F17" i="27"/>
  <c r="F18" i="27"/>
  <c r="F19" i="27"/>
  <c r="F20" i="27"/>
  <c r="F21" i="27"/>
  <c r="F22" i="27"/>
  <c r="F23" i="27"/>
  <c r="F24" i="27"/>
  <c r="F25" i="27"/>
  <c r="F26" i="27"/>
  <c r="F27" i="27"/>
  <c r="F28" i="27"/>
  <c r="F29" i="27"/>
  <c r="F30" i="27"/>
  <c r="F31" i="27"/>
  <c r="F32" i="27"/>
  <c r="F33" i="27"/>
  <c r="F34" i="27"/>
  <c r="F35" i="27"/>
  <c r="F36" i="27"/>
  <c r="F37" i="27"/>
  <c r="F38" i="27"/>
  <c r="F39" i="27"/>
  <c r="F40" i="27"/>
  <c r="F41" i="27"/>
  <c r="F42" i="27"/>
  <c r="F43" i="27"/>
  <c r="F44" i="27"/>
  <c r="F45" i="27"/>
  <c r="F46" i="27"/>
  <c r="F47" i="27"/>
  <c r="F48" i="27"/>
  <c r="F49" i="27"/>
  <c r="F50" i="27"/>
  <c r="F51" i="27"/>
  <c r="F52" i="27"/>
  <c r="F53" i="27"/>
  <c r="F54" i="27"/>
  <c r="F55" i="27"/>
  <c r="F56" i="27"/>
  <c r="F57" i="27"/>
  <c r="F58" i="27"/>
  <c r="F59" i="27"/>
  <c r="F60" i="27"/>
  <c r="F61" i="27"/>
  <c r="F62" i="27"/>
  <c r="F63" i="27"/>
  <c r="F64" i="27"/>
  <c r="F65" i="27"/>
  <c r="F66" i="27"/>
  <c r="F67" i="27"/>
  <c r="F68" i="27"/>
  <c r="F69" i="27"/>
  <c r="F70" i="27"/>
  <c r="F71" i="27"/>
  <c r="F72" i="27"/>
  <c r="F73" i="27"/>
  <c r="F74" i="27"/>
  <c r="F75" i="27"/>
  <c r="F76" i="27"/>
  <c r="F77" i="27"/>
  <c r="F78" i="27"/>
  <c r="F79" i="27"/>
  <c r="F80" i="27"/>
  <c r="F81" i="27"/>
  <c r="F82" i="27"/>
  <c r="F83" i="27"/>
  <c r="F84" i="27"/>
  <c r="F85" i="27"/>
  <c r="F86" i="27"/>
  <c r="F87" i="27"/>
  <c r="F3" i="23"/>
  <c r="F4" i="23"/>
  <c r="F5" i="23"/>
  <c r="F6" i="23"/>
  <c r="F7" i="23"/>
  <c r="F8" i="23"/>
  <c r="F9" i="23"/>
  <c r="F10" i="23"/>
  <c r="F11" i="23"/>
  <c r="F12" i="23"/>
  <c r="F13" i="23"/>
  <c r="F14" i="23"/>
  <c r="F15" i="23"/>
  <c r="F16" i="23"/>
  <c r="F17" i="23"/>
  <c r="F18" i="23"/>
  <c r="F19" i="23"/>
  <c r="F20" i="23"/>
  <c r="F21" i="23"/>
  <c r="F22" i="23"/>
  <c r="F23" i="23"/>
  <c r="F24" i="23"/>
  <c r="F25" i="23"/>
  <c r="F26" i="23"/>
  <c r="F27" i="23"/>
  <c r="F28" i="23"/>
  <c r="F29" i="23"/>
  <c r="F30" i="23"/>
  <c r="F31" i="23"/>
  <c r="F32" i="23"/>
  <c r="F33" i="23"/>
  <c r="F34" i="23"/>
  <c r="F35" i="23"/>
  <c r="F36" i="23"/>
  <c r="F37" i="23"/>
  <c r="F38" i="23"/>
  <c r="F39" i="23"/>
  <c r="F40" i="23"/>
  <c r="F41" i="23"/>
  <c r="F42" i="23"/>
  <c r="F43" i="23"/>
  <c r="F44" i="23"/>
  <c r="F45" i="23"/>
  <c r="F46" i="23"/>
  <c r="F47" i="23"/>
  <c r="F48" i="23"/>
  <c r="F49" i="23"/>
  <c r="F50" i="23"/>
  <c r="F51" i="23"/>
  <c r="F52" i="23"/>
  <c r="F53" i="23"/>
  <c r="F54" i="23"/>
  <c r="F55" i="23"/>
  <c r="F56" i="23"/>
  <c r="F57" i="23"/>
  <c r="F58" i="23"/>
  <c r="F59" i="23"/>
  <c r="F60" i="23"/>
  <c r="F61" i="23"/>
  <c r="F62" i="23"/>
  <c r="F63" i="23"/>
  <c r="F64" i="23"/>
  <c r="F65" i="23"/>
  <c r="F66" i="23"/>
  <c r="F3" i="24"/>
  <c r="F4" i="24"/>
  <c r="F5" i="24"/>
  <c r="F6" i="24"/>
  <c r="F7" i="24"/>
  <c r="F8" i="24"/>
  <c r="F9" i="24"/>
  <c r="F10" i="24"/>
  <c r="F11" i="24"/>
  <c r="F12" i="24"/>
  <c r="F13" i="24"/>
  <c r="F14" i="24"/>
  <c r="F15" i="24"/>
  <c r="F16" i="24"/>
  <c r="F17" i="24"/>
  <c r="F18" i="24"/>
  <c r="F19" i="24"/>
  <c r="F20" i="24"/>
  <c r="F21" i="24"/>
  <c r="F22" i="24"/>
  <c r="F23" i="24"/>
  <c r="F24" i="24"/>
  <c r="F25" i="24"/>
  <c r="F26" i="24"/>
  <c r="F27" i="24"/>
  <c r="F28" i="24"/>
  <c r="F29" i="24"/>
  <c r="F30" i="24"/>
  <c r="F31" i="24"/>
  <c r="F32" i="24"/>
  <c r="F33" i="24"/>
  <c r="F34" i="24"/>
  <c r="F35" i="24"/>
  <c r="F36" i="24"/>
  <c r="F37" i="24"/>
  <c r="F38" i="24"/>
  <c r="F39" i="24"/>
  <c r="F40" i="24"/>
  <c r="F41" i="24"/>
  <c r="F42" i="24"/>
  <c r="F43" i="24"/>
  <c r="F44" i="24"/>
  <c r="F45" i="24"/>
  <c r="F46" i="24"/>
  <c r="F47" i="24"/>
  <c r="F48" i="24"/>
  <c r="F49" i="24"/>
  <c r="F50" i="24"/>
  <c r="F51" i="24"/>
  <c r="F52" i="24"/>
  <c r="F53" i="24"/>
  <c r="F54" i="24"/>
  <c r="F55" i="24"/>
  <c r="F56" i="24"/>
  <c r="F57" i="24"/>
  <c r="F58" i="24"/>
  <c r="F59" i="24"/>
  <c r="F60" i="24"/>
  <c r="F61" i="24"/>
  <c r="F62" i="24"/>
  <c r="F63" i="24"/>
  <c r="F64" i="24"/>
  <c r="F3" i="25"/>
  <c r="F4" i="25"/>
  <c r="F5" i="25"/>
  <c r="F6" i="25"/>
  <c r="F7" i="25"/>
  <c r="F8" i="25"/>
  <c r="F9" i="25"/>
  <c r="F10" i="25"/>
  <c r="F11" i="25"/>
  <c r="F12" i="25"/>
  <c r="F13" i="25"/>
  <c r="F14" i="25"/>
  <c r="F15" i="25"/>
  <c r="F16" i="25"/>
  <c r="F17" i="25"/>
  <c r="F18" i="25"/>
  <c r="F19" i="25"/>
  <c r="F20" i="25"/>
  <c r="F21" i="25"/>
  <c r="F22" i="25"/>
  <c r="F23" i="25"/>
  <c r="F24" i="25"/>
  <c r="F25" i="25"/>
  <c r="F26" i="25"/>
  <c r="F27" i="25"/>
  <c r="F28" i="25"/>
  <c r="F29" i="25"/>
  <c r="F30" i="25"/>
  <c r="F31" i="25"/>
  <c r="F32" i="25"/>
  <c r="F33" i="25"/>
  <c r="F34" i="25"/>
  <c r="F35" i="25"/>
  <c r="F36" i="25"/>
  <c r="F37" i="25"/>
  <c r="F38" i="25"/>
  <c r="F39" i="25"/>
  <c r="F40" i="25"/>
  <c r="F41" i="25"/>
  <c r="F42" i="25"/>
  <c r="F43" i="25"/>
  <c r="F44" i="25"/>
  <c r="F45" i="25"/>
  <c r="F3" i="26"/>
  <c r="F4" i="26"/>
  <c r="F5"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3" i="16"/>
  <c r="F4"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3" i="18"/>
  <c r="F4" i="18"/>
  <c r="F5" i="18"/>
  <c r="F6" i="18"/>
  <c r="F7"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3" i="13"/>
  <c r="F4" i="13"/>
  <c r="F5" i="13"/>
  <c r="F6" i="13"/>
  <c r="F7" i="13"/>
  <c r="F8" i="13"/>
  <c r="F9" i="13"/>
  <c r="F10" i="13"/>
  <c r="F11" i="13"/>
  <c r="F12" i="13"/>
  <c r="F13" i="13"/>
  <c r="F14" i="13"/>
  <c r="F15" i="13"/>
  <c r="F16" i="13"/>
  <c r="F17" i="13"/>
  <c r="F18" i="13"/>
  <c r="F19" i="13"/>
  <c r="F20" i="13"/>
  <c r="F21" i="13"/>
  <c r="F22" i="13"/>
  <c r="F23" i="13"/>
  <c r="F24" i="13"/>
  <c r="F25" i="13"/>
  <c r="F26" i="13"/>
  <c r="F27" i="13"/>
  <c r="F28" i="13"/>
  <c r="F29" i="13"/>
  <c r="F30"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3" i="42"/>
  <c r="F4" i="42"/>
  <c r="F5" i="42"/>
  <c r="F6" i="42"/>
  <c r="F7" i="42"/>
  <c r="F8" i="42"/>
  <c r="F9" i="42"/>
  <c r="F10" i="42"/>
  <c r="F11" i="42"/>
  <c r="F12" i="42"/>
  <c r="F13" i="42"/>
  <c r="F14" i="42"/>
  <c r="F15" i="42"/>
  <c r="F16" i="42"/>
  <c r="F17" i="42"/>
  <c r="F18" i="42"/>
  <c r="F19" i="42"/>
  <c r="F20" i="42"/>
  <c r="F21" i="42"/>
  <c r="F22" i="42"/>
  <c r="F23" i="42"/>
  <c r="F24" i="42"/>
  <c r="F25" i="42"/>
  <c r="F26" i="42"/>
  <c r="F27" i="42"/>
  <c r="F28" i="42"/>
  <c r="F29" i="42"/>
  <c r="F30" i="42"/>
  <c r="F31" i="42"/>
  <c r="F32" i="42"/>
  <c r="F33" i="42"/>
  <c r="F34" i="42"/>
  <c r="F35" i="42"/>
  <c r="F36" i="42"/>
  <c r="F37" i="42"/>
  <c r="F38" i="42"/>
  <c r="F39" i="42"/>
  <c r="F40" i="42"/>
  <c r="F41" i="42"/>
  <c r="F42" i="42"/>
  <c r="F43" i="42"/>
  <c r="F44" i="42"/>
  <c r="F45" i="42"/>
  <c r="F46" i="42"/>
  <c r="F47" i="42"/>
  <c r="F48" i="42"/>
  <c r="F49" i="42"/>
  <c r="F50" i="42"/>
  <c r="F51" i="42"/>
  <c r="F52" i="42"/>
  <c r="F53" i="42"/>
  <c r="F54" i="42"/>
  <c r="F55" i="42"/>
  <c r="F56" i="42"/>
  <c r="F57" i="42"/>
  <c r="F58" i="42"/>
  <c r="F59" i="42"/>
  <c r="F60" i="42"/>
  <c r="F61" i="42"/>
  <c r="F62" i="42"/>
  <c r="F2" i="42"/>
  <c r="F2" i="12"/>
  <c r="F2" i="13"/>
  <c r="F2" i="18"/>
  <c r="F2" i="17"/>
  <c r="F2" i="16"/>
  <c r="F2" i="26"/>
  <c r="F2" i="25"/>
  <c r="F46" i="25"/>
  <c r="F2" i="24"/>
  <c r="F2" i="23"/>
  <c r="F2" i="27"/>
  <c r="F2" i="21"/>
  <c r="F2" i="20"/>
  <c r="F2" i="19"/>
  <c r="O9" i="37" l="1"/>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O42" i="37"/>
  <c r="O43" i="37"/>
  <c r="O44" i="37"/>
  <c r="O45" i="37"/>
  <c r="O46" i="37"/>
  <c r="O47" i="37"/>
  <c r="O48" i="37"/>
  <c r="O49" i="37"/>
  <c r="O50" i="37"/>
  <c r="O51" i="37"/>
  <c r="O52" i="37"/>
  <c r="O53" i="37"/>
  <c r="O54" i="37"/>
  <c r="O55" i="37"/>
  <c r="O56" i="37"/>
  <c r="O57" i="37"/>
  <c r="O58" i="37"/>
  <c r="O59" i="37"/>
  <c r="O60" i="37"/>
  <c r="O61" i="37"/>
  <c r="O62" i="37"/>
  <c r="O63" i="37"/>
  <c r="O64" i="37"/>
  <c r="O65" i="37"/>
  <c r="O66" i="37"/>
  <c r="O67" i="37"/>
  <c r="O68" i="37"/>
  <c r="O69" i="37"/>
  <c r="O70" i="37"/>
  <c r="O71" i="37"/>
  <c r="O72" i="37"/>
  <c r="O73" i="37"/>
  <c r="O74" i="37"/>
  <c r="O75" i="37"/>
  <c r="O76" i="37"/>
  <c r="O77" i="37"/>
  <c r="O78" i="37"/>
  <c r="O79" i="37"/>
  <c r="O80" i="37"/>
  <c r="O81" i="37"/>
  <c r="O82" i="37"/>
  <c r="O83" i="37"/>
  <c r="O84" i="37"/>
  <c r="O85" i="37"/>
  <c r="O86" i="37"/>
  <c r="O87" i="37"/>
  <c r="O88" i="37"/>
  <c r="O89" i="37"/>
  <c r="O90" i="37"/>
  <c r="O91" i="37"/>
  <c r="O92" i="37"/>
  <c r="O93" i="37"/>
  <c r="O94" i="37"/>
  <c r="O95" i="37"/>
  <c r="O96" i="37"/>
  <c r="O97" i="37"/>
  <c r="O98" i="37"/>
  <c r="O99" i="37"/>
  <c r="O100" i="37"/>
  <c r="O101" i="37"/>
  <c r="O102" i="37"/>
  <c r="O103" i="37"/>
  <c r="O104" i="37"/>
  <c r="O105" i="37"/>
  <c r="O106" i="37"/>
  <c r="O107" i="37"/>
  <c r="O108" i="37"/>
  <c r="O109" i="37"/>
  <c r="O110" i="37"/>
  <c r="O111" i="37"/>
  <c r="O112" i="37"/>
  <c r="O113" i="37"/>
  <c r="O114" i="37"/>
  <c r="O115" i="37"/>
  <c r="O116" i="37"/>
  <c r="O117" i="37"/>
  <c r="O118" i="37"/>
  <c r="O119" i="37"/>
  <c r="O120" i="37"/>
  <c r="O121" i="37"/>
  <c r="O122" i="37"/>
  <c r="O123" i="37"/>
  <c r="O124" i="37"/>
  <c r="O125" i="37"/>
  <c r="O126" i="37"/>
  <c r="O127" i="37"/>
  <c r="O128" i="37"/>
  <c r="O129" i="37"/>
  <c r="O130" i="37"/>
  <c r="O131" i="37"/>
  <c r="O132" i="37"/>
  <c r="O133" i="37"/>
  <c r="O134" i="37"/>
  <c r="O135" i="37"/>
  <c r="O136" i="37"/>
  <c r="O137" i="37"/>
  <c r="O138" i="37"/>
  <c r="O139" i="37"/>
  <c r="O140" i="37"/>
  <c r="O141" i="37"/>
  <c r="O142" i="37"/>
  <c r="O143" i="37"/>
  <c r="O144" i="37"/>
  <c r="O145" i="37"/>
  <c r="O146" i="37"/>
  <c r="O147" i="37"/>
  <c r="O148" i="37"/>
  <c r="O149" i="37"/>
  <c r="O150" i="37"/>
  <c r="O151" i="37"/>
  <c r="O152" i="37"/>
  <c r="O153" i="37"/>
  <c r="O154" i="37"/>
  <c r="O155" i="37"/>
  <c r="O156" i="37"/>
  <c r="O157" i="37"/>
  <c r="O158" i="37"/>
  <c r="O159" i="37"/>
  <c r="O160" i="37"/>
  <c r="O161" i="37"/>
  <c r="O162" i="37"/>
  <c r="O163" i="37"/>
  <c r="O164" i="37"/>
  <c r="O165" i="37"/>
  <c r="O166" i="37"/>
  <c r="O167" i="37"/>
  <c r="O168" i="37"/>
  <c r="O169" i="37"/>
  <c r="O170" i="37"/>
  <c r="O171" i="37"/>
  <c r="O172" i="37"/>
  <c r="O173" i="37"/>
  <c r="O174" i="37"/>
  <c r="O175" i="37"/>
  <c r="O176" i="37"/>
  <c r="O177" i="37"/>
  <c r="O178" i="37"/>
  <c r="O179" i="37"/>
  <c r="O180" i="37"/>
  <c r="O181" i="37"/>
  <c r="O182" i="37"/>
  <c r="O183" i="37"/>
  <c r="O184" i="37"/>
  <c r="O185" i="37"/>
  <c r="O186" i="37"/>
  <c r="O187" i="37"/>
  <c r="O188" i="37"/>
  <c r="O189" i="37"/>
  <c r="O190" i="37"/>
  <c r="O191" i="37"/>
  <c r="O192" i="37"/>
  <c r="O193" i="37"/>
  <c r="O194" i="37"/>
  <c r="O195" i="37"/>
  <c r="O196" i="37"/>
  <c r="O197" i="37"/>
  <c r="O198" i="37"/>
  <c r="O199" i="37"/>
  <c r="O200" i="37"/>
  <c r="O201" i="37"/>
  <c r="O202" i="37"/>
  <c r="O203" i="37"/>
  <c r="O204" i="37"/>
  <c r="O205" i="37"/>
  <c r="O206" i="37"/>
  <c r="O207" i="37"/>
  <c r="O208" i="37"/>
  <c r="O209" i="37"/>
  <c r="O210" i="37"/>
  <c r="O211" i="37"/>
  <c r="O212" i="37"/>
  <c r="O213" i="37"/>
  <c r="O214" i="37"/>
  <c r="O215" i="37"/>
  <c r="O216" i="37"/>
  <c r="O217" i="37"/>
  <c r="O218" i="37"/>
  <c r="O219" i="37"/>
  <c r="O220" i="37"/>
  <c r="O221" i="37"/>
  <c r="O222" i="37"/>
  <c r="O223" i="37"/>
  <c r="O224" i="37"/>
  <c r="O225" i="37"/>
  <c r="O226" i="37"/>
  <c r="O227" i="37"/>
  <c r="O228" i="37"/>
  <c r="O229" i="37"/>
  <c r="O230" i="37"/>
  <c r="O231" i="37"/>
  <c r="O232" i="37"/>
  <c r="O233" i="37"/>
  <c r="O234" i="37"/>
  <c r="O235" i="37"/>
  <c r="O236" i="37"/>
  <c r="O237" i="37"/>
  <c r="O238" i="37"/>
  <c r="O239" i="37"/>
  <c r="O240" i="37"/>
  <c r="O241" i="37"/>
  <c r="O242" i="37"/>
  <c r="O243" i="37"/>
  <c r="O244" i="37"/>
  <c r="O245" i="37"/>
  <c r="O246" i="37"/>
  <c r="O247" i="37"/>
  <c r="O248" i="37"/>
  <c r="O249" i="37"/>
  <c r="O250" i="37"/>
  <c r="O251" i="37"/>
  <c r="O252" i="37"/>
  <c r="O253" i="37"/>
  <c r="O254" i="37"/>
  <c r="O255" i="37"/>
  <c r="O256" i="37"/>
  <c r="O257" i="37"/>
  <c r="O258" i="37"/>
  <c r="O259" i="37"/>
  <c r="O260" i="37"/>
  <c r="O261" i="37"/>
  <c r="O262" i="37"/>
  <c r="O263" i="37"/>
  <c r="O264" i="37"/>
  <c r="O265" i="37"/>
  <c r="O266" i="37"/>
  <c r="O267" i="37"/>
  <c r="O268" i="37"/>
  <c r="O269" i="37"/>
  <c r="O270" i="37"/>
  <c r="O271" i="37"/>
  <c r="O272" i="37"/>
  <c r="O273" i="37"/>
  <c r="O274" i="37"/>
  <c r="O275" i="37"/>
  <c r="O276" i="37"/>
  <c r="O277" i="37"/>
  <c r="O278" i="37"/>
  <c r="O279" i="37"/>
  <c r="O280" i="37"/>
  <c r="O281" i="37"/>
  <c r="O282" i="37"/>
  <c r="O283" i="37"/>
  <c r="O284" i="37"/>
  <c r="O285" i="37"/>
  <c r="O286" i="37"/>
  <c r="O287" i="37"/>
  <c r="O288" i="37"/>
  <c r="O289" i="37"/>
  <c r="O290" i="37"/>
  <c r="O291" i="37"/>
  <c r="O292" i="37"/>
  <c r="O293" i="37"/>
  <c r="O294" i="37"/>
  <c r="O295" i="37"/>
  <c r="O296" i="37"/>
  <c r="O297" i="37"/>
  <c r="O298" i="37"/>
  <c r="O299" i="37"/>
  <c r="O300" i="37"/>
  <c r="O301" i="37"/>
  <c r="O302" i="37"/>
  <c r="O303" i="37"/>
  <c r="O304" i="37"/>
  <c r="O305" i="37"/>
  <c r="O306" i="37"/>
  <c r="O307" i="37"/>
  <c r="O308" i="37"/>
  <c r="O309" i="37"/>
  <c r="O310" i="37"/>
  <c r="O311" i="37"/>
  <c r="O312" i="37"/>
  <c r="O313" i="37"/>
  <c r="O314" i="37"/>
  <c r="O315" i="37"/>
  <c r="O316" i="37"/>
  <c r="O317" i="37"/>
  <c r="O318" i="37"/>
  <c r="O319" i="37"/>
  <c r="O320" i="37"/>
  <c r="O321" i="37"/>
  <c r="O322" i="37"/>
  <c r="O323" i="37"/>
  <c r="O324" i="37"/>
  <c r="O325" i="37"/>
  <c r="O326" i="37"/>
  <c r="O327" i="37"/>
  <c r="O328" i="37"/>
  <c r="O329" i="37"/>
  <c r="O330" i="37"/>
  <c r="O331" i="37"/>
  <c r="O332" i="37"/>
  <c r="O333" i="37"/>
  <c r="O334" i="37"/>
  <c r="O335" i="37"/>
  <c r="O336" i="37"/>
  <c r="O337" i="37"/>
  <c r="O338" i="37"/>
  <c r="O339" i="37"/>
  <c r="O340" i="37"/>
  <c r="O341" i="37"/>
  <c r="O342" i="37"/>
  <c r="O343" i="37"/>
  <c r="O344" i="37"/>
  <c r="O345" i="37"/>
  <c r="O346" i="37"/>
  <c r="O347" i="37"/>
  <c r="O348" i="37"/>
  <c r="O349" i="37"/>
  <c r="O350" i="37"/>
  <c r="O351" i="37"/>
  <c r="O352" i="37"/>
  <c r="O353" i="37"/>
  <c r="O354" i="37"/>
  <c r="O355" i="37"/>
  <c r="O356" i="37"/>
  <c r="O357" i="37"/>
  <c r="O358" i="37"/>
  <c r="O359" i="37"/>
  <c r="O360" i="37"/>
  <c r="O361" i="37"/>
  <c r="O362" i="37"/>
  <c r="O363" i="37"/>
  <c r="O364" i="37"/>
  <c r="O365" i="37"/>
  <c r="O366" i="37"/>
  <c r="O367" i="37"/>
  <c r="O368" i="37"/>
  <c r="O369" i="37"/>
  <c r="O370" i="37"/>
  <c r="O371" i="37"/>
  <c r="O372" i="37"/>
  <c r="O373" i="37"/>
  <c r="O374" i="37"/>
  <c r="O375" i="37"/>
  <c r="O376" i="37"/>
  <c r="O377" i="37"/>
  <c r="O378" i="37"/>
  <c r="O379" i="37"/>
  <c r="O380" i="37"/>
  <c r="O381" i="37"/>
  <c r="O382" i="37"/>
  <c r="O383" i="37"/>
  <c r="O384" i="37"/>
  <c r="O385" i="37"/>
  <c r="O386" i="37"/>
  <c r="O387" i="37"/>
  <c r="O388" i="37"/>
  <c r="O389" i="37"/>
  <c r="O390" i="37"/>
  <c r="O391" i="37"/>
  <c r="O392" i="37"/>
  <c r="O393" i="37"/>
  <c r="O394" i="37"/>
  <c r="O395" i="37"/>
  <c r="O396" i="37"/>
  <c r="O397" i="37"/>
  <c r="O398" i="37"/>
  <c r="O399" i="37"/>
  <c r="O400" i="37"/>
  <c r="O401" i="37"/>
  <c r="O402" i="37"/>
  <c r="O403" i="37"/>
  <c r="O404" i="37"/>
  <c r="O405" i="37"/>
  <c r="O406" i="37"/>
  <c r="O407" i="37"/>
  <c r="O408" i="37"/>
  <c r="O409" i="37"/>
  <c r="O410" i="37"/>
  <c r="O411" i="37"/>
  <c r="O412" i="37"/>
  <c r="O413" i="37"/>
  <c r="O414" i="37"/>
  <c r="O415" i="37"/>
  <c r="O416" i="37"/>
  <c r="O417" i="37"/>
  <c r="O418" i="37"/>
  <c r="O419" i="37"/>
  <c r="O420" i="37"/>
  <c r="O421" i="37"/>
  <c r="O422" i="37"/>
  <c r="O423" i="37"/>
  <c r="O424" i="37"/>
  <c r="O425" i="37"/>
  <c r="O426" i="37"/>
  <c r="O427" i="37"/>
  <c r="O428" i="37"/>
  <c r="O429" i="37"/>
  <c r="O430" i="37"/>
  <c r="O431" i="37"/>
  <c r="O432" i="37"/>
  <c r="O433" i="37"/>
  <c r="O434" i="37"/>
  <c r="O435" i="37"/>
  <c r="O436" i="37"/>
  <c r="O437" i="37"/>
  <c r="O438" i="37"/>
  <c r="O439" i="37"/>
  <c r="O440" i="37"/>
  <c r="O441" i="37"/>
  <c r="O442" i="37"/>
  <c r="O443" i="37"/>
  <c r="O444" i="37"/>
  <c r="O445" i="37"/>
  <c r="O446" i="37"/>
  <c r="O447" i="37"/>
  <c r="O448" i="37"/>
  <c r="O449" i="37"/>
  <c r="O450" i="37"/>
  <c r="O451" i="37"/>
  <c r="O452" i="37"/>
  <c r="O453" i="37"/>
  <c r="O454" i="37"/>
  <c r="O455" i="37"/>
  <c r="O456" i="37"/>
  <c r="O457" i="37"/>
  <c r="O458" i="37"/>
  <c r="O459" i="37"/>
  <c r="O460" i="37"/>
  <c r="O461" i="37"/>
  <c r="O462" i="37"/>
  <c r="O463" i="37"/>
  <c r="O464" i="37"/>
  <c r="O465" i="37"/>
  <c r="O466" i="37"/>
  <c r="O467" i="37"/>
  <c r="O468" i="37"/>
  <c r="O469" i="37"/>
  <c r="O470" i="37"/>
  <c r="O471" i="37"/>
  <c r="O472" i="37"/>
  <c r="O473" i="37"/>
  <c r="O474" i="37"/>
  <c r="O475" i="37"/>
  <c r="O476" i="37"/>
  <c r="O477" i="37"/>
  <c r="O478" i="37"/>
  <c r="O479" i="37"/>
  <c r="O480" i="37"/>
  <c r="O481" i="37"/>
  <c r="O482" i="37"/>
  <c r="O483" i="37"/>
  <c r="O484" i="37"/>
  <c r="O485" i="37"/>
  <c r="O486" i="37"/>
  <c r="O487" i="37"/>
  <c r="O488" i="37"/>
  <c r="O489" i="37"/>
  <c r="O490" i="37"/>
  <c r="O491" i="37"/>
  <c r="O492" i="37"/>
  <c r="O493" i="37"/>
  <c r="O494" i="37"/>
  <c r="O495" i="37"/>
  <c r="O496" i="37"/>
  <c r="O497" i="37"/>
  <c r="O498" i="37"/>
  <c r="O499" i="37"/>
  <c r="O500" i="37"/>
  <c r="O501" i="37"/>
  <c r="O502" i="37"/>
  <c r="O503" i="37"/>
  <c r="O504" i="37"/>
  <c r="O505" i="37"/>
  <c r="O506" i="37"/>
  <c r="O507" i="37"/>
  <c r="O508" i="37"/>
  <c r="O509" i="37"/>
  <c r="O510" i="37"/>
  <c r="O511" i="37"/>
  <c r="O512" i="37"/>
  <c r="O513" i="37"/>
  <c r="O514" i="37"/>
  <c r="O515" i="37"/>
  <c r="O516" i="37"/>
  <c r="O517" i="37"/>
  <c r="O518" i="37"/>
  <c r="O519" i="37"/>
  <c r="O520" i="37"/>
  <c r="O521" i="37"/>
  <c r="O522" i="37"/>
  <c r="O523" i="37"/>
  <c r="O524" i="37"/>
  <c r="O525" i="37"/>
  <c r="O526" i="37"/>
  <c r="O527" i="37"/>
  <c r="O528" i="37"/>
  <c r="O529" i="37"/>
  <c r="O530" i="37"/>
  <c r="O531" i="37"/>
  <c r="O532" i="37"/>
  <c r="O533" i="37"/>
  <c r="O534" i="37"/>
  <c r="O535" i="37"/>
  <c r="O536" i="37"/>
  <c r="O537" i="37"/>
  <c r="O538" i="37"/>
  <c r="O539" i="37"/>
  <c r="O540" i="37"/>
  <c r="O541" i="37"/>
  <c r="O542" i="37"/>
  <c r="O543" i="37"/>
  <c r="O544" i="37"/>
  <c r="O545" i="37"/>
  <c r="O546" i="37"/>
  <c r="O547" i="37"/>
  <c r="O548" i="37"/>
  <c r="O549" i="37"/>
  <c r="O550" i="37"/>
  <c r="O551" i="37"/>
  <c r="O552" i="37"/>
  <c r="O553" i="37"/>
  <c r="O554" i="37"/>
  <c r="O555" i="37"/>
  <c r="O556" i="37"/>
  <c r="O557" i="37"/>
  <c r="O558" i="37"/>
  <c r="O559" i="37"/>
  <c r="O560" i="37"/>
  <c r="O561" i="37"/>
  <c r="O562" i="37"/>
  <c r="O563" i="37"/>
  <c r="O564" i="37"/>
  <c r="O565" i="37"/>
  <c r="O566" i="37"/>
  <c r="O567" i="37"/>
  <c r="O568" i="37"/>
  <c r="O569" i="37"/>
  <c r="O570" i="37"/>
  <c r="O571" i="37"/>
  <c r="O572" i="37"/>
  <c r="O573" i="37"/>
  <c r="O574" i="37"/>
  <c r="O575" i="37"/>
  <c r="O576" i="37"/>
  <c r="O577" i="37"/>
  <c r="O578" i="37"/>
  <c r="O579" i="37"/>
  <c r="O580" i="37"/>
  <c r="O581" i="37"/>
  <c r="O582" i="37"/>
  <c r="O583" i="37"/>
  <c r="O584" i="37"/>
  <c r="O585" i="37"/>
  <c r="O586" i="37"/>
  <c r="O587" i="37"/>
  <c r="O588" i="37"/>
  <c r="O589" i="37"/>
  <c r="O590" i="37"/>
  <c r="O591" i="37"/>
  <c r="O592" i="37"/>
  <c r="O593" i="37"/>
  <c r="O594" i="37"/>
  <c r="O595" i="37"/>
  <c r="O596" i="37"/>
  <c r="O597" i="37"/>
  <c r="O598" i="37"/>
  <c r="O599" i="37"/>
  <c r="O600" i="37"/>
  <c r="O601" i="37"/>
  <c r="O602" i="37"/>
  <c r="O603" i="37"/>
  <c r="O604" i="37"/>
  <c r="O605" i="37"/>
  <c r="O606" i="37"/>
  <c r="O607" i="37"/>
  <c r="O608" i="37"/>
  <c r="O609" i="37"/>
  <c r="O610" i="37"/>
  <c r="O611" i="37"/>
  <c r="O612" i="37"/>
  <c r="O613" i="37"/>
  <c r="O614" i="37"/>
  <c r="O615" i="37"/>
  <c r="O616" i="37"/>
  <c r="O617" i="37"/>
  <c r="O618" i="37"/>
  <c r="O619" i="37"/>
  <c r="O620" i="37"/>
  <c r="O621" i="37"/>
  <c r="O622" i="37"/>
  <c r="O623" i="37"/>
  <c r="O624" i="37"/>
  <c r="O625" i="37"/>
  <c r="O626" i="37"/>
  <c r="O627" i="37"/>
  <c r="O628" i="37"/>
  <c r="O629" i="37"/>
  <c r="O630" i="37"/>
  <c r="O631" i="37"/>
  <c r="O632" i="37"/>
  <c r="O633" i="37"/>
  <c r="O634" i="37"/>
  <c r="O635" i="37"/>
  <c r="O636" i="37"/>
  <c r="O637" i="37"/>
  <c r="O638" i="37"/>
  <c r="O639" i="37"/>
  <c r="O640" i="37"/>
  <c r="O641" i="37"/>
  <c r="O642" i="37"/>
  <c r="O643" i="37"/>
  <c r="O644" i="37"/>
  <c r="O645" i="37"/>
  <c r="O646" i="37"/>
  <c r="O647" i="37"/>
  <c r="O648" i="37"/>
  <c r="O649" i="37"/>
  <c r="O650" i="37"/>
  <c r="O651" i="37"/>
  <c r="O652" i="37"/>
  <c r="O653" i="37"/>
  <c r="O654" i="37"/>
  <c r="O655" i="37"/>
  <c r="O656" i="37"/>
  <c r="O657" i="37"/>
  <c r="O658" i="37"/>
  <c r="O659" i="37"/>
  <c r="O660" i="37"/>
  <c r="O661" i="37"/>
  <c r="O662" i="37"/>
  <c r="O663" i="37"/>
  <c r="O664" i="37"/>
  <c r="O665" i="37"/>
  <c r="O666" i="37"/>
  <c r="O667" i="37"/>
  <c r="O668" i="37"/>
  <c r="O669" i="37"/>
  <c r="O670" i="37"/>
  <c r="O671" i="37"/>
  <c r="O672" i="37"/>
  <c r="O673" i="37"/>
  <c r="O674" i="37"/>
  <c r="O675" i="37"/>
  <c r="O676" i="37"/>
  <c r="O677" i="37"/>
  <c r="O678" i="37"/>
  <c r="O679" i="37"/>
  <c r="O680" i="37"/>
  <c r="O681" i="37"/>
  <c r="O682" i="37"/>
  <c r="O683" i="37"/>
  <c r="O684" i="37"/>
  <c r="O685" i="37"/>
  <c r="O686" i="37"/>
  <c r="O687" i="37"/>
  <c r="O688" i="37"/>
  <c r="O689" i="37"/>
  <c r="O690" i="37"/>
  <c r="O691" i="37"/>
  <c r="O692" i="37"/>
  <c r="O693" i="37"/>
  <c r="O694" i="37"/>
  <c r="O695" i="37"/>
  <c r="O696" i="37"/>
  <c r="O697" i="37"/>
  <c r="O698" i="37"/>
  <c r="O699" i="37"/>
  <c r="O700" i="37"/>
  <c r="O701" i="37"/>
  <c r="O702" i="37"/>
  <c r="O703" i="37"/>
  <c r="O704" i="37"/>
  <c r="O705" i="37"/>
  <c r="O706" i="37"/>
  <c r="O707" i="37"/>
  <c r="O708" i="37"/>
  <c r="O709" i="37"/>
  <c r="O710" i="37"/>
  <c r="O711" i="37"/>
  <c r="O712" i="37"/>
  <c r="O713" i="37"/>
  <c r="O714" i="37"/>
  <c r="O715" i="37"/>
  <c r="O716" i="37"/>
  <c r="O717" i="37"/>
  <c r="O718" i="37"/>
  <c r="O719" i="37"/>
  <c r="O720" i="37"/>
  <c r="O721" i="37"/>
  <c r="O722" i="37"/>
  <c r="O723" i="37"/>
  <c r="O724" i="37"/>
  <c r="O725" i="37"/>
  <c r="O726" i="37"/>
  <c r="O727" i="37"/>
  <c r="O728" i="37"/>
  <c r="O729" i="37"/>
  <c r="O730" i="37"/>
  <c r="O731" i="37"/>
  <c r="O732" i="37"/>
  <c r="O733" i="37"/>
  <c r="O734" i="37"/>
  <c r="O735" i="37"/>
  <c r="O736" i="37"/>
  <c r="O737" i="37"/>
  <c r="O738" i="37"/>
  <c r="O739" i="37"/>
  <c r="O740" i="37"/>
  <c r="O741" i="37"/>
  <c r="O742" i="37"/>
  <c r="O743" i="37"/>
  <c r="O744" i="37"/>
  <c r="O745" i="37"/>
  <c r="O746" i="37"/>
  <c r="O747" i="37"/>
  <c r="O748" i="37"/>
  <c r="O749" i="37"/>
  <c r="O750" i="37"/>
  <c r="O751" i="37"/>
  <c r="O752" i="37"/>
  <c r="O753" i="37"/>
  <c r="O754" i="37"/>
  <c r="O755" i="37"/>
  <c r="O756" i="37"/>
  <c r="O757" i="37"/>
  <c r="O758" i="37"/>
  <c r="O759" i="37"/>
  <c r="O760" i="37"/>
  <c r="O761" i="37"/>
  <c r="O762" i="37"/>
  <c r="O763" i="37"/>
  <c r="O764" i="37"/>
  <c r="O765" i="37"/>
  <c r="O766" i="37"/>
  <c r="O767" i="37"/>
  <c r="O768" i="37"/>
  <c r="O769" i="37"/>
  <c r="O770" i="37"/>
  <c r="O771" i="37"/>
  <c r="O772" i="37"/>
  <c r="O773" i="37"/>
  <c r="O774" i="37"/>
  <c r="O775" i="37"/>
  <c r="O776" i="37"/>
  <c r="O777" i="37"/>
  <c r="O778" i="37"/>
  <c r="O779" i="37"/>
  <c r="O780" i="37"/>
  <c r="O781" i="37"/>
  <c r="O782" i="37"/>
  <c r="O783" i="37"/>
  <c r="O784" i="37"/>
  <c r="O785" i="37"/>
  <c r="O786" i="37"/>
  <c r="O787" i="37"/>
  <c r="O788" i="37"/>
  <c r="O789" i="37"/>
  <c r="O790" i="37"/>
  <c r="O791" i="37"/>
  <c r="O792" i="37"/>
  <c r="O793" i="37"/>
  <c r="O794" i="37"/>
  <c r="O795" i="37"/>
  <c r="O796" i="37"/>
  <c r="O797" i="37"/>
  <c r="O798" i="37"/>
  <c r="O799" i="37"/>
  <c r="O800" i="37"/>
  <c r="O801" i="37"/>
  <c r="O802" i="37"/>
  <c r="O803" i="37"/>
  <c r="O804" i="37"/>
  <c r="O805" i="37"/>
  <c r="O806" i="37"/>
  <c r="O807" i="37"/>
  <c r="O808" i="37"/>
  <c r="O809" i="37"/>
  <c r="O810" i="37"/>
  <c r="O811" i="37"/>
  <c r="O812" i="37"/>
  <c r="O813" i="37"/>
  <c r="O814" i="37"/>
  <c r="O815" i="37"/>
  <c r="O816" i="37"/>
  <c r="O817" i="37"/>
  <c r="O818" i="37"/>
  <c r="O819" i="37"/>
  <c r="O820" i="37"/>
  <c r="O821" i="37"/>
  <c r="O822" i="37"/>
  <c r="O823" i="37"/>
  <c r="O824" i="37"/>
  <c r="O825" i="37"/>
  <c r="O826" i="37"/>
  <c r="O827" i="37"/>
  <c r="O828" i="37"/>
  <c r="O829" i="37"/>
  <c r="O830" i="37"/>
  <c r="O831" i="37"/>
  <c r="O832" i="37"/>
  <c r="O833" i="37"/>
  <c r="O834" i="37"/>
  <c r="O835" i="37"/>
  <c r="O836" i="37"/>
  <c r="O837" i="37"/>
  <c r="O838" i="37"/>
  <c r="O839" i="37"/>
  <c r="O840" i="37"/>
  <c r="O841" i="37"/>
  <c r="O842" i="37"/>
  <c r="O843" i="37"/>
  <c r="O844" i="37"/>
  <c r="O845" i="37"/>
  <c r="O846" i="37"/>
  <c r="O847" i="37"/>
  <c r="O848" i="37"/>
  <c r="O849" i="37"/>
  <c r="O850" i="37"/>
  <c r="O851" i="37"/>
  <c r="O852" i="37"/>
  <c r="O853" i="37"/>
  <c r="O854" i="37"/>
  <c r="O855" i="37"/>
  <c r="O856" i="37"/>
  <c r="O857" i="37"/>
  <c r="O858" i="37"/>
  <c r="O859" i="37"/>
  <c r="O860" i="37"/>
  <c r="O861" i="37"/>
  <c r="O862" i="37"/>
  <c r="O863" i="37"/>
  <c r="O864" i="37"/>
  <c r="O865" i="37"/>
  <c r="O866" i="37"/>
  <c r="O867" i="37"/>
  <c r="O868" i="37"/>
  <c r="O869" i="37"/>
  <c r="O870" i="37"/>
  <c r="O871" i="37"/>
  <c r="O872" i="37"/>
  <c r="O873" i="37"/>
  <c r="O874" i="37"/>
  <c r="O875" i="37"/>
  <c r="O876" i="37"/>
  <c r="O877" i="37"/>
  <c r="O878" i="37"/>
  <c r="O879" i="37"/>
  <c r="O880" i="37"/>
  <c r="O881" i="37"/>
  <c r="O882" i="37"/>
  <c r="O883" i="37"/>
  <c r="O884" i="37"/>
  <c r="O885" i="37"/>
  <c r="O886" i="37"/>
  <c r="O887" i="37"/>
  <c r="O888" i="37"/>
  <c r="O889" i="37"/>
  <c r="O890" i="37"/>
  <c r="O891" i="37"/>
  <c r="O892" i="37"/>
  <c r="O893" i="37"/>
  <c r="O894" i="37"/>
  <c r="O895" i="37"/>
  <c r="O896" i="37"/>
  <c r="O897" i="37"/>
  <c r="O898" i="37"/>
  <c r="O899" i="37"/>
  <c r="O900" i="37"/>
  <c r="O901" i="37"/>
  <c r="O902" i="37"/>
  <c r="O3" i="37"/>
  <c r="O4" i="37"/>
  <c r="O5" i="37"/>
  <c r="O6" i="37"/>
  <c r="O7" i="37"/>
  <c r="O8" i="37"/>
  <c r="O2" i="37"/>
  <c r="G902" i="37" l="1"/>
  <c r="F902" i="37"/>
  <c r="G901" i="37"/>
  <c r="F901" i="37"/>
  <c r="G900" i="37"/>
  <c r="F900" i="37"/>
  <c r="G899" i="37"/>
  <c r="F899" i="37"/>
  <c r="G898" i="37"/>
  <c r="F898" i="37"/>
  <c r="G897" i="37"/>
  <c r="F897" i="37"/>
  <c r="G896" i="37"/>
  <c r="F896" i="37"/>
  <c r="G895" i="37"/>
  <c r="F895" i="37"/>
  <c r="G894" i="37"/>
  <c r="F894" i="37"/>
  <c r="G893" i="37"/>
  <c r="F893" i="37"/>
  <c r="G892" i="37"/>
  <c r="F892" i="37"/>
  <c r="G891" i="37"/>
  <c r="F891" i="37"/>
  <c r="G890" i="37"/>
  <c r="F890" i="37"/>
  <c r="G889" i="37"/>
  <c r="F889" i="37"/>
  <c r="G888" i="37"/>
  <c r="F888" i="37"/>
  <c r="G887" i="37"/>
  <c r="F887" i="37"/>
  <c r="G886" i="37"/>
  <c r="F886" i="37"/>
  <c r="G885" i="37"/>
  <c r="F885" i="37"/>
  <c r="G884" i="37"/>
  <c r="F884" i="37"/>
  <c r="G883" i="37"/>
  <c r="F883" i="37"/>
  <c r="G882" i="37"/>
  <c r="F882" i="37"/>
  <c r="G881" i="37"/>
  <c r="F881" i="37"/>
  <c r="G880" i="37"/>
  <c r="F880" i="37"/>
  <c r="G879" i="37"/>
  <c r="F879" i="37"/>
  <c r="G878" i="37"/>
  <c r="F878" i="37"/>
  <c r="G877" i="37"/>
  <c r="F877" i="37"/>
  <c r="G876" i="37"/>
  <c r="F876" i="37"/>
  <c r="G875" i="37"/>
  <c r="F875" i="37"/>
  <c r="G874" i="37"/>
  <c r="F874" i="37"/>
  <c r="G873" i="37"/>
  <c r="F873" i="37"/>
  <c r="G872" i="37"/>
  <c r="F872" i="37"/>
  <c r="G871" i="37"/>
  <c r="F871" i="37"/>
  <c r="G870" i="37"/>
  <c r="F870" i="37"/>
  <c r="G869" i="37"/>
  <c r="F869" i="37"/>
  <c r="G868" i="37"/>
  <c r="F868" i="37"/>
  <c r="G867" i="37"/>
  <c r="F867" i="37"/>
  <c r="G866" i="37"/>
  <c r="F866" i="37"/>
  <c r="G865" i="37"/>
  <c r="F865" i="37"/>
  <c r="G864" i="37"/>
  <c r="F864" i="37"/>
  <c r="G863" i="37"/>
  <c r="F863" i="37"/>
  <c r="G862" i="37"/>
  <c r="F862" i="37"/>
  <c r="G861" i="37"/>
  <c r="F861" i="37"/>
  <c r="G860" i="37"/>
  <c r="F860" i="37"/>
  <c r="G859" i="37"/>
  <c r="F859" i="37"/>
  <c r="G858" i="37"/>
  <c r="F858" i="37"/>
  <c r="G857" i="37"/>
  <c r="F857" i="37"/>
  <c r="G856" i="37"/>
  <c r="F856" i="37"/>
  <c r="G855" i="37"/>
  <c r="F855" i="37"/>
  <c r="G854" i="37"/>
  <c r="F854" i="37"/>
  <c r="G853" i="37"/>
  <c r="F853" i="37"/>
  <c r="G852" i="37"/>
  <c r="F852" i="37"/>
  <c r="G851" i="37"/>
  <c r="F851" i="37"/>
  <c r="G850" i="37"/>
  <c r="F850" i="37"/>
  <c r="G849" i="37"/>
  <c r="F849" i="37"/>
  <c r="G848" i="37"/>
  <c r="F848" i="37"/>
  <c r="G847" i="37"/>
  <c r="F847" i="37"/>
  <c r="G846" i="37"/>
  <c r="F846" i="37"/>
  <c r="G845" i="37"/>
  <c r="F845" i="37"/>
  <c r="G844" i="37"/>
  <c r="F844" i="37"/>
  <c r="G843" i="37"/>
  <c r="F843" i="37"/>
  <c r="G842" i="37"/>
  <c r="F842" i="37"/>
  <c r="G841" i="37"/>
  <c r="F841" i="37"/>
  <c r="G840" i="37"/>
  <c r="F840" i="37"/>
  <c r="G839" i="37"/>
  <c r="F839" i="37"/>
  <c r="G838" i="37"/>
  <c r="F838" i="37"/>
  <c r="G837" i="37"/>
  <c r="F837" i="37"/>
  <c r="G836" i="37"/>
  <c r="F836" i="37"/>
  <c r="G835" i="37"/>
  <c r="F835" i="37"/>
  <c r="G834" i="37"/>
  <c r="F834" i="37"/>
  <c r="G833" i="37"/>
  <c r="F833" i="37"/>
  <c r="G832" i="37"/>
  <c r="F832" i="37"/>
  <c r="G831" i="37"/>
  <c r="F831" i="37"/>
  <c r="G830" i="37"/>
  <c r="F830" i="37"/>
  <c r="G829" i="37"/>
  <c r="F829" i="37"/>
  <c r="G828" i="37"/>
  <c r="F828" i="37"/>
  <c r="G827" i="37"/>
  <c r="F827" i="37"/>
  <c r="G826" i="37"/>
  <c r="F826" i="37"/>
  <c r="G825" i="37"/>
  <c r="F825" i="37"/>
  <c r="G824" i="37"/>
  <c r="F824" i="37"/>
  <c r="G823" i="37"/>
  <c r="F823" i="37"/>
  <c r="G822" i="37"/>
  <c r="F822" i="37"/>
  <c r="G821" i="37"/>
  <c r="F821" i="37"/>
  <c r="G820" i="37"/>
  <c r="F820" i="37"/>
  <c r="G819" i="37"/>
  <c r="F819" i="37"/>
  <c r="G818" i="37"/>
  <c r="F818" i="37"/>
  <c r="G817" i="37"/>
  <c r="F817" i="37"/>
  <c r="G816" i="37"/>
  <c r="F816" i="37"/>
  <c r="G815" i="37"/>
  <c r="F815" i="37"/>
  <c r="G814" i="37"/>
  <c r="F814" i="37"/>
  <c r="G813" i="37"/>
  <c r="F813" i="37"/>
  <c r="G812" i="37"/>
  <c r="F812" i="37"/>
  <c r="G811" i="37"/>
  <c r="F811" i="37"/>
  <c r="G810" i="37"/>
  <c r="F810" i="37"/>
  <c r="G809" i="37"/>
  <c r="F809" i="37"/>
  <c r="G808" i="37"/>
  <c r="F808" i="37"/>
  <c r="G807" i="37"/>
  <c r="F807" i="37"/>
  <c r="G806" i="37"/>
  <c r="F806" i="37"/>
  <c r="G805" i="37"/>
  <c r="F805" i="37"/>
  <c r="G804" i="37"/>
  <c r="F804" i="37"/>
  <c r="G803" i="37"/>
  <c r="F803" i="37"/>
  <c r="G802" i="37"/>
  <c r="F802" i="37"/>
  <c r="G801" i="37"/>
  <c r="F801" i="37"/>
  <c r="G800" i="37"/>
  <c r="F800" i="37"/>
  <c r="G799" i="37"/>
  <c r="F799" i="37"/>
  <c r="G798" i="37"/>
  <c r="F798" i="37"/>
  <c r="G797" i="37"/>
  <c r="F797" i="37"/>
  <c r="G796" i="37"/>
  <c r="F796" i="37"/>
  <c r="G795" i="37"/>
  <c r="F795" i="37"/>
  <c r="G794" i="37"/>
  <c r="F794" i="37"/>
  <c r="G793" i="37"/>
  <c r="F793" i="37"/>
  <c r="G792" i="37"/>
  <c r="F792" i="37"/>
  <c r="G791" i="37"/>
  <c r="F791" i="37"/>
  <c r="G790" i="37"/>
  <c r="F790" i="37"/>
  <c r="G789" i="37"/>
  <c r="F789" i="37"/>
  <c r="G788" i="37"/>
  <c r="F788" i="37"/>
  <c r="G787" i="37"/>
  <c r="F787" i="37"/>
  <c r="G786" i="37"/>
  <c r="F786" i="37"/>
  <c r="G785" i="37"/>
  <c r="F785" i="37"/>
  <c r="G784" i="37"/>
  <c r="F784" i="37"/>
  <c r="G783" i="37"/>
  <c r="F783" i="37"/>
  <c r="G782" i="37"/>
  <c r="F782" i="37"/>
  <c r="G781" i="37"/>
  <c r="F781" i="37"/>
  <c r="G780" i="37"/>
  <c r="F780" i="37"/>
  <c r="G779" i="37"/>
  <c r="F779" i="37"/>
  <c r="G778" i="37"/>
  <c r="F778" i="37"/>
  <c r="G777" i="37"/>
  <c r="F777" i="37"/>
  <c r="G776" i="37"/>
  <c r="F776" i="37"/>
  <c r="G775" i="37"/>
  <c r="F775" i="37"/>
  <c r="G774" i="37"/>
  <c r="F774" i="37"/>
  <c r="G773" i="37"/>
  <c r="F773" i="37"/>
  <c r="G772" i="37"/>
  <c r="F772" i="37"/>
  <c r="G771" i="37"/>
  <c r="F771" i="37"/>
  <c r="G770" i="37"/>
  <c r="F770" i="37"/>
  <c r="G769" i="37"/>
  <c r="F769" i="37"/>
  <c r="G768" i="37"/>
  <c r="F768" i="37"/>
  <c r="G767" i="37"/>
  <c r="F767" i="37"/>
  <c r="G766" i="37"/>
  <c r="F766" i="37"/>
  <c r="G765" i="37"/>
  <c r="F765" i="37"/>
  <c r="G764" i="37"/>
  <c r="F764" i="37"/>
  <c r="G763" i="37"/>
  <c r="F763" i="37"/>
  <c r="G762" i="37"/>
  <c r="F762" i="37"/>
  <c r="G761" i="37"/>
  <c r="F761" i="37"/>
  <c r="G760" i="37"/>
  <c r="F760" i="37"/>
  <c r="G759" i="37"/>
  <c r="F759" i="37"/>
  <c r="G758" i="37"/>
  <c r="F758" i="37"/>
  <c r="G757" i="37"/>
  <c r="F757" i="37"/>
  <c r="G756" i="37"/>
  <c r="F756" i="37"/>
  <c r="G755" i="37"/>
  <c r="F755" i="37"/>
  <c r="G754" i="37"/>
  <c r="F754" i="37"/>
  <c r="G753" i="37"/>
  <c r="F753" i="37"/>
  <c r="G752" i="37"/>
  <c r="F752" i="37"/>
  <c r="G751" i="37"/>
  <c r="F751" i="37"/>
  <c r="G750" i="37"/>
  <c r="F750" i="37"/>
  <c r="G749" i="37"/>
  <c r="F749" i="37"/>
  <c r="G748" i="37"/>
  <c r="F748" i="37"/>
  <c r="G747" i="37"/>
  <c r="F747" i="37"/>
  <c r="G746" i="37"/>
  <c r="F746" i="37"/>
  <c r="G745" i="37"/>
  <c r="F745" i="37"/>
  <c r="G744" i="37"/>
  <c r="F744" i="37"/>
  <c r="G743" i="37"/>
  <c r="F743" i="37"/>
  <c r="G742" i="37"/>
  <c r="F742" i="37"/>
  <c r="G741" i="37"/>
  <c r="F741" i="37"/>
  <c r="G740" i="37"/>
  <c r="F740" i="37"/>
  <c r="G739" i="37"/>
  <c r="F739" i="37"/>
  <c r="G738" i="37"/>
  <c r="F738" i="37"/>
  <c r="G737" i="37"/>
  <c r="F737" i="37"/>
  <c r="G736" i="37"/>
  <c r="F736" i="37"/>
  <c r="G735" i="37"/>
  <c r="F735" i="37"/>
  <c r="G734" i="37"/>
  <c r="F734" i="37"/>
  <c r="G733" i="37"/>
  <c r="F733" i="37"/>
  <c r="G732" i="37"/>
  <c r="F732" i="37"/>
  <c r="G731" i="37"/>
  <c r="F731" i="37"/>
  <c r="G730" i="37"/>
  <c r="F730" i="37"/>
  <c r="G729" i="37"/>
  <c r="F729" i="37"/>
  <c r="G728" i="37"/>
  <c r="F728" i="37"/>
  <c r="G727" i="37"/>
  <c r="F727" i="37"/>
  <c r="G726" i="37"/>
  <c r="F726" i="37"/>
  <c r="G725" i="37"/>
  <c r="F725" i="37"/>
  <c r="G724" i="37"/>
  <c r="F724" i="37"/>
  <c r="G723" i="37"/>
  <c r="F723" i="37"/>
  <c r="G722" i="37"/>
  <c r="F722" i="37"/>
  <c r="G721" i="37"/>
  <c r="F721" i="37"/>
  <c r="G720" i="37"/>
  <c r="F720" i="37"/>
  <c r="G719" i="37"/>
  <c r="F719" i="37"/>
  <c r="G718" i="37"/>
  <c r="F718" i="37"/>
  <c r="G717" i="37"/>
  <c r="F717" i="37"/>
  <c r="G716" i="37"/>
  <c r="F716" i="37"/>
  <c r="G715" i="37"/>
  <c r="F715" i="37"/>
  <c r="G714" i="37"/>
  <c r="F714" i="37"/>
  <c r="G713" i="37"/>
  <c r="F713" i="37"/>
  <c r="G712" i="37"/>
  <c r="F712" i="37"/>
  <c r="G711" i="37"/>
  <c r="F711" i="37"/>
  <c r="G710" i="37"/>
  <c r="F710" i="37"/>
  <c r="G709" i="37"/>
  <c r="F709" i="37"/>
  <c r="G708" i="37"/>
  <c r="F708" i="37"/>
  <c r="G707" i="37"/>
  <c r="F707" i="37"/>
  <c r="G706" i="37"/>
  <c r="F706" i="37"/>
  <c r="G705" i="37"/>
  <c r="F705" i="37"/>
  <c r="G704" i="37"/>
  <c r="F704" i="37"/>
  <c r="G703" i="37"/>
  <c r="F703" i="37"/>
  <c r="G702" i="37"/>
  <c r="F702" i="37"/>
  <c r="G701" i="37"/>
  <c r="F701" i="37"/>
  <c r="G700" i="37"/>
  <c r="F700" i="37"/>
  <c r="G699" i="37"/>
  <c r="F699" i="37"/>
  <c r="G698" i="37"/>
  <c r="F698" i="37"/>
  <c r="G697" i="37"/>
  <c r="F697" i="37"/>
  <c r="G696" i="37"/>
  <c r="F696" i="37"/>
  <c r="G695" i="37"/>
  <c r="F695" i="37"/>
  <c r="G694" i="37"/>
  <c r="F694" i="37"/>
  <c r="G693" i="37"/>
  <c r="F693" i="37"/>
  <c r="G692" i="37"/>
  <c r="F692" i="37"/>
  <c r="G691" i="37"/>
  <c r="F691" i="37"/>
  <c r="G690" i="37"/>
  <c r="F690" i="37"/>
  <c r="G689" i="37"/>
  <c r="F689" i="37"/>
  <c r="G688" i="37"/>
  <c r="F688" i="37"/>
  <c r="G687" i="37"/>
  <c r="F687" i="37"/>
  <c r="G686" i="37"/>
  <c r="F686" i="37"/>
  <c r="G685" i="37"/>
  <c r="F685" i="37"/>
  <c r="G684" i="37"/>
  <c r="F684" i="37"/>
  <c r="G683" i="37"/>
  <c r="F683" i="37"/>
  <c r="G682" i="37"/>
  <c r="F682" i="37"/>
  <c r="G681" i="37"/>
  <c r="F681" i="37"/>
  <c r="G680" i="37"/>
  <c r="F680" i="37"/>
  <c r="G679" i="37"/>
  <c r="F679" i="37"/>
  <c r="G678" i="37"/>
  <c r="F678" i="37"/>
  <c r="G677" i="37"/>
  <c r="F677" i="37"/>
  <c r="G676" i="37"/>
  <c r="F676" i="37"/>
  <c r="G675" i="37"/>
  <c r="F675" i="37"/>
  <c r="G674" i="37"/>
  <c r="F674" i="37"/>
  <c r="G673" i="37"/>
  <c r="F673" i="37"/>
  <c r="G672" i="37"/>
  <c r="F672" i="37"/>
  <c r="G671" i="37"/>
  <c r="F671" i="37"/>
  <c r="G670" i="37"/>
  <c r="F670" i="37"/>
  <c r="G669" i="37"/>
  <c r="F669" i="37"/>
  <c r="G668" i="37"/>
  <c r="F668" i="37"/>
  <c r="G667" i="37"/>
  <c r="F667" i="37"/>
  <c r="G666" i="37"/>
  <c r="F666" i="37"/>
  <c r="G665" i="37"/>
  <c r="F665" i="37"/>
  <c r="G664" i="37"/>
  <c r="F664" i="37"/>
  <c r="G663" i="37"/>
  <c r="F663" i="37"/>
  <c r="G662" i="37"/>
  <c r="F662" i="37"/>
  <c r="G661" i="37"/>
  <c r="F661" i="37"/>
  <c r="G660" i="37"/>
  <c r="F660" i="37"/>
  <c r="G659" i="37"/>
  <c r="F659" i="37"/>
  <c r="G658" i="37"/>
  <c r="F658" i="37"/>
  <c r="G657" i="37"/>
  <c r="F657" i="37"/>
  <c r="G656" i="37"/>
  <c r="F656" i="37"/>
  <c r="G655" i="37"/>
  <c r="F655" i="37"/>
  <c r="G654" i="37"/>
  <c r="F654" i="37"/>
  <c r="G653" i="37"/>
  <c r="F653" i="37"/>
  <c r="G652" i="37"/>
  <c r="F652" i="37"/>
  <c r="G651" i="37"/>
  <c r="F651" i="37"/>
  <c r="G650" i="37"/>
  <c r="F650" i="37"/>
  <c r="G649" i="37"/>
  <c r="F649" i="37"/>
  <c r="G648" i="37"/>
  <c r="F648" i="37"/>
  <c r="G647" i="37"/>
  <c r="F647" i="37"/>
  <c r="G646" i="37"/>
  <c r="F646" i="37"/>
  <c r="G645" i="37"/>
  <c r="F645" i="37"/>
  <c r="G644" i="37"/>
  <c r="F644" i="37"/>
  <c r="G643" i="37"/>
  <c r="F643" i="37"/>
  <c r="G642" i="37"/>
  <c r="F642" i="37"/>
  <c r="G641" i="37"/>
  <c r="F641" i="37"/>
  <c r="G640" i="37"/>
  <c r="F640" i="37"/>
  <c r="G639" i="37"/>
  <c r="F639" i="37"/>
  <c r="G638" i="37"/>
  <c r="F638" i="37"/>
  <c r="G637" i="37"/>
  <c r="F637" i="37"/>
  <c r="G636" i="37"/>
  <c r="F636" i="37"/>
  <c r="G635" i="37"/>
  <c r="F635" i="37"/>
  <c r="G634" i="37"/>
  <c r="F634" i="37"/>
  <c r="G633" i="37"/>
  <c r="F633" i="37"/>
  <c r="G632" i="37"/>
  <c r="F632" i="37"/>
  <c r="G631" i="37"/>
  <c r="F631" i="37"/>
  <c r="G630" i="37"/>
  <c r="F630" i="37"/>
  <c r="G629" i="37"/>
  <c r="F629" i="37"/>
  <c r="G628" i="37"/>
  <c r="F628" i="37"/>
  <c r="G627" i="37"/>
  <c r="F627" i="37"/>
  <c r="G626" i="37"/>
  <c r="F626" i="37"/>
  <c r="G625" i="37"/>
  <c r="F625" i="37"/>
  <c r="G624" i="37"/>
  <c r="F624" i="37"/>
  <c r="G623" i="37"/>
  <c r="F623" i="37"/>
  <c r="G622" i="37"/>
  <c r="F622" i="37"/>
  <c r="G621" i="37"/>
  <c r="F621" i="37"/>
  <c r="G620" i="37"/>
  <c r="F620" i="37"/>
  <c r="G619" i="37"/>
  <c r="F619" i="37"/>
  <c r="G618" i="37"/>
  <c r="F618" i="37"/>
  <c r="G617" i="37"/>
  <c r="F617" i="37"/>
  <c r="G616" i="37"/>
  <c r="F616" i="37"/>
  <c r="G615" i="37"/>
  <c r="F615" i="37"/>
  <c r="G614" i="37"/>
  <c r="F614" i="37"/>
  <c r="G613" i="37"/>
  <c r="F613" i="37"/>
  <c r="G612" i="37"/>
  <c r="F612" i="37"/>
  <c r="G611" i="37"/>
  <c r="F611" i="37"/>
  <c r="G610" i="37"/>
  <c r="F610" i="37"/>
  <c r="G609" i="37"/>
  <c r="F609" i="37"/>
  <c r="G608" i="37"/>
  <c r="F608" i="37"/>
  <c r="G607" i="37"/>
  <c r="F607" i="37"/>
  <c r="G606" i="37"/>
  <c r="F606" i="37"/>
  <c r="G605" i="37"/>
  <c r="F605" i="37"/>
  <c r="G604" i="37"/>
  <c r="F604" i="37"/>
  <c r="G603" i="37"/>
  <c r="F603" i="37"/>
  <c r="G602" i="37"/>
  <c r="F602" i="37"/>
  <c r="G601" i="37"/>
  <c r="F601" i="37"/>
  <c r="G600" i="37"/>
  <c r="F600" i="37"/>
  <c r="G599" i="37"/>
  <c r="F599" i="37"/>
  <c r="G598" i="37"/>
  <c r="F598" i="37"/>
  <c r="G597" i="37"/>
  <c r="F597" i="37"/>
  <c r="G596" i="37"/>
  <c r="F596" i="37"/>
  <c r="G595" i="37"/>
  <c r="F595" i="37"/>
  <c r="G594" i="37"/>
  <c r="F594" i="37"/>
  <c r="G593" i="37"/>
  <c r="F593" i="37"/>
  <c r="G592" i="37"/>
  <c r="F592" i="37"/>
  <c r="G591" i="37"/>
  <c r="F591" i="37"/>
  <c r="G590" i="37"/>
  <c r="F590" i="37"/>
  <c r="G589" i="37"/>
  <c r="F589" i="37"/>
  <c r="G588" i="37"/>
  <c r="F588" i="37"/>
  <c r="G587" i="37"/>
  <c r="F587" i="37"/>
  <c r="G586" i="37"/>
  <c r="F586" i="37"/>
  <c r="G585" i="37"/>
  <c r="F585" i="37"/>
  <c r="G584" i="37"/>
  <c r="F584" i="37"/>
  <c r="G583" i="37"/>
  <c r="F583" i="37"/>
  <c r="G582" i="37"/>
  <c r="F582" i="37"/>
  <c r="G581" i="37"/>
  <c r="F581" i="37"/>
  <c r="G580" i="37"/>
  <c r="F580" i="37"/>
  <c r="G579" i="37"/>
  <c r="F579" i="37"/>
  <c r="G578" i="37"/>
  <c r="F578" i="37"/>
  <c r="G577" i="37"/>
  <c r="F577" i="37"/>
  <c r="G576" i="37"/>
  <c r="F576" i="37"/>
  <c r="G575" i="37"/>
  <c r="F575" i="37"/>
  <c r="G574" i="37"/>
  <c r="F574" i="37"/>
  <c r="G573" i="37"/>
  <c r="F573" i="37"/>
  <c r="G572" i="37"/>
  <c r="F572" i="37"/>
  <c r="G571" i="37"/>
  <c r="F571" i="37"/>
  <c r="G570" i="37"/>
  <c r="F570" i="37"/>
  <c r="G569" i="37"/>
  <c r="F569" i="37"/>
  <c r="G568" i="37"/>
  <c r="F568" i="37"/>
  <c r="G567" i="37"/>
  <c r="F567" i="37"/>
  <c r="G566" i="37"/>
  <c r="F566" i="37"/>
  <c r="G565" i="37"/>
  <c r="F565" i="37"/>
  <c r="G564" i="37"/>
  <c r="F564" i="37"/>
  <c r="G563" i="37"/>
  <c r="F563" i="37"/>
  <c r="G562" i="37"/>
  <c r="F562" i="37"/>
  <c r="G561" i="37"/>
  <c r="F561" i="37"/>
  <c r="G560" i="37"/>
  <c r="F560" i="37"/>
  <c r="G559" i="37"/>
  <c r="F559" i="37"/>
  <c r="G558" i="37"/>
  <c r="F558" i="37"/>
  <c r="G557" i="37"/>
  <c r="F557" i="37"/>
  <c r="G556" i="37"/>
  <c r="F556" i="37"/>
  <c r="G555" i="37"/>
  <c r="F555" i="37"/>
  <c r="G554" i="37"/>
  <c r="F554" i="37"/>
  <c r="G553" i="37"/>
  <c r="F553" i="37"/>
  <c r="G552" i="37"/>
  <c r="F552" i="37"/>
  <c r="G551" i="37"/>
  <c r="F551" i="37"/>
  <c r="G550" i="37"/>
  <c r="F550" i="37"/>
  <c r="G549" i="37"/>
  <c r="F549" i="37"/>
  <c r="G548" i="37"/>
  <c r="F548" i="37"/>
  <c r="G547" i="37"/>
  <c r="F547" i="37"/>
  <c r="G546" i="37"/>
  <c r="F546" i="37"/>
  <c r="G545" i="37"/>
  <c r="F545" i="37"/>
  <c r="G544" i="37"/>
  <c r="F544" i="37"/>
  <c r="G543" i="37"/>
  <c r="F543" i="37"/>
  <c r="G542" i="37"/>
  <c r="F542" i="37"/>
  <c r="G541" i="37"/>
  <c r="F541" i="37"/>
  <c r="G540" i="37"/>
  <c r="F540" i="37"/>
  <c r="G539" i="37"/>
  <c r="F539" i="37"/>
  <c r="G538" i="37"/>
  <c r="F538" i="37"/>
  <c r="G537" i="37"/>
  <c r="F537" i="37"/>
  <c r="G536" i="37"/>
  <c r="F536" i="37"/>
  <c r="G535" i="37"/>
  <c r="F535" i="37"/>
  <c r="G534" i="37"/>
  <c r="F534" i="37"/>
  <c r="G533" i="37"/>
  <c r="F533" i="37"/>
  <c r="G532" i="37"/>
  <c r="F532" i="37"/>
  <c r="G531" i="37"/>
  <c r="F531" i="37"/>
  <c r="G530" i="37"/>
  <c r="F530" i="37"/>
  <c r="G529" i="37"/>
  <c r="F529" i="37"/>
  <c r="G528" i="37"/>
  <c r="F528" i="37"/>
  <c r="G527" i="37"/>
  <c r="F527" i="37"/>
  <c r="G526" i="37"/>
  <c r="F526" i="37"/>
  <c r="G525" i="37"/>
  <c r="F525" i="37"/>
  <c r="G524" i="37"/>
  <c r="F524" i="37"/>
  <c r="G523" i="37"/>
  <c r="F523" i="37"/>
  <c r="G522" i="37"/>
  <c r="F522" i="37"/>
  <c r="G521" i="37"/>
  <c r="F521" i="37"/>
  <c r="G520" i="37"/>
  <c r="F520" i="37"/>
  <c r="G519" i="37"/>
  <c r="F519" i="37"/>
  <c r="L518" i="37"/>
  <c r="K518" i="37"/>
  <c r="G518" i="37"/>
  <c r="F518" i="37"/>
  <c r="L517" i="37"/>
  <c r="K517" i="37"/>
  <c r="G517" i="37"/>
  <c r="F517" i="37"/>
  <c r="L516" i="37"/>
  <c r="K516" i="37"/>
  <c r="G516" i="37"/>
  <c r="F516" i="37"/>
  <c r="L515" i="37"/>
  <c r="K515" i="37"/>
  <c r="G515" i="37"/>
  <c r="F515" i="37"/>
  <c r="L514" i="37"/>
  <c r="K514" i="37"/>
  <c r="G514" i="37"/>
  <c r="F514" i="37"/>
  <c r="L513" i="37"/>
  <c r="K513" i="37"/>
  <c r="G513" i="37"/>
  <c r="F513" i="37"/>
  <c r="L512" i="37"/>
  <c r="K512" i="37"/>
  <c r="G512" i="37"/>
  <c r="F512" i="37"/>
  <c r="L511" i="37"/>
  <c r="K511" i="37"/>
  <c r="G511" i="37"/>
  <c r="F511" i="37"/>
  <c r="L510" i="37"/>
  <c r="K510" i="37"/>
  <c r="G510" i="37"/>
  <c r="F510" i="37"/>
  <c r="L509" i="37"/>
  <c r="K509" i="37"/>
  <c r="G509" i="37"/>
  <c r="F509" i="37"/>
  <c r="L508" i="37"/>
  <c r="K508" i="37"/>
  <c r="G508" i="37"/>
  <c r="F508" i="37"/>
  <c r="L507" i="37"/>
  <c r="K507" i="37"/>
  <c r="G507" i="37"/>
  <c r="F507" i="37"/>
  <c r="L506" i="37"/>
  <c r="K506" i="37"/>
  <c r="G506" i="37"/>
  <c r="F506" i="37"/>
  <c r="L505" i="37"/>
  <c r="K505" i="37"/>
  <c r="G505" i="37"/>
  <c r="F505" i="37"/>
  <c r="L504" i="37"/>
  <c r="K504" i="37"/>
  <c r="G504" i="37"/>
  <c r="F504" i="37"/>
  <c r="L503" i="37"/>
  <c r="K503" i="37"/>
  <c r="G503" i="37"/>
  <c r="F503" i="37"/>
  <c r="L502" i="37"/>
  <c r="K502" i="37"/>
  <c r="G502" i="37"/>
  <c r="F502" i="37"/>
  <c r="L501" i="37"/>
  <c r="K501" i="37"/>
  <c r="G501" i="37"/>
  <c r="F501" i="37"/>
  <c r="L500" i="37"/>
  <c r="K500" i="37"/>
  <c r="G500" i="37"/>
  <c r="F500" i="37"/>
  <c r="L499" i="37"/>
  <c r="K499" i="37"/>
  <c r="G499" i="37"/>
  <c r="F499" i="37"/>
  <c r="L498" i="37"/>
  <c r="K498" i="37"/>
  <c r="G498" i="37"/>
  <c r="F498" i="37"/>
  <c r="L497" i="37"/>
  <c r="K497" i="37"/>
  <c r="G497" i="37"/>
  <c r="F497" i="37"/>
  <c r="L496" i="37"/>
  <c r="K496" i="37"/>
  <c r="G496" i="37"/>
  <c r="F496" i="37"/>
  <c r="L495" i="37"/>
  <c r="K495" i="37"/>
  <c r="G495" i="37"/>
  <c r="F495" i="37"/>
  <c r="L494" i="37"/>
  <c r="K494" i="37"/>
  <c r="G494" i="37"/>
  <c r="F494" i="37"/>
  <c r="L493" i="37"/>
  <c r="K493" i="37"/>
  <c r="G493" i="37"/>
  <c r="F493" i="37"/>
  <c r="L492" i="37"/>
  <c r="K492" i="37"/>
  <c r="G492" i="37"/>
  <c r="F492" i="37"/>
  <c r="L491" i="37"/>
  <c r="K491" i="37"/>
  <c r="G491" i="37"/>
  <c r="F491" i="37"/>
  <c r="L490" i="37"/>
  <c r="K490" i="37"/>
  <c r="G490" i="37"/>
  <c r="F490" i="37"/>
  <c r="L489" i="37"/>
  <c r="K489" i="37"/>
  <c r="G489" i="37"/>
  <c r="F489" i="37"/>
  <c r="L488" i="37"/>
  <c r="K488" i="37"/>
  <c r="G488" i="37"/>
  <c r="F488" i="37"/>
  <c r="L487" i="37"/>
  <c r="K487" i="37"/>
  <c r="G487" i="37"/>
  <c r="F487" i="37"/>
  <c r="L486" i="37"/>
  <c r="K486" i="37"/>
  <c r="G486" i="37"/>
  <c r="F486" i="37"/>
  <c r="L485" i="37"/>
  <c r="K485" i="37"/>
  <c r="G485" i="37"/>
  <c r="F485" i="37"/>
  <c r="L484" i="37"/>
  <c r="K484" i="37"/>
  <c r="G484" i="37"/>
  <c r="F484" i="37"/>
  <c r="L483" i="37"/>
  <c r="K483" i="37"/>
  <c r="G483" i="37"/>
  <c r="F483" i="37"/>
  <c r="L482" i="37"/>
  <c r="K482" i="37"/>
  <c r="G482" i="37"/>
  <c r="F482" i="37"/>
  <c r="L481" i="37"/>
  <c r="K481" i="37"/>
  <c r="G481" i="37"/>
  <c r="F481" i="37"/>
  <c r="L480" i="37"/>
  <c r="K480" i="37"/>
  <c r="G480" i="37"/>
  <c r="F480" i="37"/>
  <c r="L479" i="37"/>
  <c r="K479" i="37"/>
  <c r="G479" i="37"/>
  <c r="F479" i="37"/>
  <c r="L478" i="37"/>
  <c r="K478" i="37"/>
  <c r="G478" i="37"/>
  <c r="F478" i="37"/>
  <c r="L477" i="37"/>
  <c r="K477" i="37"/>
  <c r="G477" i="37"/>
  <c r="F477" i="37"/>
  <c r="L476" i="37"/>
  <c r="K476" i="37"/>
  <c r="G476" i="37"/>
  <c r="F476" i="37"/>
  <c r="L475" i="37"/>
  <c r="K475" i="37"/>
  <c r="G475" i="37"/>
  <c r="F475" i="37"/>
  <c r="L474" i="37"/>
  <c r="K474" i="37"/>
  <c r="G474" i="37"/>
  <c r="F474" i="37"/>
  <c r="L473" i="37"/>
  <c r="K473" i="37"/>
  <c r="G473" i="37"/>
  <c r="F473" i="37"/>
  <c r="L472" i="37"/>
  <c r="K472" i="37"/>
  <c r="G472" i="37"/>
  <c r="F472" i="37"/>
  <c r="L471" i="37"/>
  <c r="K471" i="37"/>
  <c r="G471" i="37"/>
  <c r="F471" i="37"/>
  <c r="L470" i="37"/>
  <c r="K470" i="37"/>
  <c r="G470" i="37"/>
  <c r="F470" i="37"/>
  <c r="L469" i="37"/>
  <c r="K469" i="37"/>
  <c r="G469" i="37"/>
  <c r="F469" i="37"/>
  <c r="L468" i="37"/>
  <c r="K468" i="37"/>
  <c r="G468" i="37"/>
  <c r="F468" i="37"/>
  <c r="L467" i="37"/>
  <c r="K467" i="37"/>
  <c r="G467" i="37"/>
  <c r="F467" i="37"/>
  <c r="L466" i="37"/>
  <c r="K466" i="37"/>
  <c r="G466" i="37"/>
  <c r="F466" i="37"/>
  <c r="L465" i="37"/>
  <c r="K465" i="37"/>
  <c r="G465" i="37"/>
  <c r="F465" i="37"/>
  <c r="L464" i="37"/>
  <c r="K464" i="37"/>
  <c r="G464" i="37"/>
  <c r="F464" i="37"/>
  <c r="L463" i="37"/>
  <c r="K463" i="37"/>
  <c r="G463" i="37"/>
  <c r="F463" i="37"/>
  <c r="L462" i="37"/>
  <c r="K462" i="37"/>
  <c r="G462" i="37"/>
  <c r="F462" i="37"/>
  <c r="L461" i="37"/>
  <c r="K461" i="37"/>
  <c r="G461" i="37"/>
  <c r="F461" i="37"/>
  <c r="L460" i="37"/>
  <c r="K460" i="37"/>
  <c r="G460" i="37"/>
  <c r="F460" i="37"/>
  <c r="L459" i="37"/>
  <c r="K459" i="37"/>
  <c r="G459" i="37"/>
  <c r="F459" i="37"/>
  <c r="L458" i="37"/>
  <c r="K458" i="37"/>
  <c r="G458" i="37"/>
  <c r="F458" i="37"/>
  <c r="L457" i="37"/>
  <c r="K457" i="37"/>
  <c r="G457" i="37"/>
  <c r="F457" i="37"/>
  <c r="L456" i="37"/>
  <c r="K456" i="37"/>
  <c r="G456" i="37"/>
  <c r="F456" i="37"/>
  <c r="L455" i="37"/>
  <c r="K455" i="37"/>
  <c r="G455" i="37"/>
  <c r="F455" i="37"/>
  <c r="L454" i="37"/>
  <c r="K454" i="37"/>
  <c r="G454" i="37"/>
  <c r="F454" i="37"/>
  <c r="L453" i="37"/>
  <c r="K453" i="37"/>
  <c r="G453" i="37"/>
  <c r="F453" i="37"/>
  <c r="L452" i="37"/>
  <c r="K452" i="37"/>
  <c r="G452" i="37"/>
  <c r="F452" i="37"/>
  <c r="L451" i="37"/>
  <c r="K451" i="37"/>
  <c r="G451" i="37"/>
  <c r="F451" i="37"/>
  <c r="L450" i="37"/>
  <c r="K450" i="37"/>
  <c r="G450" i="37"/>
  <c r="F450" i="37"/>
  <c r="L449" i="37"/>
  <c r="K449" i="37"/>
  <c r="G449" i="37"/>
  <c r="F449" i="37"/>
  <c r="L448" i="37"/>
  <c r="K448" i="37"/>
  <c r="G448" i="37"/>
  <c r="F448" i="37"/>
  <c r="L447" i="37"/>
  <c r="K447" i="37"/>
  <c r="G447" i="37"/>
  <c r="F447" i="37"/>
  <c r="L446" i="37"/>
  <c r="K446" i="37"/>
  <c r="G446" i="37"/>
  <c r="F446" i="37"/>
  <c r="L445" i="37"/>
  <c r="K445" i="37"/>
  <c r="G445" i="37"/>
  <c r="F445" i="37"/>
  <c r="L444" i="37"/>
  <c r="K444" i="37"/>
  <c r="G444" i="37"/>
  <c r="F444" i="37"/>
  <c r="L443" i="37"/>
  <c r="K443" i="37"/>
  <c r="G443" i="37"/>
  <c r="F443" i="37"/>
  <c r="L442" i="37"/>
  <c r="K442" i="37"/>
  <c r="G442" i="37"/>
  <c r="F442" i="37"/>
  <c r="L441" i="37"/>
  <c r="K441" i="37"/>
  <c r="G441" i="37"/>
  <c r="F441" i="37"/>
  <c r="L440" i="37"/>
  <c r="K440" i="37"/>
  <c r="G440" i="37"/>
  <c r="F440" i="37"/>
  <c r="L439" i="37"/>
  <c r="K439" i="37"/>
  <c r="G439" i="37"/>
  <c r="F439" i="37"/>
  <c r="L438" i="37"/>
  <c r="K438" i="37"/>
  <c r="G438" i="37"/>
  <c r="F438" i="37"/>
  <c r="L437" i="37"/>
  <c r="K437" i="37"/>
  <c r="G437" i="37"/>
  <c r="F437" i="37"/>
  <c r="L436" i="37"/>
  <c r="K436" i="37"/>
  <c r="G436" i="37"/>
  <c r="F436" i="37"/>
  <c r="L435" i="37"/>
  <c r="K435" i="37"/>
  <c r="G435" i="37"/>
  <c r="F435" i="37"/>
  <c r="L434" i="37"/>
  <c r="K434" i="37"/>
  <c r="G434" i="37"/>
  <c r="F434" i="37"/>
  <c r="L433" i="37"/>
  <c r="K433" i="37"/>
  <c r="G433" i="37"/>
  <c r="F433" i="37"/>
  <c r="L432" i="37"/>
  <c r="K432" i="37"/>
  <c r="G432" i="37"/>
  <c r="F432" i="37"/>
  <c r="L431" i="37"/>
  <c r="K431" i="37"/>
  <c r="G431" i="37"/>
  <c r="F431" i="37"/>
  <c r="L430" i="37"/>
  <c r="K430" i="37"/>
  <c r="G430" i="37"/>
  <c r="F430" i="37"/>
  <c r="L429" i="37"/>
  <c r="K429" i="37"/>
  <c r="G429" i="37"/>
  <c r="F429" i="37"/>
  <c r="L428" i="37"/>
  <c r="K428" i="37"/>
  <c r="G428" i="37"/>
  <c r="F428" i="37"/>
  <c r="L427" i="37"/>
  <c r="K427" i="37"/>
  <c r="G427" i="37"/>
  <c r="F427" i="37"/>
  <c r="L426" i="37"/>
  <c r="K426" i="37"/>
  <c r="G426" i="37"/>
  <c r="F426" i="37"/>
  <c r="L425" i="37"/>
  <c r="K425" i="37"/>
  <c r="G425" i="37"/>
  <c r="F425" i="37"/>
  <c r="L424" i="37"/>
  <c r="K424" i="37"/>
  <c r="G424" i="37"/>
  <c r="F424" i="37"/>
  <c r="L423" i="37"/>
  <c r="K423" i="37"/>
  <c r="G423" i="37"/>
  <c r="F423" i="37"/>
  <c r="L422" i="37"/>
  <c r="K422" i="37"/>
  <c r="G422" i="37"/>
  <c r="F422" i="37"/>
  <c r="L421" i="37"/>
  <c r="K421" i="37"/>
  <c r="G421" i="37"/>
  <c r="F421" i="37"/>
  <c r="L420" i="37"/>
  <c r="K420" i="37"/>
  <c r="G420" i="37"/>
  <c r="F420" i="37"/>
  <c r="L419" i="37"/>
  <c r="K419" i="37"/>
  <c r="G419" i="37"/>
  <c r="F419" i="37"/>
  <c r="L418" i="37"/>
  <c r="K418" i="37"/>
  <c r="G418" i="37"/>
  <c r="F418" i="37"/>
  <c r="L417" i="37"/>
  <c r="K417" i="37"/>
  <c r="G417" i="37"/>
  <c r="F417" i="37"/>
  <c r="L416" i="37"/>
  <c r="K416" i="37"/>
  <c r="G416" i="37"/>
  <c r="F416" i="37"/>
  <c r="L415" i="37"/>
  <c r="K415" i="37"/>
  <c r="G415" i="37"/>
  <c r="F415" i="37"/>
  <c r="L414" i="37"/>
  <c r="K414" i="37"/>
  <c r="G414" i="37"/>
  <c r="F414" i="37"/>
  <c r="L413" i="37"/>
  <c r="K413" i="37"/>
  <c r="G413" i="37"/>
  <c r="F413" i="37"/>
  <c r="L412" i="37"/>
  <c r="K412" i="37"/>
  <c r="G412" i="37"/>
  <c r="F412" i="37"/>
  <c r="L411" i="37"/>
  <c r="K411" i="37"/>
  <c r="G411" i="37"/>
  <c r="F411" i="37"/>
  <c r="L410" i="37"/>
  <c r="K410" i="37"/>
  <c r="G410" i="37"/>
  <c r="F410" i="37"/>
  <c r="L409" i="37"/>
  <c r="K409" i="37"/>
  <c r="G409" i="37"/>
  <c r="F409" i="37"/>
  <c r="L408" i="37"/>
  <c r="K408" i="37"/>
  <c r="G408" i="37"/>
  <c r="F408" i="37"/>
  <c r="L407" i="37"/>
  <c r="K407" i="37"/>
  <c r="G407" i="37"/>
  <c r="F407" i="37"/>
  <c r="L406" i="37"/>
  <c r="K406" i="37"/>
  <c r="G406" i="37"/>
  <c r="F406" i="37"/>
  <c r="L405" i="37"/>
  <c r="K405" i="37"/>
  <c r="G405" i="37"/>
  <c r="F405" i="37"/>
  <c r="L404" i="37"/>
  <c r="K404" i="37"/>
  <c r="G404" i="37"/>
  <c r="F404" i="37"/>
  <c r="L403" i="37"/>
  <c r="K403" i="37"/>
  <c r="G403" i="37"/>
  <c r="F403" i="37"/>
  <c r="L402" i="37"/>
  <c r="K402" i="37"/>
  <c r="G402" i="37"/>
  <c r="F402" i="37"/>
  <c r="L401" i="37"/>
  <c r="K401" i="37"/>
  <c r="G401" i="37"/>
  <c r="F401" i="37"/>
  <c r="L400" i="37"/>
  <c r="K400" i="37"/>
  <c r="G400" i="37"/>
  <c r="F400" i="37"/>
  <c r="L399" i="37"/>
  <c r="K399" i="37"/>
  <c r="G399" i="37"/>
  <c r="F399" i="37"/>
  <c r="L398" i="37"/>
  <c r="K398" i="37"/>
  <c r="G398" i="37"/>
  <c r="F398" i="37"/>
  <c r="L397" i="37"/>
  <c r="K397" i="37"/>
  <c r="G397" i="37"/>
  <c r="F397" i="37"/>
  <c r="L396" i="37"/>
  <c r="K396" i="37"/>
  <c r="G396" i="37"/>
  <c r="F396" i="37"/>
  <c r="L395" i="37"/>
  <c r="K395" i="37"/>
  <c r="G395" i="37"/>
  <c r="F395" i="37"/>
  <c r="L394" i="37"/>
  <c r="K394" i="37"/>
  <c r="G394" i="37"/>
  <c r="F394" i="37"/>
  <c r="L393" i="37"/>
  <c r="K393" i="37"/>
  <c r="G393" i="37"/>
  <c r="F393" i="37"/>
  <c r="L392" i="37"/>
  <c r="K392" i="37"/>
  <c r="G392" i="37"/>
  <c r="F392" i="37"/>
  <c r="L391" i="37"/>
  <c r="K391" i="37"/>
  <c r="G391" i="37"/>
  <c r="F391" i="37"/>
  <c r="L390" i="37"/>
  <c r="K390" i="37"/>
  <c r="G390" i="37"/>
  <c r="F390" i="37"/>
  <c r="L389" i="37"/>
  <c r="K389" i="37"/>
  <c r="G389" i="37"/>
  <c r="F389" i="37"/>
  <c r="L388" i="37"/>
  <c r="K388" i="37"/>
  <c r="G388" i="37"/>
  <c r="F388" i="37"/>
  <c r="L387" i="37"/>
  <c r="K387" i="37"/>
  <c r="G387" i="37"/>
  <c r="F387" i="37"/>
  <c r="L386" i="37"/>
  <c r="K386" i="37"/>
  <c r="G386" i="37"/>
  <c r="F386" i="37"/>
  <c r="L385" i="37"/>
  <c r="K385" i="37"/>
  <c r="G385" i="37"/>
  <c r="F385" i="37"/>
  <c r="L384" i="37"/>
  <c r="K384" i="37"/>
  <c r="G384" i="37"/>
  <c r="F384" i="37"/>
  <c r="L383" i="37"/>
  <c r="K383" i="37"/>
  <c r="G383" i="37"/>
  <c r="F383" i="37"/>
  <c r="L382" i="37"/>
  <c r="K382" i="37"/>
  <c r="G382" i="37"/>
  <c r="F382" i="37"/>
  <c r="L381" i="37"/>
  <c r="K381" i="37"/>
  <c r="G381" i="37"/>
  <c r="F381" i="37"/>
  <c r="L380" i="37"/>
  <c r="K380" i="37"/>
  <c r="G380" i="37"/>
  <c r="F380" i="37"/>
  <c r="L379" i="37"/>
  <c r="K379" i="37"/>
  <c r="G379" i="37"/>
  <c r="F379" i="37"/>
  <c r="L378" i="37"/>
  <c r="K378" i="37"/>
  <c r="G378" i="37"/>
  <c r="F378" i="37"/>
  <c r="L377" i="37"/>
  <c r="K377" i="37"/>
  <c r="G377" i="37"/>
  <c r="F377" i="37"/>
  <c r="L376" i="37"/>
  <c r="K376" i="37"/>
  <c r="G376" i="37"/>
  <c r="F376" i="37"/>
  <c r="L375" i="37"/>
  <c r="K375" i="37"/>
  <c r="G375" i="37"/>
  <c r="F375" i="37"/>
  <c r="L374" i="37"/>
  <c r="K374" i="37"/>
  <c r="G374" i="37"/>
  <c r="F374" i="37"/>
  <c r="L373" i="37"/>
  <c r="K373" i="37"/>
  <c r="G373" i="37"/>
  <c r="F373" i="37"/>
  <c r="L372" i="37"/>
  <c r="K372" i="37"/>
  <c r="G372" i="37"/>
  <c r="F372" i="37"/>
  <c r="L371" i="37"/>
  <c r="K371" i="37"/>
  <c r="G371" i="37"/>
  <c r="F371" i="37"/>
  <c r="L370" i="37"/>
  <c r="K370" i="37"/>
  <c r="G370" i="37"/>
  <c r="F370" i="37"/>
  <c r="L369" i="37"/>
  <c r="K369" i="37"/>
  <c r="G369" i="37"/>
  <c r="F369" i="37"/>
  <c r="L368" i="37"/>
  <c r="K368" i="37"/>
  <c r="G368" i="37"/>
  <c r="F368" i="37"/>
  <c r="L367" i="37"/>
  <c r="K367" i="37"/>
  <c r="G367" i="37"/>
  <c r="F367" i="37"/>
  <c r="L366" i="37"/>
  <c r="K366" i="37"/>
  <c r="G366" i="37"/>
  <c r="F366" i="37"/>
  <c r="L365" i="37"/>
  <c r="K365" i="37"/>
  <c r="G365" i="37"/>
  <c r="F365" i="37"/>
  <c r="L364" i="37"/>
  <c r="K364" i="37"/>
  <c r="G364" i="37"/>
  <c r="F364" i="37"/>
  <c r="L363" i="37"/>
  <c r="K363" i="37"/>
  <c r="G363" i="37"/>
  <c r="F363" i="37"/>
  <c r="L362" i="37"/>
  <c r="K362" i="37"/>
  <c r="G362" i="37"/>
  <c r="F362" i="37"/>
  <c r="L361" i="37"/>
  <c r="K361" i="37"/>
  <c r="G361" i="37"/>
  <c r="F361" i="37"/>
  <c r="L360" i="37"/>
  <c r="K360" i="37"/>
  <c r="G360" i="37"/>
  <c r="F360" i="37"/>
  <c r="L359" i="37"/>
  <c r="K359" i="37"/>
  <c r="G359" i="37"/>
  <c r="F359" i="37"/>
  <c r="L358" i="37"/>
  <c r="K358" i="37"/>
  <c r="G358" i="37"/>
  <c r="F358" i="37"/>
  <c r="L357" i="37"/>
  <c r="K357" i="37"/>
  <c r="G357" i="37"/>
  <c r="F357" i="37"/>
  <c r="L356" i="37"/>
  <c r="K356" i="37"/>
  <c r="G356" i="37"/>
  <c r="F356" i="37"/>
  <c r="L355" i="37"/>
  <c r="K355" i="37"/>
  <c r="G355" i="37"/>
  <c r="F355" i="37"/>
  <c r="L354" i="37"/>
  <c r="K354" i="37"/>
  <c r="G354" i="37"/>
  <c r="F354" i="37"/>
  <c r="L353" i="37"/>
  <c r="K353" i="37"/>
  <c r="G353" i="37"/>
  <c r="F353" i="37"/>
  <c r="L352" i="37"/>
  <c r="K352" i="37"/>
  <c r="G352" i="37"/>
  <c r="F352" i="37"/>
  <c r="L351" i="37"/>
  <c r="K351" i="37"/>
  <c r="G351" i="37"/>
  <c r="F351" i="37"/>
  <c r="L350" i="37"/>
  <c r="K350" i="37"/>
  <c r="G350" i="37"/>
  <c r="F350" i="37"/>
  <c r="L349" i="37"/>
  <c r="K349" i="37"/>
  <c r="G349" i="37"/>
  <c r="F349" i="37"/>
  <c r="L348" i="37"/>
  <c r="K348" i="37"/>
  <c r="G348" i="37"/>
  <c r="F348" i="37"/>
  <c r="L347" i="37"/>
  <c r="K347" i="37"/>
  <c r="G347" i="37"/>
  <c r="F347" i="37"/>
  <c r="L346" i="37"/>
  <c r="K346" i="37"/>
  <c r="G346" i="37"/>
  <c r="F346" i="37"/>
  <c r="L345" i="37"/>
  <c r="K345" i="37"/>
  <c r="G345" i="37"/>
  <c r="F345" i="37"/>
  <c r="L344" i="37"/>
  <c r="K344" i="37"/>
  <c r="G344" i="37"/>
  <c r="F344" i="37"/>
  <c r="L343" i="37"/>
  <c r="K343" i="37"/>
  <c r="G343" i="37"/>
  <c r="F343" i="37"/>
  <c r="L342" i="37"/>
  <c r="K342" i="37"/>
  <c r="G342" i="37"/>
  <c r="F342" i="37"/>
  <c r="L341" i="37"/>
  <c r="K341" i="37"/>
  <c r="G341" i="37"/>
  <c r="F341" i="37"/>
  <c r="L340" i="37"/>
  <c r="K340" i="37"/>
  <c r="G340" i="37"/>
  <c r="F340" i="37"/>
  <c r="L339" i="37"/>
  <c r="K339" i="37"/>
  <c r="G339" i="37"/>
  <c r="F339" i="37"/>
  <c r="L338" i="37"/>
  <c r="K338" i="37"/>
  <c r="G338" i="37"/>
  <c r="F338" i="37"/>
  <c r="L337" i="37"/>
  <c r="K337" i="37"/>
  <c r="G337" i="37"/>
  <c r="F337" i="37"/>
  <c r="L336" i="37"/>
  <c r="K336" i="37"/>
  <c r="G336" i="37"/>
  <c r="F336" i="37"/>
  <c r="L335" i="37"/>
  <c r="K335" i="37"/>
  <c r="G335" i="37"/>
  <c r="F335" i="37"/>
  <c r="L334" i="37"/>
  <c r="K334" i="37"/>
  <c r="G334" i="37"/>
  <c r="F334" i="37"/>
  <c r="L333" i="37"/>
  <c r="K333" i="37"/>
  <c r="G333" i="37"/>
  <c r="F333" i="37"/>
  <c r="L332" i="37"/>
  <c r="K332" i="37"/>
  <c r="G332" i="37"/>
  <c r="F332" i="37"/>
  <c r="L331" i="37"/>
  <c r="K331" i="37"/>
  <c r="G331" i="37"/>
  <c r="F331" i="37"/>
  <c r="L330" i="37"/>
  <c r="K330" i="37"/>
  <c r="G330" i="37"/>
  <c r="F330" i="37"/>
  <c r="L329" i="37"/>
  <c r="K329" i="37"/>
  <c r="G329" i="37"/>
  <c r="F329" i="37"/>
  <c r="L328" i="37"/>
  <c r="K328" i="37"/>
  <c r="G328" i="37"/>
  <c r="F328" i="37"/>
  <c r="L327" i="37"/>
  <c r="K327" i="37"/>
  <c r="G327" i="37"/>
  <c r="F327" i="37"/>
  <c r="L326" i="37"/>
  <c r="K326" i="37"/>
  <c r="G326" i="37"/>
  <c r="F326" i="37"/>
  <c r="L325" i="37"/>
  <c r="K325" i="37"/>
  <c r="G325" i="37"/>
  <c r="F325" i="37"/>
  <c r="L324" i="37"/>
  <c r="K324" i="37"/>
  <c r="G324" i="37"/>
  <c r="F324" i="37"/>
  <c r="M323" i="37"/>
  <c r="L323" i="37"/>
  <c r="K323" i="37"/>
  <c r="G323" i="37"/>
  <c r="F323" i="37"/>
  <c r="M322" i="37"/>
  <c r="L322" i="37"/>
  <c r="K322" i="37"/>
  <c r="G322" i="37"/>
  <c r="F322" i="37"/>
  <c r="M321" i="37"/>
  <c r="L321" i="37"/>
  <c r="K321" i="37"/>
  <c r="G321" i="37"/>
  <c r="F321" i="37"/>
  <c r="M320" i="37"/>
  <c r="L320" i="37"/>
  <c r="K320" i="37"/>
  <c r="G320" i="37"/>
  <c r="F320" i="37"/>
  <c r="M319" i="37"/>
  <c r="L319" i="37"/>
  <c r="K319" i="37"/>
  <c r="G319" i="37"/>
  <c r="F319" i="37"/>
  <c r="M318" i="37"/>
  <c r="L318" i="37"/>
  <c r="K318" i="37"/>
  <c r="G318" i="37"/>
  <c r="F318" i="37"/>
  <c r="M317" i="37"/>
  <c r="L317" i="37"/>
  <c r="K317" i="37"/>
  <c r="G317" i="37"/>
  <c r="F317" i="37"/>
  <c r="M316" i="37"/>
  <c r="L316" i="37"/>
  <c r="K316" i="37"/>
  <c r="G316" i="37"/>
  <c r="F316" i="37"/>
  <c r="M315" i="37"/>
  <c r="L315" i="37"/>
  <c r="K315" i="37"/>
  <c r="G315" i="37"/>
  <c r="F315" i="37"/>
  <c r="M314" i="37"/>
  <c r="L314" i="37"/>
  <c r="K314" i="37"/>
  <c r="G314" i="37"/>
  <c r="F314" i="37"/>
  <c r="M313" i="37"/>
  <c r="L313" i="37"/>
  <c r="K313" i="37"/>
  <c r="G313" i="37"/>
  <c r="F313" i="37"/>
  <c r="M312" i="37"/>
  <c r="L312" i="37"/>
  <c r="K312" i="37"/>
  <c r="G312" i="37"/>
  <c r="F312" i="37"/>
  <c r="M311" i="37"/>
  <c r="L311" i="37"/>
  <c r="K311" i="37"/>
  <c r="G311" i="37"/>
  <c r="F311" i="37"/>
  <c r="M310" i="37"/>
  <c r="L310" i="37"/>
  <c r="K310" i="37"/>
  <c r="G310" i="37"/>
  <c r="F310" i="37"/>
  <c r="M309" i="37"/>
  <c r="L309" i="37"/>
  <c r="K309" i="37"/>
  <c r="G309" i="37"/>
  <c r="F309" i="37"/>
  <c r="M308" i="37"/>
  <c r="L308" i="37"/>
  <c r="K308" i="37"/>
  <c r="G308" i="37"/>
  <c r="F308" i="37"/>
  <c r="M307" i="37"/>
  <c r="L307" i="37"/>
  <c r="K307" i="37"/>
  <c r="G307" i="37"/>
  <c r="F307" i="37"/>
  <c r="M306" i="37"/>
  <c r="L306" i="37"/>
  <c r="K306" i="37"/>
  <c r="G306" i="37"/>
  <c r="F306" i="37"/>
  <c r="M305" i="37"/>
  <c r="L305" i="37"/>
  <c r="K305" i="37"/>
  <c r="G305" i="37"/>
  <c r="F305" i="37"/>
  <c r="M304" i="37"/>
  <c r="L304" i="37"/>
  <c r="K304" i="37"/>
  <c r="G304" i="37"/>
  <c r="F304" i="37"/>
  <c r="M303" i="37"/>
  <c r="L303" i="37"/>
  <c r="K303" i="37"/>
  <c r="G303" i="37"/>
  <c r="F303" i="37"/>
  <c r="M302" i="37"/>
  <c r="L302" i="37"/>
  <c r="K302" i="37"/>
  <c r="G302" i="37"/>
  <c r="F302" i="37"/>
  <c r="M301" i="37"/>
  <c r="L301" i="37"/>
  <c r="K301" i="37"/>
  <c r="G301" i="37"/>
  <c r="F301" i="37"/>
  <c r="M300" i="37"/>
  <c r="L300" i="37"/>
  <c r="K300" i="37"/>
  <c r="G300" i="37"/>
  <c r="F300" i="37"/>
  <c r="M299" i="37"/>
  <c r="L299" i="37"/>
  <c r="K299" i="37"/>
  <c r="G299" i="37"/>
  <c r="F299" i="37"/>
  <c r="M298" i="37"/>
  <c r="L298" i="37"/>
  <c r="K298" i="37"/>
  <c r="G298" i="37"/>
  <c r="F298" i="37"/>
  <c r="M297" i="37"/>
  <c r="L297" i="37"/>
  <c r="K297" i="37"/>
  <c r="G297" i="37"/>
  <c r="F297" i="37"/>
  <c r="M296" i="37"/>
  <c r="L296" i="37"/>
  <c r="K296" i="37"/>
  <c r="G296" i="37"/>
  <c r="F296" i="37"/>
  <c r="M295" i="37"/>
  <c r="L295" i="37"/>
  <c r="K295" i="37"/>
  <c r="G295" i="37"/>
  <c r="F295" i="37"/>
  <c r="M294" i="37"/>
  <c r="L294" i="37"/>
  <c r="K294" i="37"/>
  <c r="G294" i="37"/>
  <c r="F294" i="37"/>
  <c r="M293" i="37"/>
  <c r="L293" i="37"/>
  <c r="K293" i="37"/>
  <c r="G293" i="37"/>
  <c r="F293" i="37"/>
  <c r="M292" i="37"/>
  <c r="L292" i="37"/>
  <c r="K292" i="37"/>
  <c r="G292" i="37"/>
  <c r="F292" i="37"/>
  <c r="M291" i="37"/>
  <c r="L291" i="37"/>
  <c r="K291" i="37"/>
  <c r="G291" i="37"/>
  <c r="F291" i="37"/>
  <c r="M290" i="37"/>
  <c r="L290" i="37"/>
  <c r="K290" i="37"/>
  <c r="G290" i="37"/>
  <c r="F290" i="37"/>
  <c r="M289" i="37"/>
  <c r="L289" i="37"/>
  <c r="K289" i="37"/>
  <c r="G289" i="37"/>
  <c r="F289" i="37"/>
  <c r="M288" i="37"/>
  <c r="L288" i="37"/>
  <c r="K288" i="37"/>
  <c r="G288" i="37"/>
  <c r="F288" i="37"/>
  <c r="M287" i="37"/>
  <c r="L287" i="37"/>
  <c r="K287" i="37"/>
  <c r="G287" i="37"/>
  <c r="F287" i="37"/>
  <c r="M286" i="37"/>
  <c r="L286" i="37"/>
  <c r="K286" i="37"/>
  <c r="G286" i="37"/>
  <c r="F286" i="37"/>
  <c r="M285" i="37"/>
  <c r="L285" i="37"/>
  <c r="K285" i="37"/>
  <c r="G285" i="37"/>
  <c r="F285" i="37"/>
  <c r="M284" i="37"/>
  <c r="L284" i="37"/>
  <c r="K284" i="37"/>
  <c r="G284" i="37"/>
  <c r="F284" i="37"/>
  <c r="M283" i="37"/>
  <c r="L283" i="37"/>
  <c r="K283" i="37"/>
  <c r="G283" i="37"/>
  <c r="F283" i="37"/>
  <c r="M282" i="37"/>
  <c r="L282" i="37"/>
  <c r="K282" i="37"/>
  <c r="G282" i="37"/>
  <c r="F282" i="37"/>
  <c r="M281" i="37"/>
  <c r="L281" i="37"/>
  <c r="K281" i="37"/>
  <c r="G281" i="37"/>
  <c r="F281" i="37"/>
  <c r="M280" i="37"/>
  <c r="L280" i="37"/>
  <c r="K280" i="37"/>
  <c r="G280" i="37"/>
  <c r="F280" i="37"/>
  <c r="M279" i="37"/>
  <c r="L279" i="37"/>
  <c r="K279" i="37"/>
  <c r="G279" i="37"/>
  <c r="F279" i="37"/>
  <c r="M278" i="37"/>
  <c r="L278" i="37"/>
  <c r="K278" i="37"/>
  <c r="G278" i="37"/>
  <c r="F278" i="37"/>
  <c r="M277" i="37"/>
  <c r="L277" i="37"/>
  <c r="K277" i="37"/>
  <c r="G277" i="37"/>
  <c r="F277" i="37"/>
  <c r="M276" i="37"/>
  <c r="L276" i="37"/>
  <c r="K276" i="37"/>
  <c r="G276" i="37"/>
  <c r="F276" i="37"/>
  <c r="M275" i="37"/>
  <c r="L275" i="37"/>
  <c r="K275" i="37"/>
  <c r="G275" i="37"/>
  <c r="F275" i="37"/>
  <c r="M274" i="37"/>
  <c r="L274" i="37"/>
  <c r="K274" i="37"/>
  <c r="G274" i="37"/>
  <c r="F274" i="37"/>
  <c r="M273" i="37"/>
  <c r="L273" i="37"/>
  <c r="K273" i="37"/>
  <c r="G273" i="37"/>
  <c r="F273" i="37"/>
  <c r="M272" i="37"/>
  <c r="L272" i="37"/>
  <c r="K272" i="37"/>
  <c r="G272" i="37"/>
  <c r="F272" i="37"/>
  <c r="M271" i="37"/>
  <c r="L271" i="37"/>
  <c r="K271" i="37"/>
  <c r="G271" i="37"/>
  <c r="F271" i="37"/>
  <c r="M270" i="37"/>
  <c r="L270" i="37"/>
  <c r="K270" i="37"/>
  <c r="G270" i="37"/>
  <c r="F270" i="37"/>
  <c r="M269" i="37"/>
  <c r="L269" i="37"/>
  <c r="K269" i="37"/>
  <c r="G269" i="37"/>
  <c r="F269" i="37"/>
  <c r="M268" i="37"/>
  <c r="L268" i="37"/>
  <c r="K268" i="37"/>
  <c r="G268" i="37"/>
  <c r="F268" i="37"/>
  <c r="M267" i="37"/>
  <c r="L267" i="37"/>
  <c r="K267" i="37"/>
  <c r="G267" i="37"/>
  <c r="F267" i="37"/>
  <c r="M266" i="37"/>
  <c r="L266" i="37"/>
  <c r="K266" i="37"/>
  <c r="G266" i="37"/>
  <c r="F266" i="37"/>
  <c r="M265" i="37"/>
  <c r="L265" i="37"/>
  <c r="K265" i="37"/>
  <c r="G265" i="37"/>
  <c r="F265" i="37"/>
  <c r="M264" i="37"/>
  <c r="L264" i="37"/>
  <c r="K264" i="37"/>
  <c r="G264" i="37"/>
  <c r="F264" i="37"/>
  <c r="M263" i="37"/>
  <c r="L263" i="37"/>
  <c r="K263" i="37"/>
  <c r="G263" i="37"/>
  <c r="F263" i="37"/>
  <c r="M262" i="37"/>
  <c r="L262" i="37"/>
  <c r="K262" i="37"/>
  <c r="G262" i="37"/>
  <c r="F262" i="37"/>
  <c r="M261" i="37"/>
  <c r="L261" i="37"/>
  <c r="K261" i="37"/>
  <c r="G261" i="37"/>
  <c r="F261" i="37"/>
  <c r="M260" i="37"/>
  <c r="L260" i="37"/>
  <c r="K260" i="37"/>
  <c r="G260" i="37"/>
  <c r="F260" i="37"/>
  <c r="M259" i="37"/>
  <c r="L259" i="37"/>
  <c r="K259" i="37"/>
  <c r="G259" i="37"/>
  <c r="F259" i="37"/>
  <c r="L258" i="37"/>
  <c r="K258" i="37"/>
  <c r="G258" i="37"/>
  <c r="F258" i="37"/>
  <c r="L257" i="37"/>
  <c r="K257" i="37"/>
  <c r="G257" i="37"/>
  <c r="F257" i="37"/>
  <c r="L256" i="37"/>
  <c r="K256" i="37"/>
  <c r="G256" i="37"/>
  <c r="F256" i="37"/>
  <c r="L255" i="37"/>
  <c r="K255" i="37"/>
  <c r="G255" i="37"/>
  <c r="F255" i="37"/>
  <c r="L254" i="37"/>
  <c r="K254" i="37"/>
  <c r="G254" i="37"/>
  <c r="F254" i="37"/>
  <c r="L253" i="37"/>
  <c r="K253" i="37"/>
  <c r="G253" i="37"/>
  <c r="F253" i="37"/>
  <c r="L252" i="37"/>
  <c r="K252" i="37"/>
  <c r="G252" i="37"/>
  <c r="F252" i="37"/>
  <c r="L251" i="37"/>
  <c r="K251" i="37"/>
  <c r="G251" i="37"/>
  <c r="F251" i="37"/>
  <c r="L250" i="37"/>
  <c r="K250" i="37"/>
  <c r="G250" i="37"/>
  <c r="F250" i="37"/>
  <c r="L249" i="37"/>
  <c r="K249" i="37"/>
  <c r="G249" i="37"/>
  <c r="F249" i="37"/>
  <c r="L248" i="37"/>
  <c r="K248" i="37"/>
  <c r="G248" i="37"/>
  <c r="F248" i="37"/>
  <c r="L247" i="37"/>
  <c r="K247" i="37"/>
  <c r="G247" i="37"/>
  <c r="F247" i="37"/>
  <c r="L246" i="37"/>
  <c r="K246" i="37"/>
  <c r="G246" i="37"/>
  <c r="F246" i="37"/>
  <c r="L245" i="37"/>
  <c r="K245" i="37"/>
  <c r="G245" i="37"/>
  <c r="F245" i="37"/>
  <c r="L244" i="37"/>
  <c r="K244" i="37"/>
  <c r="G244" i="37"/>
  <c r="F244" i="37"/>
  <c r="L243" i="37"/>
  <c r="K243" i="37"/>
  <c r="G243" i="37"/>
  <c r="F243" i="37"/>
  <c r="L242" i="37"/>
  <c r="K242" i="37"/>
  <c r="G242" i="37"/>
  <c r="F242" i="37"/>
  <c r="L241" i="37"/>
  <c r="K241" i="37"/>
  <c r="G241" i="37"/>
  <c r="F241" i="37"/>
  <c r="L240" i="37"/>
  <c r="K240" i="37"/>
  <c r="G240" i="37"/>
  <c r="F240" i="37"/>
  <c r="L239" i="37"/>
  <c r="K239" i="37"/>
  <c r="G239" i="37"/>
  <c r="F239" i="37"/>
  <c r="L238" i="37"/>
  <c r="K238" i="37"/>
  <c r="G238" i="37"/>
  <c r="F238" i="37"/>
  <c r="L237" i="37"/>
  <c r="K237" i="37"/>
  <c r="G237" i="37"/>
  <c r="F237" i="37"/>
  <c r="L236" i="37"/>
  <c r="K236" i="37"/>
  <c r="G236" i="37"/>
  <c r="F236" i="37"/>
  <c r="L235" i="37"/>
  <c r="K235" i="37"/>
  <c r="G235" i="37"/>
  <c r="F235" i="37"/>
  <c r="L234" i="37"/>
  <c r="K234" i="37"/>
  <c r="G234" i="37"/>
  <c r="F234" i="37"/>
  <c r="L233" i="37"/>
  <c r="K233" i="37"/>
  <c r="G233" i="37"/>
  <c r="F233" i="37"/>
  <c r="L232" i="37"/>
  <c r="K232" i="37"/>
  <c r="G232" i="37"/>
  <c r="F232" i="37"/>
  <c r="L231" i="37"/>
  <c r="K231" i="37"/>
  <c r="G231" i="37"/>
  <c r="F231" i="37"/>
  <c r="L230" i="37"/>
  <c r="K230" i="37"/>
  <c r="G230" i="37"/>
  <c r="F230" i="37"/>
  <c r="L229" i="37"/>
  <c r="K229" i="37"/>
  <c r="G229" i="37"/>
  <c r="F229" i="37"/>
  <c r="L228" i="37"/>
  <c r="K228" i="37"/>
  <c r="G228" i="37"/>
  <c r="F228" i="37"/>
  <c r="L227" i="37"/>
  <c r="K227" i="37"/>
  <c r="G227" i="37"/>
  <c r="F227" i="37"/>
  <c r="L226" i="37"/>
  <c r="K226" i="37"/>
  <c r="G226" i="37"/>
  <c r="F226" i="37"/>
  <c r="L225" i="37"/>
  <c r="K225" i="37"/>
  <c r="G225" i="37"/>
  <c r="F225" i="37"/>
  <c r="L224" i="37"/>
  <c r="K224" i="37"/>
  <c r="G224" i="37"/>
  <c r="F224" i="37"/>
  <c r="L223" i="37"/>
  <c r="K223" i="37"/>
  <c r="G223" i="37"/>
  <c r="F223" i="37"/>
  <c r="L222" i="37"/>
  <c r="K222" i="37"/>
  <c r="G222" i="37"/>
  <c r="F222" i="37"/>
  <c r="L221" i="37"/>
  <c r="K221" i="37"/>
  <c r="G221" i="37"/>
  <c r="F221" i="37"/>
  <c r="L220" i="37"/>
  <c r="K220" i="37"/>
  <c r="G220" i="37"/>
  <c r="F220" i="37"/>
  <c r="L219" i="37"/>
  <c r="K219" i="37"/>
  <c r="G219" i="37"/>
  <c r="F219" i="37"/>
  <c r="L218" i="37"/>
  <c r="K218" i="37"/>
  <c r="G218" i="37"/>
  <c r="F218" i="37"/>
  <c r="L217" i="37"/>
  <c r="K217" i="37"/>
  <c r="G217" i="37"/>
  <c r="F217" i="37"/>
  <c r="L216" i="37"/>
  <c r="K216" i="37"/>
  <c r="G216" i="37"/>
  <c r="F216" i="37"/>
  <c r="L215" i="37"/>
  <c r="K215" i="37"/>
  <c r="G215" i="37"/>
  <c r="F215" i="37"/>
  <c r="L214" i="37"/>
  <c r="K214" i="37"/>
  <c r="G214" i="37"/>
  <c r="F214" i="37"/>
  <c r="L213" i="37"/>
  <c r="K213" i="37"/>
  <c r="G213" i="37"/>
  <c r="F213" i="37"/>
  <c r="L212" i="37"/>
  <c r="K212" i="37"/>
  <c r="G212" i="37"/>
  <c r="F212" i="37"/>
  <c r="L211" i="37"/>
  <c r="K211" i="37"/>
  <c r="G211" i="37"/>
  <c r="F211" i="37"/>
  <c r="L210" i="37"/>
  <c r="K210" i="37"/>
  <c r="G210" i="37"/>
  <c r="F210" i="37"/>
  <c r="L209" i="37"/>
  <c r="K209" i="37"/>
  <c r="G209" i="37"/>
  <c r="F209" i="37"/>
  <c r="L208" i="37"/>
  <c r="K208" i="37"/>
  <c r="G208" i="37"/>
  <c r="F208" i="37"/>
  <c r="L207" i="37"/>
  <c r="K207" i="37"/>
  <c r="G207" i="37"/>
  <c r="F207" i="37"/>
  <c r="L206" i="37"/>
  <c r="K206" i="37"/>
  <c r="G206" i="37"/>
  <c r="F206" i="37"/>
  <c r="L205" i="37"/>
  <c r="K205" i="37"/>
  <c r="G205" i="37"/>
  <c r="F205" i="37"/>
  <c r="L204" i="37"/>
  <c r="K204" i="37"/>
  <c r="G204" i="37"/>
  <c r="F204" i="37"/>
  <c r="L203" i="37"/>
  <c r="K203" i="37"/>
  <c r="G203" i="37"/>
  <c r="F203" i="37"/>
  <c r="L202" i="37"/>
  <c r="K202" i="37"/>
  <c r="G202" i="37"/>
  <c r="F202" i="37"/>
  <c r="L201" i="37"/>
  <c r="K201" i="37"/>
  <c r="G201" i="37"/>
  <c r="F201" i="37"/>
  <c r="L200" i="37"/>
  <c r="K200" i="37"/>
  <c r="G200" i="37"/>
  <c r="F200" i="37"/>
  <c r="L199" i="37"/>
  <c r="K199" i="37"/>
  <c r="G199" i="37"/>
  <c r="F199" i="37"/>
  <c r="L198" i="37"/>
  <c r="K198" i="37"/>
  <c r="G198" i="37"/>
  <c r="F198" i="37"/>
  <c r="L197" i="37"/>
  <c r="K197" i="37"/>
  <c r="G197" i="37"/>
  <c r="F197" i="37"/>
  <c r="L196" i="37"/>
  <c r="K196" i="37"/>
  <c r="G196" i="37"/>
  <c r="F196" i="37"/>
  <c r="L195" i="37"/>
  <c r="K195" i="37"/>
  <c r="G195" i="37"/>
  <c r="F195" i="37"/>
  <c r="L194" i="37"/>
  <c r="K194" i="37"/>
  <c r="G194" i="37"/>
  <c r="F194" i="37"/>
  <c r="L193" i="37"/>
  <c r="K193" i="37"/>
  <c r="G193" i="37"/>
  <c r="F193" i="37"/>
  <c r="L192" i="37"/>
  <c r="K192" i="37"/>
  <c r="G192" i="37"/>
  <c r="F192" i="37"/>
  <c r="L191" i="37"/>
  <c r="K191" i="37"/>
  <c r="G191" i="37"/>
  <c r="F191" i="37"/>
  <c r="L190" i="37"/>
  <c r="K190" i="37"/>
  <c r="G190" i="37"/>
  <c r="F190" i="37"/>
  <c r="L189" i="37"/>
  <c r="K189" i="37"/>
  <c r="G189" i="37"/>
  <c r="F189" i="37"/>
  <c r="L188" i="37"/>
  <c r="K188" i="37"/>
  <c r="G188" i="37"/>
  <c r="F188" i="37"/>
  <c r="L187" i="37"/>
  <c r="K187" i="37"/>
  <c r="G187" i="37"/>
  <c r="F187" i="37"/>
  <c r="L186" i="37"/>
  <c r="K186" i="37"/>
  <c r="G186" i="37"/>
  <c r="F186" i="37"/>
  <c r="L185" i="37"/>
  <c r="K185" i="37"/>
  <c r="G185" i="37"/>
  <c r="F185" i="37"/>
  <c r="L184" i="37"/>
  <c r="K184" i="37"/>
  <c r="G184" i="37"/>
  <c r="F184" i="37"/>
  <c r="L183" i="37"/>
  <c r="K183" i="37"/>
  <c r="G183" i="37"/>
  <c r="F183" i="37"/>
  <c r="L182" i="37"/>
  <c r="K182" i="37"/>
  <c r="G182" i="37"/>
  <c r="F182" i="37"/>
  <c r="L181" i="37"/>
  <c r="K181" i="37"/>
  <c r="G181" i="37"/>
  <c r="F181" i="37"/>
  <c r="L180" i="37"/>
  <c r="K180" i="37"/>
  <c r="G180" i="37"/>
  <c r="F180" i="37"/>
  <c r="L179" i="37"/>
  <c r="K179" i="37"/>
  <c r="G179" i="37"/>
  <c r="F179" i="37"/>
  <c r="L178" i="37"/>
  <c r="K178" i="37"/>
  <c r="G178" i="37"/>
  <c r="F178" i="37"/>
  <c r="L177" i="37"/>
  <c r="K177" i="37"/>
  <c r="G177" i="37"/>
  <c r="F177" i="37"/>
  <c r="L176" i="37"/>
  <c r="K176" i="37"/>
  <c r="G176" i="37"/>
  <c r="F176" i="37"/>
  <c r="L175" i="37"/>
  <c r="K175" i="37"/>
  <c r="G175" i="37"/>
  <c r="F175" i="37"/>
  <c r="L174" i="37"/>
  <c r="K174" i="37"/>
  <c r="G174" i="37"/>
  <c r="F174" i="37"/>
  <c r="L173" i="37"/>
  <c r="K173" i="37"/>
  <c r="G173" i="37"/>
  <c r="F173" i="37"/>
  <c r="L172" i="37"/>
  <c r="K172" i="37"/>
  <c r="G172" i="37"/>
  <c r="F172" i="37"/>
  <c r="L171" i="37"/>
  <c r="K171" i="37"/>
  <c r="G171" i="37"/>
  <c r="F171" i="37"/>
  <c r="L170" i="37"/>
  <c r="K170" i="37"/>
  <c r="G170" i="37"/>
  <c r="F170" i="37"/>
  <c r="L169" i="37"/>
  <c r="K169" i="37"/>
  <c r="G169" i="37"/>
  <c r="F169" i="37"/>
  <c r="L168" i="37"/>
  <c r="K168" i="37"/>
  <c r="G168" i="37"/>
  <c r="F168" i="37"/>
  <c r="L167" i="37"/>
  <c r="K167" i="37"/>
  <c r="G167" i="37"/>
  <c r="F167" i="37"/>
  <c r="L166" i="37"/>
  <c r="K166" i="37"/>
  <c r="G166" i="37"/>
  <c r="F166" i="37"/>
  <c r="L165" i="37"/>
  <c r="K165" i="37"/>
  <c r="G165" i="37"/>
  <c r="F165" i="37"/>
  <c r="L164" i="37"/>
  <c r="K164" i="37"/>
  <c r="G164" i="37"/>
  <c r="F164" i="37"/>
  <c r="L163" i="37"/>
  <c r="K163" i="37"/>
  <c r="G163" i="37"/>
  <c r="F163" i="37"/>
  <c r="L162" i="37"/>
  <c r="K162" i="37"/>
  <c r="G162" i="37"/>
  <c r="F162" i="37"/>
  <c r="L161" i="37"/>
  <c r="K161" i="37"/>
  <c r="G161" i="37"/>
  <c r="F161" i="37"/>
  <c r="L160" i="37"/>
  <c r="K160" i="37"/>
  <c r="G160" i="37"/>
  <c r="F160" i="37"/>
  <c r="L159" i="37"/>
  <c r="K159" i="37"/>
  <c r="G159" i="37"/>
  <c r="F159" i="37"/>
  <c r="L158" i="37"/>
  <c r="K158" i="37"/>
  <c r="G158" i="37"/>
  <c r="F158" i="37"/>
  <c r="L157" i="37"/>
  <c r="K157" i="37"/>
  <c r="G157" i="37"/>
  <c r="F157" i="37"/>
  <c r="L156" i="37"/>
  <c r="K156" i="37"/>
  <c r="G156" i="37"/>
  <c r="F156" i="37"/>
  <c r="L155" i="37"/>
  <c r="K155" i="37"/>
  <c r="G155" i="37"/>
  <c r="F155" i="37"/>
  <c r="L154" i="37"/>
  <c r="K154" i="37"/>
  <c r="G154" i="37"/>
  <c r="F154" i="37"/>
  <c r="L153" i="37"/>
  <c r="K153" i="37"/>
  <c r="G153" i="37"/>
  <c r="F153" i="37"/>
  <c r="L152" i="37"/>
  <c r="K152" i="37"/>
  <c r="G152" i="37"/>
  <c r="F152" i="37"/>
  <c r="L151" i="37"/>
  <c r="K151" i="37"/>
  <c r="G151" i="37"/>
  <c r="F151" i="37"/>
  <c r="L150" i="37"/>
  <c r="K150" i="37"/>
  <c r="G150" i="37"/>
  <c r="F150" i="37"/>
  <c r="L149" i="37"/>
  <c r="K149" i="37"/>
  <c r="G149" i="37"/>
  <c r="F149" i="37"/>
  <c r="L148" i="37"/>
  <c r="K148" i="37"/>
  <c r="G148" i="37"/>
  <c r="F148" i="37"/>
  <c r="L147" i="37"/>
  <c r="K147" i="37"/>
  <c r="G147" i="37"/>
  <c r="F147" i="37"/>
  <c r="L146" i="37"/>
  <c r="K146" i="37"/>
  <c r="G146" i="37"/>
  <c r="F146" i="37"/>
  <c r="L145" i="37"/>
  <c r="K145" i="37"/>
  <c r="G145" i="37"/>
  <c r="F145" i="37"/>
  <c r="L144" i="37"/>
  <c r="K144" i="37"/>
  <c r="G144" i="37"/>
  <c r="F144" i="37"/>
  <c r="L143" i="37"/>
  <c r="K143" i="37"/>
  <c r="G143" i="37"/>
  <c r="F143" i="37"/>
  <c r="L142" i="37"/>
  <c r="K142" i="37"/>
  <c r="G142" i="37"/>
  <c r="F142" i="37"/>
  <c r="L141" i="37"/>
  <c r="K141" i="37"/>
  <c r="G141" i="37"/>
  <c r="F141" i="37"/>
  <c r="L140" i="37"/>
  <c r="K140" i="37"/>
  <c r="G140" i="37"/>
  <c r="F140" i="37"/>
  <c r="L139" i="37"/>
  <c r="K139" i="37"/>
  <c r="G139" i="37"/>
  <c r="F139" i="37"/>
  <c r="L138" i="37"/>
  <c r="K138" i="37"/>
  <c r="G138" i="37"/>
  <c r="F138" i="37"/>
  <c r="L137" i="37"/>
  <c r="K137" i="37"/>
  <c r="G137" i="37"/>
  <c r="F137" i="37"/>
  <c r="L136" i="37"/>
  <c r="K136" i="37"/>
  <c r="G136" i="37"/>
  <c r="F136" i="37"/>
  <c r="L135" i="37"/>
  <c r="K135" i="37"/>
  <c r="G135" i="37"/>
  <c r="F135" i="37"/>
  <c r="L134" i="37"/>
  <c r="K134" i="37"/>
  <c r="G134" i="37"/>
  <c r="F134" i="37"/>
  <c r="L133" i="37"/>
  <c r="K133" i="37"/>
  <c r="G133" i="37"/>
  <c r="F133" i="37"/>
  <c r="L132" i="37"/>
  <c r="K132" i="37"/>
  <c r="G132" i="37"/>
  <c r="F132" i="37"/>
  <c r="L131" i="37"/>
  <c r="K131" i="37"/>
  <c r="G131" i="37"/>
  <c r="F131" i="37"/>
  <c r="L130" i="37"/>
  <c r="K130" i="37"/>
  <c r="G130" i="37"/>
  <c r="F130" i="37"/>
  <c r="L129" i="37"/>
  <c r="K129" i="37"/>
  <c r="G129" i="37"/>
  <c r="F129" i="37"/>
  <c r="L128" i="37"/>
  <c r="K128" i="37"/>
  <c r="G128" i="37"/>
  <c r="F128" i="37"/>
  <c r="L127" i="37"/>
  <c r="K127" i="37"/>
  <c r="G127" i="37"/>
  <c r="F127" i="37"/>
  <c r="L126" i="37"/>
  <c r="K126" i="37"/>
  <c r="G126" i="37"/>
  <c r="F126" i="37"/>
  <c r="L125" i="37"/>
  <c r="K125" i="37"/>
  <c r="G125" i="37"/>
  <c r="F125" i="37"/>
  <c r="L124" i="37"/>
  <c r="K124" i="37"/>
  <c r="G124" i="37"/>
  <c r="F124" i="37"/>
  <c r="L123" i="37"/>
  <c r="K123" i="37"/>
  <c r="G123" i="37"/>
  <c r="F123" i="37"/>
  <c r="L122" i="37"/>
  <c r="K122" i="37"/>
  <c r="G122" i="37"/>
  <c r="F122" i="37"/>
  <c r="L121" i="37"/>
  <c r="K121" i="37"/>
  <c r="G121" i="37"/>
  <c r="F121" i="37"/>
  <c r="L120" i="37"/>
  <c r="K120" i="37"/>
  <c r="G120" i="37"/>
  <c r="F120" i="37"/>
  <c r="L119" i="37"/>
  <c r="K119" i="37"/>
  <c r="G119" i="37"/>
  <c r="F119" i="37"/>
  <c r="L118" i="37"/>
  <c r="K118" i="37"/>
  <c r="G118" i="37"/>
  <c r="F118" i="37"/>
  <c r="L117" i="37"/>
  <c r="K117" i="37"/>
  <c r="G117" i="37"/>
  <c r="F117" i="37"/>
  <c r="L116" i="37"/>
  <c r="K116" i="37"/>
  <c r="G116" i="37"/>
  <c r="F116" i="37"/>
  <c r="L115" i="37"/>
  <c r="K115" i="37"/>
  <c r="G115" i="37"/>
  <c r="F115" i="37"/>
  <c r="L114" i="37"/>
  <c r="K114" i="37"/>
  <c r="G114" i="37"/>
  <c r="F114" i="37"/>
  <c r="L113" i="37"/>
  <c r="K113" i="37"/>
  <c r="G113" i="37"/>
  <c r="F113" i="37"/>
  <c r="L112" i="37"/>
  <c r="K112" i="37"/>
  <c r="G112" i="37"/>
  <c r="F112" i="37"/>
  <c r="L111" i="37"/>
  <c r="K111" i="37"/>
  <c r="G111" i="37"/>
  <c r="F111" i="37"/>
  <c r="L110" i="37"/>
  <c r="K110" i="37"/>
  <c r="G110" i="37"/>
  <c r="F110" i="37"/>
  <c r="L109" i="37"/>
  <c r="K109" i="37"/>
  <c r="G109" i="37"/>
  <c r="F109" i="37"/>
  <c r="L108" i="37"/>
  <c r="K108" i="37"/>
  <c r="G108" i="37"/>
  <c r="F108" i="37"/>
  <c r="L107" i="37"/>
  <c r="K107" i="37"/>
  <c r="G107" i="37"/>
  <c r="F107" i="37"/>
  <c r="L106" i="37"/>
  <c r="K106" i="37"/>
  <c r="G106" i="37"/>
  <c r="F106" i="37"/>
  <c r="L105" i="37"/>
  <c r="K105" i="37"/>
  <c r="G105" i="37"/>
  <c r="F105" i="37"/>
  <c r="L104" i="37"/>
  <c r="K104" i="37"/>
  <c r="G104" i="37"/>
  <c r="F104" i="37"/>
  <c r="L103" i="37"/>
  <c r="K103" i="37"/>
  <c r="G103" i="37"/>
  <c r="F103" i="37"/>
  <c r="L102" i="37"/>
  <c r="K102" i="37"/>
  <c r="G102" i="37"/>
  <c r="F102" i="37"/>
  <c r="L101" i="37"/>
  <c r="K101" i="37"/>
  <c r="G101" i="37"/>
  <c r="F101" i="37"/>
  <c r="L100" i="37"/>
  <c r="K100" i="37"/>
  <c r="G100" i="37"/>
  <c r="F100" i="37"/>
  <c r="L99" i="37"/>
  <c r="K99" i="37"/>
  <c r="G99" i="37"/>
  <c r="F99" i="37"/>
  <c r="L98" i="37"/>
  <c r="K98" i="37"/>
  <c r="G98" i="37"/>
  <c r="F98" i="37"/>
  <c r="L97" i="37"/>
  <c r="K97" i="37"/>
  <c r="G97" i="37"/>
  <c r="F97" i="37"/>
  <c r="L96" i="37"/>
  <c r="K96" i="37"/>
  <c r="G96" i="37"/>
  <c r="F96" i="37"/>
  <c r="L95" i="37"/>
  <c r="K95" i="37"/>
  <c r="G95" i="37"/>
  <c r="F95" i="37"/>
  <c r="L94" i="37"/>
  <c r="K94" i="37"/>
  <c r="G94" i="37"/>
  <c r="F94" i="37"/>
  <c r="L93" i="37"/>
  <c r="K93" i="37"/>
  <c r="G93" i="37"/>
  <c r="F93" i="37"/>
  <c r="L92" i="37"/>
  <c r="K92" i="37"/>
  <c r="G92" i="37"/>
  <c r="F92" i="37"/>
  <c r="L91" i="37"/>
  <c r="K91" i="37"/>
  <c r="G91" i="37"/>
  <c r="F91" i="37"/>
  <c r="L90" i="37"/>
  <c r="K90" i="37"/>
  <c r="G90" i="37"/>
  <c r="F90" i="37"/>
  <c r="L89" i="37"/>
  <c r="K89" i="37"/>
  <c r="G89" i="37"/>
  <c r="F89" i="37"/>
  <c r="L88" i="37"/>
  <c r="K88" i="37"/>
  <c r="G88" i="37"/>
  <c r="F88" i="37"/>
  <c r="L87" i="37"/>
  <c r="K87" i="37"/>
  <c r="G87" i="37"/>
  <c r="F87" i="37"/>
  <c r="L86" i="37"/>
  <c r="K86" i="37"/>
  <c r="G86" i="37"/>
  <c r="F86" i="37"/>
  <c r="L85" i="37"/>
  <c r="K85" i="37"/>
  <c r="G85" i="37"/>
  <c r="F85" i="37"/>
  <c r="L84" i="37"/>
  <c r="K84" i="37"/>
  <c r="G84" i="37"/>
  <c r="F84" i="37"/>
  <c r="L83" i="37"/>
  <c r="K83" i="37"/>
  <c r="G83" i="37"/>
  <c r="F83" i="37"/>
  <c r="L82" i="37"/>
  <c r="K82" i="37"/>
  <c r="G82" i="37"/>
  <c r="F82" i="37"/>
  <c r="L81" i="37"/>
  <c r="K81" i="37"/>
  <c r="G81" i="37"/>
  <c r="F81" i="37"/>
  <c r="L80" i="37"/>
  <c r="K80" i="37"/>
  <c r="G80" i="37"/>
  <c r="F80" i="37"/>
  <c r="L79" i="37"/>
  <c r="K79" i="37"/>
  <c r="G79" i="37"/>
  <c r="F79" i="37"/>
  <c r="L78" i="37"/>
  <c r="K78" i="37"/>
  <c r="G78" i="37"/>
  <c r="F78" i="37"/>
  <c r="L77" i="37"/>
  <c r="K77" i="37"/>
  <c r="G77" i="37"/>
  <c r="F77" i="37"/>
  <c r="L76" i="37"/>
  <c r="K76" i="37"/>
  <c r="G76" i="37"/>
  <c r="F76" i="37"/>
  <c r="L75" i="37"/>
  <c r="K75" i="37"/>
  <c r="G75" i="37"/>
  <c r="F75" i="37"/>
  <c r="L74" i="37"/>
  <c r="K74" i="37"/>
  <c r="G74" i="37"/>
  <c r="F74" i="37"/>
  <c r="L73" i="37"/>
  <c r="K73" i="37"/>
  <c r="G73" i="37"/>
  <c r="F73" i="37"/>
  <c r="L72" i="37"/>
  <c r="K72" i="37"/>
  <c r="G72" i="37"/>
  <c r="F72" i="37"/>
  <c r="L71" i="37"/>
  <c r="K71" i="37"/>
  <c r="G71" i="37"/>
  <c r="F71" i="37"/>
  <c r="L70" i="37"/>
  <c r="K70" i="37"/>
  <c r="G70" i="37"/>
  <c r="F70" i="37"/>
  <c r="L69" i="37"/>
  <c r="K69" i="37"/>
  <c r="G69" i="37"/>
  <c r="F69" i="37"/>
  <c r="L68" i="37"/>
  <c r="K68" i="37"/>
  <c r="G68" i="37"/>
  <c r="F68" i="37"/>
  <c r="L67" i="37"/>
  <c r="K67" i="37"/>
  <c r="G67" i="37"/>
  <c r="F67" i="37"/>
  <c r="L66" i="37"/>
  <c r="K66" i="37"/>
  <c r="G66" i="37"/>
  <c r="F66" i="37"/>
  <c r="G65" i="37"/>
  <c r="F65" i="37"/>
  <c r="G64" i="37"/>
  <c r="F64" i="37"/>
  <c r="L63" i="37"/>
  <c r="K63" i="37"/>
  <c r="G63" i="37"/>
  <c r="F63" i="37"/>
  <c r="L62" i="37"/>
  <c r="K62" i="37"/>
  <c r="G62" i="37"/>
  <c r="F62" i="37"/>
  <c r="L61" i="37"/>
  <c r="K61" i="37"/>
  <c r="G61" i="37"/>
  <c r="F61" i="37"/>
  <c r="L60" i="37"/>
  <c r="K60" i="37"/>
  <c r="G60" i="37"/>
  <c r="F60" i="37"/>
  <c r="L59" i="37"/>
  <c r="K59" i="37"/>
  <c r="G59" i="37"/>
  <c r="F59" i="37"/>
  <c r="L58" i="37"/>
  <c r="K58" i="37"/>
  <c r="G58" i="37"/>
  <c r="F58" i="37"/>
  <c r="L57" i="37"/>
  <c r="K57" i="37"/>
  <c r="G57" i="37"/>
  <c r="F57" i="37"/>
  <c r="L56" i="37"/>
  <c r="K56" i="37"/>
  <c r="G56" i="37"/>
  <c r="F56" i="37"/>
  <c r="L55" i="37"/>
  <c r="K55" i="37"/>
  <c r="G55" i="37"/>
  <c r="F55" i="37"/>
  <c r="L54" i="37"/>
  <c r="K54" i="37"/>
  <c r="G54" i="37"/>
  <c r="F54" i="37"/>
  <c r="L53" i="37"/>
  <c r="K53" i="37"/>
  <c r="G53" i="37"/>
  <c r="F53" i="37"/>
  <c r="L52" i="37"/>
  <c r="K52" i="37"/>
  <c r="G52" i="37"/>
  <c r="F52" i="37"/>
  <c r="L51" i="37"/>
  <c r="K51" i="37"/>
  <c r="G51" i="37"/>
  <c r="F51" i="37"/>
  <c r="L50" i="37"/>
  <c r="K50" i="37"/>
  <c r="G50" i="37"/>
  <c r="F50" i="37"/>
  <c r="L49" i="37"/>
  <c r="K49" i="37"/>
  <c r="G49" i="37"/>
  <c r="F49" i="37"/>
  <c r="L48" i="37"/>
  <c r="K48" i="37"/>
  <c r="G48" i="37"/>
  <c r="F48" i="37"/>
  <c r="L47" i="37"/>
  <c r="K47" i="37"/>
  <c r="G47" i="37"/>
  <c r="F47" i="37"/>
  <c r="L46" i="37"/>
  <c r="K46" i="37"/>
  <c r="G46" i="37"/>
  <c r="F46" i="37"/>
  <c r="L45" i="37"/>
  <c r="K45" i="37"/>
  <c r="G45" i="37"/>
  <c r="F45" i="37"/>
  <c r="L44" i="37"/>
  <c r="K44" i="37"/>
  <c r="G44" i="37"/>
  <c r="F44" i="37"/>
  <c r="L43" i="37"/>
  <c r="K43" i="37"/>
  <c r="G43" i="37"/>
  <c r="F43" i="37"/>
  <c r="L42" i="37"/>
  <c r="K42" i="37"/>
  <c r="G42" i="37"/>
  <c r="F42" i="37"/>
  <c r="L41" i="37"/>
  <c r="K41" i="37"/>
  <c r="G41" i="37"/>
  <c r="F41" i="37"/>
  <c r="L40" i="37"/>
  <c r="K40" i="37"/>
  <c r="G40" i="37"/>
  <c r="F40" i="37"/>
  <c r="L39" i="37"/>
  <c r="K39" i="37"/>
  <c r="G39" i="37"/>
  <c r="F39" i="37"/>
  <c r="L38" i="37"/>
  <c r="K38" i="37"/>
  <c r="G38" i="37"/>
  <c r="F38" i="37"/>
  <c r="L37" i="37"/>
  <c r="K37" i="37"/>
  <c r="G37" i="37"/>
  <c r="F37" i="37"/>
  <c r="L36" i="37"/>
  <c r="K36" i="37"/>
  <c r="G36" i="37"/>
  <c r="F36" i="37"/>
  <c r="L35" i="37"/>
  <c r="K35" i="37"/>
  <c r="G35" i="37"/>
  <c r="F35" i="37"/>
  <c r="L34" i="37"/>
  <c r="K34" i="37"/>
  <c r="G34" i="37"/>
  <c r="F34" i="37"/>
  <c r="L33" i="37"/>
  <c r="K33" i="37"/>
  <c r="G33" i="37"/>
  <c r="F33" i="37"/>
  <c r="L32" i="37"/>
  <c r="K32" i="37"/>
  <c r="G32" i="37"/>
  <c r="F32" i="37"/>
  <c r="L31" i="37"/>
  <c r="K31" i="37"/>
  <c r="G31" i="37"/>
  <c r="F31" i="37"/>
  <c r="L30" i="37"/>
  <c r="K30" i="37"/>
  <c r="G30" i="37"/>
  <c r="F30" i="37"/>
  <c r="L29" i="37"/>
  <c r="K29" i="37"/>
  <c r="G29" i="37"/>
  <c r="F29" i="37"/>
  <c r="L28" i="37"/>
  <c r="K28" i="37"/>
  <c r="G28" i="37"/>
  <c r="F28" i="37"/>
  <c r="L27" i="37"/>
  <c r="K27" i="37"/>
  <c r="G27" i="37"/>
  <c r="F27" i="37"/>
  <c r="L26" i="37"/>
  <c r="K26" i="37"/>
  <c r="G26" i="37"/>
  <c r="F26" i="37"/>
  <c r="L25" i="37"/>
  <c r="K25" i="37"/>
  <c r="G25" i="37"/>
  <c r="F25" i="37"/>
  <c r="L24" i="37"/>
  <c r="K24" i="37"/>
  <c r="G24" i="37"/>
  <c r="F24" i="37"/>
  <c r="L23" i="37"/>
  <c r="K23" i="37"/>
  <c r="G23" i="37"/>
  <c r="F23" i="37"/>
  <c r="L22" i="37"/>
  <c r="K22" i="37"/>
  <c r="G22" i="37"/>
  <c r="F22" i="37"/>
  <c r="L21" i="37"/>
  <c r="K21" i="37"/>
  <c r="G21" i="37"/>
  <c r="F21" i="37"/>
  <c r="L20" i="37"/>
  <c r="K20" i="37"/>
  <c r="G20" i="37"/>
  <c r="F20" i="37"/>
  <c r="L19" i="37"/>
  <c r="K19" i="37"/>
  <c r="G19" i="37"/>
  <c r="F19" i="37"/>
  <c r="L18" i="37"/>
  <c r="K18" i="37"/>
  <c r="G18" i="37"/>
  <c r="F18" i="37"/>
  <c r="L17" i="37"/>
  <c r="K17" i="37"/>
  <c r="G17" i="37"/>
  <c r="F17" i="37"/>
  <c r="L16" i="37"/>
  <c r="K16" i="37"/>
  <c r="G16" i="37"/>
  <c r="F16" i="37"/>
  <c r="L15" i="37"/>
  <c r="K15" i="37"/>
  <c r="G15" i="37"/>
  <c r="F15" i="37"/>
  <c r="L14" i="37"/>
  <c r="K14" i="37"/>
  <c r="G14" i="37"/>
  <c r="F14" i="37"/>
  <c r="L13" i="37"/>
  <c r="K13" i="37"/>
  <c r="G13" i="37"/>
  <c r="F13" i="37"/>
  <c r="L12" i="37"/>
  <c r="K12" i="37"/>
  <c r="G12" i="37"/>
  <c r="F12" i="37"/>
  <c r="L11" i="37"/>
  <c r="K11" i="37"/>
  <c r="G11" i="37"/>
  <c r="F11" i="37"/>
  <c r="L10" i="37"/>
  <c r="K10" i="37"/>
  <c r="G10" i="37"/>
  <c r="F10" i="37"/>
  <c r="L9" i="37"/>
  <c r="K9" i="37"/>
  <c r="G9" i="37"/>
  <c r="F9" i="37"/>
  <c r="L8" i="37"/>
  <c r="K8" i="37"/>
  <c r="G8" i="37"/>
  <c r="F8" i="37"/>
  <c r="L7" i="37"/>
  <c r="K7" i="37"/>
  <c r="G7" i="37"/>
  <c r="F7" i="37"/>
  <c r="L6" i="37"/>
  <c r="K6" i="37"/>
  <c r="G6" i="37"/>
  <c r="F6" i="37"/>
  <c r="L5" i="37"/>
  <c r="K5" i="37"/>
  <c r="G5" i="37"/>
  <c r="F5" i="37"/>
  <c r="L4" i="37"/>
  <c r="K4" i="37"/>
  <c r="G4" i="37"/>
  <c r="F4" i="37"/>
  <c r="L3" i="37"/>
  <c r="K3" i="37"/>
  <c r="G3" i="37"/>
  <c r="F3" i="37"/>
  <c r="L2" i="37"/>
  <c r="K2" i="37"/>
  <c r="G2" i="37"/>
  <c r="F2" i="37"/>
  <c r="J58" i="20" l="1"/>
  <c r="I58" i="20"/>
  <c r="J10" i="26"/>
  <c r="I10" i="26"/>
  <c r="I49" i="25"/>
  <c r="J49" i="25"/>
  <c r="I38" i="25"/>
  <c r="J38" i="25"/>
  <c r="I29" i="25"/>
  <c r="J29" i="25"/>
  <c r="I19" i="25"/>
  <c r="J19" i="25"/>
  <c r="J7" i="25"/>
  <c r="I7" i="25"/>
  <c r="J18" i="27"/>
  <c r="I18" i="27"/>
  <c r="J17" i="27"/>
  <c r="I17" i="27"/>
  <c r="J16" i="27"/>
  <c r="I16" i="27"/>
  <c r="J15" i="27"/>
  <c r="I15" i="27"/>
  <c r="J14" i="27"/>
  <c r="I14" i="27"/>
  <c r="J57" i="24"/>
  <c r="I57" i="24"/>
  <c r="J6" i="24"/>
  <c r="I6" i="24"/>
  <c r="I13" i="27"/>
  <c r="J13" i="27"/>
  <c r="J12" i="27"/>
  <c r="I12" i="27"/>
  <c r="I49" i="21"/>
  <c r="J49" i="21"/>
  <c r="I44" i="21"/>
  <c r="J44" i="21"/>
  <c r="I18" i="21"/>
  <c r="J18" i="21"/>
  <c r="J13" i="21"/>
  <c r="I13" i="21"/>
  <c r="J10" i="27"/>
  <c r="I10" i="27"/>
  <c r="J9" i="27"/>
  <c r="I9" i="27"/>
  <c r="J8" i="27"/>
  <c r="I8" i="27"/>
  <c r="J7" i="27"/>
  <c r="I7" i="27"/>
  <c r="I32" i="20"/>
  <c r="J32" i="20"/>
  <c r="J19" i="20"/>
  <c r="I19" i="20"/>
  <c r="J6" i="27"/>
  <c r="I6" i="27"/>
  <c r="J5" i="27"/>
  <c r="I5" i="27"/>
  <c r="J4" i="27"/>
  <c r="I4" i="27"/>
  <c r="I30" i="19"/>
  <c r="H30" i="19"/>
  <c r="I28" i="19"/>
  <c r="H28" i="19"/>
  <c r="J3" i="27"/>
  <c r="I3" i="27"/>
  <c r="J2" i="27"/>
  <c r="I2" i="27"/>
  <c r="J65" i="27"/>
  <c r="I65" i="27"/>
  <c r="J64" i="27"/>
  <c r="I64" i="27"/>
  <c r="J63" i="27"/>
  <c r="I63" i="27"/>
  <c r="J62" i="27"/>
  <c r="I62" i="27"/>
  <c r="J61" i="27"/>
  <c r="I61" i="27"/>
  <c r="J60" i="27"/>
  <c r="I60" i="27"/>
  <c r="J59" i="27"/>
  <c r="I59" i="27"/>
  <c r="J58" i="27"/>
  <c r="I58" i="27"/>
  <c r="J57" i="27"/>
  <c r="I57" i="27"/>
  <c r="J56" i="27"/>
  <c r="I56" i="27"/>
  <c r="J55" i="27"/>
  <c r="I55" i="27"/>
  <c r="J54" i="27"/>
  <c r="I54" i="27"/>
  <c r="J53" i="27"/>
  <c r="I53" i="27"/>
  <c r="J52" i="27"/>
  <c r="I52" i="27"/>
  <c r="J51" i="27"/>
  <c r="I51" i="27"/>
  <c r="J50" i="27"/>
  <c r="I50" i="27"/>
  <c r="J49" i="27"/>
  <c r="I49" i="27"/>
  <c r="J48" i="27"/>
  <c r="I48" i="27"/>
  <c r="J47" i="27"/>
  <c r="I47" i="27"/>
  <c r="J46" i="27"/>
  <c r="I46" i="27"/>
  <c r="J45" i="27"/>
  <c r="I45" i="27"/>
  <c r="J44" i="27"/>
  <c r="I44" i="27"/>
  <c r="J43" i="27"/>
  <c r="I43" i="27"/>
  <c r="J42" i="27"/>
  <c r="I42" i="27"/>
  <c r="J41" i="27"/>
  <c r="I41" i="27"/>
  <c r="J40" i="27"/>
  <c r="I40" i="27"/>
  <c r="J39" i="27"/>
  <c r="I39" i="27"/>
  <c r="J38" i="27"/>
  <c r="I38" i="27"/>
  <c r="J37" i="27"/>
  <c r="I37" i="27"/>
  <c r="J36" i="27"/>
  <c r="I36" i="27"/>
  <c r="J35" i="27"/>
  <c r="I35" i="27"/>
  <c r="J34" i="27"/>
  <c r="I34" i="27"/>
  <c r="J33" i="27"/>
  <c r="I33" i="27"/>
  <c r="J32" i="27"/>
  <c r="I32" i="27"/>
  <c r="J31" i="27"/>
  <c r="I31" i="27"/>
  <c r="J30" i="27"/>
  <c r="I30" i="27"/>
  <c r="J29" i="27"/>
  <c r="I29" i="27"/>
  <c r="J28" i="27"/>
  <c r="I28" i="27"/>
  <c r="J27" i="27"/>
  <c r="I27" i="27"/>
  <c r="J26" i="27"/>
  <c r="I26" i="27"/>
  <c r="J25" i="27"/>
  <c r="I25" i="27"/>
  <c r="J24" i="27"/>
  <c r="I24" i="27"/>
  <c r="J23" i="27"/>
  <c r="I23" i="27"/>
  <c r="J22" i="27"/>
  <c r="I22" i="27"/>
  <c r="J21" i="27"/>
  <c r="I21" i="27"/>
  <c r="J20" i="27"/>
  <c r="I20" i="27"/>
  <c r="J19" i="27"/>
  <c r="I19" i="27"/>
  <c r="J11" i="27"/>
  <c r="I11" i="27"/>
  <c r="J52" i="20" l="1"/>
  <c r="J3" i="25"/>
  <c r="J4" i="25"/>
  <c r="J5" i="25"/>
  <c r="J6" i="25"/>
  <c r="J8" i="25"/>
  <c r="J9" i="25"/>
  <c r="J10" i="25"/>
  <c r="J11" i="25"/>
  <c r="J12" i="25"/>
  <c r="J13" i="25"/>
  <c r="J14" i="25"/>
  <c r="J15" i="25"/>
  <c r="J16" i="25"/>
  <c r="J17" i="25"/>
  <c r="J18" i="25"/>
  <c r="J20" i="25"/>
  <c r="J21" i="25"/>
  <c r="J22" i="25"/>
  <c r="J23" i="25"/>
  <c r="J24" i="25"/>
  <c r="J25" i="25"/>
  <c r="J26" i="25"/>
  <c r="J27" i="25"/>
  <c r="J28" i="25"/>
  <c r="J30" i="25"/>
  <c r="J31" i="25"/>
  <c r="J32" i="25"/>
  <c r="J33" i="25"/>
  <c r="J34" i="25"/>
  <c r="J35" i="25"/>
  <c r="J36" i="25"/>
  <c r="J37" i="25"/>
  <c r="J39" i="25"/>
  <c r="J40" i="25"/>
  <c r="J41" i="25"/>
  <c r="J42" i="25"/>
  <c r="J43" i="25"/>
  <c r="J44" i="25"/>
  <c r="J45" i="25"/>
  <c r="J46" i="25"/>
  <c r="J47" i="25"/>
  <c r="J48" i="25"/>
  <c r="J50" i="25"/>
  <c r="J51" i="25"/>
  <c r="J52" i="25"/>
  <c r="J53" i="25"/>
  <c r="J54" i="25"/>
  <c r="J55" i="25"/>
  <c r="J56" i="25"/>
  <c r="J57" i="25"/>
  <c r="J58" i="25"/>
  <c r="J59" i="25"/>
  <c r="J60" i="25"/>
  <c r="J61" i="25"/>
  <c r="J62" i="25"/>
  <c r="J63" i="25"/>
  <c r="J2" i="25"/>
  <c r="I3" i="25"/>
  <c r="I4" i="25"/>
  <c r="I5" i="25"/>
  <c r="I6" i="25"/>
  <c r="I8" i="25"/>
  <c r="I9" i="25"/>
  <c r="I10" i="25"/>
  <c r="I11" i="25"/>
  <c r="I12" i="25"/>
  <c r="I13" i="25"/>
  <c r="I14" i="25"/>
  <c r="I15" i="25"/>
  <c r="I16" i="25"/>
  <c r="I17" i="25"/>
  <c r="I18" i="25"/>
  <c r="I20" i="25"/>
  <c r="I21" i="25"/>
  <c r="I22" i="25"/>
  <c r="I23" i="25"/>
  <c r="I24" i="25"/>
  <c r="I25" i="25"/>
  <c r="I26" i="25"/>
  <c r="I27" i="25"/>
  <c r="I28" i="25"/>
  <c r="I30" i="25"/>
  <c r="I31" i="25"/>
  <c r="I32" i="25"/>
  <c r="I33" i="25"/>
  <c r="I34" i="25"/>
  <c r="I35" i="25"/>
  <c r="I36" i="25"/>
  <c r="I37" i="25"/>
  <c r="I39" i="25"/>
  <c r="I40" i="25"/>
  <c r="I41" i="25"/>
  <c r="I42" i="25"/>
  <c r="I43" i="25"/>
  <c r="I44" i="25"/>
  <c r="I45" i="25"/>
  <c r="I46" i="25"/>
  <c r="I47" i="25"/>
  <c r="I48" i="25"/>
  <c r="I50" i="25"/>
  <c r="I51" i="25"/>
  <c r="I52" i="25"/>
  <c r="I53" i="25"/>
  <c r="I54" i="25"/>
  <c r="I55" i="25"/>
  <c r="I56" i="25"/>
  <c r="I57" i="25"/>
  <c r="I58" i="25"/>
  <c r="I59" i="25"/>
  <c r="I60" i="25"/>
  <c r="I61" i="25"/>
  <c r="I62" i="25"/>
  <c r="I63" i="25"/>
  <c r="I2" i="25"/>
  <c r="J3" i="24"/>
  <c r="J4" i="24"/>
  <c r="J5" i="24"/>
  <c r="J7" i="24"/>
  <c r="J8" i="24"/>
  <c r="J9" i="24"/>
  <c r="J10" i="24"/>
  <c r="J11" i="24"/>
  <c r="J12" i="24"/>
  <c r="J13" i="24"/>
  <c r="J14" i="24"/>
  <c r="J15" i="24"/>
  <c r="J16" i="24"/>
  <c r="J17" i="24"/>
  <c r="J18" i="24"/>
  <c r="J19" i="24"/>
  <c r="J20" i="24"/>
  <c r="J21" i="24"/>
  <c r="J22" i="24"/>
  <c r="J23" i="24"/>
  <c r="J24" i="24"/>
  <c r="J25" i="24"/>
  <c r="J26" i="24"/>
  <c r="J27" i="24"/>
  <c r="J28" i="24"/>
  <c r="J29" i="24"/>
  <c r="J30" i="24"/>
  <c r="J31" i="24"/>
  <c r="J32" i="24"/>
  <c r="J33" i="24"/>
  <c r="J34" i="24"/>
  <c r="J35" i="24"/>
  <c r="J36" i="24"/>
  <c r="J37" i="24"/>
  <c r="J38" i="24"/>
  <c r="J39" i="24"/>
  <c r="J40" i="24"/>
  <c r="J41" i="24"/>
  <c r="J42" i="24"/>
  <c r="J43" i="24"/>
  <c r="J44" i="24"/>
  <c r="J45" i="24"/>
  <c r="J46" i="24"/>
  <c r="J47" i="24"/>
  <c r="J48" i="24"/>
  <c r="J49" i="24"/>
  <c r="J50" i="24"/>
  <c r="J51" i="24"/>
  <c r="J52" i="24"/>
  <c r="J53" i="24"/>
  <c r="J54" i="24"/>
  <c r="J55" i="24"/>
  <c r="J56" i="24"/>
  <c r="J58" i="24"/>
  <c r="J59" i="24"/>
  <c r="J60" i="24"/>
  <c r="J61" i="24"/>
  <c r="J62" i="24"/>
  <c r="J63" i="24"/>
  <c r="J64" i="24"/>
  <c r="J2" i="24"/>
  <c r="I3" i="24"/>
  <c r="I4" i="24"/>
  <c r="I5" i="24"/>
  <c r="I7" i="24"/>
  <c r="I8" i="24"/>
  <c r="I9" i="24"/>
  <c r="I10" i="24"/>
  <c r="I11" i="24"/>
  <c r="I12" i="24"/>
  <c r="I13" i="24"/>
  <c r="I14" i="24"/>
  <c r="I15" i="24"/>
  <c r="I16" i="24"/>
  <c r="I17" i="24"/>
  <c r="I18" i="24"/>
  <c r="I19" i="24"/>
  <c r="I20" i="24"/>
  <c r="I21" i="24"/>
  <c r="I22" i="24"/>
  <c r="I23" i="24"/>
  <c r="I24" i="24"/>
  <c r="I25" i="24"/>
  <c r="I26" i="24"/>
  <c r="I27" i="24"/>
  <c r="I28" i="24"/>
  <c r="I29" i="24"/>
  <c r="I30" i="24"/>
  <c r="I31" i="24"/>
  <c r="I32" i="24"/>
  <c r="I33" i="24"/>
  <c r="I34" i="24"/>
  <c r="I35" i="24"/>
  <c r="I36" i="24"/>
  <c r="I37" i="24"/>
  <c r="I38" i="24"/>
  <c r="I39" i="24"/>
  <c r="I40" i="24"/>
  <c r="I41" i="24"/>
  <c r="I42" i="24"/>
  <c r="I43" i="24"/>
  <c r="I44" i="24"/>
  <c r="I45" i="24"/>
  <c r="I46" i="24"/>
  <c r="I47" i="24"/>
  <c r="I48" i="24"/>
  <c r="I49" i="24"/>
  <c r="I50" i="24"/>
  <c r="I51" i="24"/>
  <c r="I52" i="24"/>
  <c r="I53" i="24"/>
  <c r="I54" i="24"/>
  <c r="I55" i="24"/>
  <c r="I56" i="24"/>
  <c r="I58" i="24"/>
  <c r="I59" i="24"/>
  <c r="I60" i="24"/>
  <c r="I61" i="24"/>
  <c r="I62" i="24"/>
  <c r="I63" i="24"/>
  <c r="I64" i="24"/>
  <c r="I2" i="24"/>
  <c r="K2" i="23"/>
  <c r="K3" i="23"/>
  <c r="K4" i="23"/>
  <c r="K5" i="23"/>
  <c r="K6" i="23"/>
  <c r="K7" i="23"/>
  <c r="K8" i="23"/>
  <c r="K9" i="23"/>
  <c r="K10" i="23"/>
  <c r="K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J2" i="23"/>
  <c r="J3" i="23"/>
  <c r="J4" i="23"/>
  <c r="J5" i="23"/>
  <c r="J6" i="23"/>
  <c r="J7" i="23"/>
  <c r="J8" i="23"/>
  <c r="J9" i="23"/>
  <c r="J10" i="23"/>
  <c r="J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I2" i="23"/>
  <c r="I3" i="23"/>
  <c r="I4" i="23"/>
  <c r="I5" i="23"/>
  <c r="I6" i="23"/>
  <c r="I7" i="23"/>
  <c r="I8" i="23"/>
  <c r="I9" i="23"/>
  <c r="I10" i="23"/>
  <c r="I11" i="23"/>
  <c r="I12" i="23"/>
  <c r="I13" i="23"/>
  <c r="I14" i="23"/>
  <c r="I15" i="23"/>
  <c r="I16" i="23"/>
  <c r="I17" i="23"/>
  <c r="I18" i="23"/>
  <c r="I19" i="23"/>
  <c r="I20" i="23"/>
  <c r="I21" i="23"/>
  <c r="I22" i="23"/>
  <c r="I23" i="23"/>
  <c r="I24" i="23"/>
  <c r="I25" i="23"/>
  <c r="I26" i="23"/>
  <c r="I27" i="23"/>
  <c r="I28" i="23"/>
  <c r="I29" i="23"/>
  <c r="I30" i="23"/>
  <c r="I31" i="23"/>
  <c r="I32" i="23"/>
  <c r="I33" i="23"/>
  <c r="I34" i="23"/>
  <c r="I35" i="23"/>
  <c r="I36" i="23"/>
  <c r="I37" i="23"/>
  <c r="I38" i="23"/>
  <c r="I39" i="23"/>
  <c r="I40" i="23"/>
  <c r="I41" i="23"/>
  <c r="I42" i="23"/>
  <c r="I43" i="23"/>
  <c r="I44" i="23"/>
  <c r="I45" i="23"/>
  <c r="I46" i="23"/>
  <c r="I47" i="23"/>
  <c r="I48" i="23"/>
  <c r="I49" i="23"/>
  <c r="I50" i="23"/>
  <c r="I51" i="23"/>
  <c r="I52" i="23"/>
  <c r="I53" i="23"/>
  <c r="I54" i="23"/>
  <c r="I55" i="23"/>
  <c r="I56" i="23"/>
  <c r="I57" i="23"/>
  <c r="I58" i="23"/>
  <c r="I59" i="23"/>
  <c r="J3" i="21"/>
  <c r="J4" i="21"/>
  <c r="J5" i="21"/>
  <c r="J6" i="21"/>
  <c r="J7" i="21"/>
  <c r="J8" i="21"/>
  <c r="J9" i="21"/>
  <c r="J10" i="21"/>
  <c r="J11" i="21"/>
  <c r="J12" i="21"/>
  <c r="J14" i="21"/>
  <c r="J15" i="21"/>
  <c r="J16" i="21"/>
  <c r="J17"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5" i="21"/>
  <c r="J46" i="21"/>
  <c r="J47" i="21"/>
  <c r="J48" i="21"/>
  <c r="J50" i="21"/>
  <c r="J51" i="21"/>
  <c r="J52" i="21"/>
  <c r="J53" i="21"/>
  <c r="J54" i="21"/>
  <c r="J55" i="21"/>
  <c r="J56" i="21"/>
  <c r="J57" i="21"/>
  <c r="J58" i="21"/>
  <c r="J59" i="21"/>
  <c r="J60" i="21"/>
  <c r="J61" i="21"/>
  <c r="J2" i="21"/>
  <c r="I3" i="21"/>
  <c r="I4" i="21"/>
  <c r="I5" i="21"/>
  <c r="I6" i="21"/>
  <c r="I7" i="21"/>
  <c r="I8" i="21"/>
  <c r="I9" i="21"/>
  <c r="I10" i="21"/>
  <c r="I11" i="21"/>
  <c r="I12" i="21"/>
  <c r="I14" i="21"/>
  <c r="I15" i="21"/>
  <c r="I16" i="21"/>
  <c r="I17"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5" i="21"/>
  <c r="I46" i="21"/>
  <c r="I47" i="21"/>
  <c r="I48" i="21"/>
  <c r="I50" i="21"/>
  <c r="I51" i="21"/>
  <c r="I52" i="21"/>
  <c r="I53" i="21"/>
  <c r="I54" i="21"/>
  <c r="I55" i="21"/>
  <c r="I56" i="21"/>
  <c r="I57" i="21"/>
  <c r="I58" i="21"/>
  <c r="I59" i="21"/>
  <c r="I60" i="21"/>
  <c r="I61" i="21"/>
  <c r="I2" i="21"/>
  <c r="J2" i="20"/>
  <c r="J3" i="20"/>
  <c r="J4" i="20"/>
  <c r="J5" i="20"/>
  <c r="J6" i="20"/>
  <c r="J7" i="20"/>
  <c r="J8" i="20"/>
  <c r="J9" i="20"/>
  <c r="J10" i="20"/>
  <c r="J11" i="20"/>
  <c r="J12" i="20"/>
  <c r="J13" i="20"/>
  <c r="J14" i="20"/>
  <c r="J15" i="20"/>
  <c r="J16" i="20"/>
  <c r="J17" i="20"/>
  <c r="J18" i="20"/>
  <c r="J20" i="20"/>
  <c r="J21" i="20"/>
  <c r="J22" i="20"/>
  <c r="J23" i="20"/>
  <c r="J24" i="20"/>
  <c r="J25" i="20"/>
  <c r="J26" i="20"/>
  <c r="J27" i="20"/>
  <c r="J28" i="20"/>
  <c r="J29" i="20"/>
  <c r="J30" i="20"/>
  <c r="J31" i="20"/>
  <c r="J33" i="20"/>
  <c r="J34" i="20"/>
  <c r="J35" i="20"/>
  <c r="J36" i="20"/>
  <c r="J37" i="20"/>
  <c r="J38" i="20"/>
  <c r="J39" i="20"/>
  <c r="J40" i="20"/>
  <c r="J41" i="20"/>
  <c r="J42" i="20"/>
  <c r="J43" i="20"/>
  <c r="J44" i="20"/>
  <c r="J45" i="20"/>
  <c r="J46" i="20"/>
  <c r="J47" i="20"/>
  <c r="J48" i="20"/>
  <c r="J49" i="20"/>
  <c r="J50" i="20"/>
  <c r="J51" i="20"/>
  <c r="J53" i="20"/>
  <c r="J54" i="20"/>
  <c r="J55" i="20"/>
  <c r="J56" i="20"/>
  <c r="J57" i="20"/>
  <c r="I2" i="20"/>
  <c r="I3" i="20"/>
  <c r="I4" i="20"/>
  <c r="I5" i="20"/>
  <c r="I6" i="20"/>
  <c r="I7" i="20"/>
  <c r="I8" i="20"/>
  <c r="I9" i="20"/>
  <c r="I10" i="20"/>
  <c r="I11" i="20"/>
  <c r="I12" i="20"/>
  <c r="I13" i="20"/>
  <c r="I14" i="20"/>
  <c r="I15" i="20"/>
  <c r="I16" i="20"/>
  <c r="I17" i="20"/>
  <c r="I18" i="20"/>
  <c r="I20" i="20"/>
  <c r="I21" i="20"/>
  <c r="I22" i="20"/>
  <c r="I23" i="20"/>
  <c r="I24" i="20"/>
  <c r="I25" i="20"/>
  <c r="I26" i="20"/>
  <c r="I27" i="20"/>
  <c r="I28" i="20"/>
  <c r="I29" i="20"/>
  <c r="I30" i="20"/>
  <c r="I31" i="20"/>
  <c r="I33" i="20"/>
  <c r="I34" i="20"/>
  <c r="I35" i="20"/>
  <c r="I36" i="20"/>
  <c r="I37" i="20"/>
  <c r="I38" i="20"/>
  <c r="I39" i="20"/>
  <c r="I40" i="20"/>
  <c r="I41" i="20"/>
  <c r="I42" i="20"/>
  <c r="I43" i="20"/>
  <c r="I44" i="20"/>
  <c r="I45" i="20"/>
  <c r="I46" i="20"/>
  <c r="I47" i="20"/>
  <c r="I48" i="20"/>
  <c r="I49" i="20"/>
  <c r="I50" i="20"/>
  <c r="I51" i="20"/>
  <c r="I52" i="20"/>
  <c r="I53" i="20"/>
  <c r="I54" i="20"/>
  <c r="I55" i="20"/>
  <c r="I56" i="20"/>
  <c r="I57" i="20"/>
  <c r="I3" i="19"/>
  <c r="I4" i="19"/>
  <c r="I5" i="19"/>
  <c r="I6" i="19"/>
  <c r="I7" i="19"/>
  <c r="I8" i="19"/>
  <c r="I9" i="19"/>
  <c r="I10" i="19"/>
  <c r="I11" i="19"/>
  <c r="I12" i="19"/>
  <c r="I13" i="19"/>
  <c r="I14" i="19"/>
  <c r="I15" i="19"/>
  <c r="I16" i="19"/>
  <c r="I17" i="19"/>
  <c r="I18" i="19"/>
  <c r="I19" i="19"/>
  <c r="I20" i="19"/>
  <c r="I21" i="19"/>
  <c r="I22" i="19"/>
  <c r="I23" i="19"/>
  <c r="I24" i="19"/>
  <c r="I25" i="19"/>
  <c r="I26" i="19"/>
  <c r="I27" i="19"/>
  <c r="I29" i="19"/>
  <c r="I31" i="19"/>
  <c r="I32" i="19"/>
  <c r="I33" i="19"/>
  <c r="I34" i="19"/>
  <c r="I35" i="19"/>
  <c r="I36" i="19"/>
  <c r="I37" i="19"/>
  <c r="I38" i="19"/>
  <c r="I39" i="19"/>
  <c r="I40" i="19"/>
  <c r="I41" i="19"/>
  <c r="I42" i="19"/>
  <c r="I43" i="19"/>
  <c r="I44" i="19"/>
  <c r="I45" i="19"/>
  <c r="I46" i="19"/>
  <c r="I47" i="19"/>
  <c r="I48" i="19"/>
  <c r="I49" i="19"/>
  <c r="I50" i="19"/>
  <c r="I51" i="19"/>
  <c r="I52" i="19"/>
  <c r="I53" i="19"/>
  <c r="I54" i="19"/>
  <c r="I55" i="19"/>
  <c r="I56" i="19"/>
  <c r="I57" i="19"/>
  <c r="I2" i="19"/>
  <c r="H3" i="19"/>
  <c r="H4" i="19"/>
  <c r="H5" i="19"/>
  <c r="H6" i="19"/>
  <c r="H7" i="19"/>
  <c r="H8" i="19"/>
  <c r="H9" i="19"/>
  <c r="H10" i="19"/>
  <c r="H11" i="19"/>
  <c r="H12" i="19"/>
  <c r="H13" i="19"/>
  <c r="H14" i="19"/>
  <c r="H15" i="19"/>
  <c r="H16" i="19"/>
  <c r="H17" i="19"/>
  <c r="H18" i="19"/>
  <c r="H19" i="19"/>
  <c r="H20" i="19"/>
  <c r="H21" i="19"/>
  <c r="H22" i="19"/>
  <c r="H23" i="19"/>
  <c r="H24" i="19"/>
  <c r="H25" i="19"/>
  <c r="H26" i="19"/>
  <c r="H27" i="19"/>
  <c r="H29" i="19"/>
  <c r="H31" i="19"/>
  <c r="H32" i="19"/>
  <c r="H33" i="19"/>
  <c r="H34" i="19"/>
  <c r="H35" i="19"/>
  <c r="H36" i="19"/>
  <c r="H37" i="19"/>
  <c r="H38" i="19"/>
  <c r="H39" i="19"/>
  <c r="H40" i="19"/>
  <c r="H41" i="19"/>
  <c r="H42" i="19"/>
  <c r="H43" i="19"/>
  <c r="H44" i="19"/>
  <c r="H45" i="19"/>
  <c r="H46" i="19"/>
  <c r="H47" i="19"/>
  <c r="H48" i="19"/>
  <c r="H49" i="19"/>
  <c r="H50" i="19"/>
  <c r="H51" i="19"/>
  <c r="H52" i="19"/>
  <c r="H53" i="19"/>
  <c r="H54" i="19"/>
  <c r="H55" i="19"/>
  <c r="H56" i="19"/>
  <c r="H57" i="19"/>
  <c r="H2" i="19"/>
  <c r="J3" i="26"/>
  <c r="J4" i="26"/>
  <c r="J5" i="26"/>
  <c r="J6" i="26"/>
  <c r="J7" i="26"/>
  <c r="J8" i="26"/>
  <c r="J9"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2" i="26"/>
  <c r="I2" i="26"/>
  <c r="I3" i="26"/>
  <c r="I4" i="26"/>
  <c r="I5" i="26"/>
  <c r="I6" i="26"/>
  <c r="I7" i="26"/>
  <c r="I8" i="26"/>
  <c r="I9"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alcChain>
</file>

<file path=xl/sharedStrings.xml><?xml version="1.0" encoding="utf-8"?>
<sst xmlns="http://schemas.openxmlformats.org/spreadsheetml/2006/main" count="39958" uniqueCount="3798">
  <si>
    <t>Batch Name</t>
  </si>
  <si>
    <t>Sl No.</t>
  </si>
  <si>
    <t>Student Name</t>
  </si>
  <si>
    <t>Student System ID</t>
  </si>
  <si>
    <t>Student Roll No.</t>
  </si>
  <si>
    <t>Program Name</t>
  </si>
  <si>
    <t>Student Email ID</t>
  </si>
  <si>
    <t>Specialization</t>
  </si>
  <si>
    <t>Job Role Interest-1</t>
  </si>
  <si>
    <t>Job Role Interest-2</t>
  </si>
  <si>
    <t>Interested for Job(Yes/No)</t>
  </si>
  <si>
    <t>FSD-SB-L1</t>
  </si>
  <si>
    <t>Salman Alam</t>
  </si>
  <si>
    <t>Bachelor of Technology</t>
  </si>
  <si>
    <t>2022000799.salman@ug.sharda.ac.in</t>
  </si>
  <si>
    <t>Computer Science</t>
  </si>
  <si>
    <t>Full Stack Developer(Spring Boot)</t>
  </si>
  <si>
    <t>Android Developer</t>
  </si>
  <si>
    <t>YES</t>
  </si>
  <si>
    <t>Salman Gazi</t>
  </si>
  <si>
    <t>2022001198.salman@ug.sharda.ac.in</t>
  </si>
  <si>
    <t>Software Developer</t>
  </si>
  <si>
    <t>Aditya Keshri</t>
  </si>
  <si>
    <t>2022002562.aditya@ug.sharda.ac.in</t>
  </si>
  <si>
    <t>Keshav Sharma</t>
  </si>
  <si>
    <t>2022002824.keshav@ug.sharda.ac.in</t>
  </si>
  <si>
    <t>Machine Learning Engineer</t>
  </si>
  <si>
    <t>Devansh Jha</t>
  </si>
  <si>
    <t>2022003043.devansh@ug.sharda.ac.in</t>
  </si>
  <si>
    <t>Pawan .</t>
  </si>
  <si>
    <t>2022003474.pawan@ug.sharda.ac.in</t>
  </si>
  <si>
    <t>Aniruddh Singh</t>
  </si>
  <si>
    <t>2022003597.aniruddh@ug.sharda.ac.in</t>
  </si>
  <si>
    <t>Maaz Ul Hasan</t>
  </si>
  <si>
    <t>2022004161.maaz@ug.sharda.ac.in</t>
  </si>
  <si>
    <t>Anuj Naruka</t>
  </si>
  <si>
    <t>2022004609.anuj@ug.sharda.ac.in</t>
  </si>
  <si>
    <t>Rao Rudra Pratap</t>
  </si>
  <si>
    <t>2022004614.rao@ug.sharda.ac.in</t>
  </si>
  <si>
    <t>Tripathi Kartik Umashanker</t>
  </si>
  <si>
    <t>2022005697.tripathikartik@ug.sharda.ac.in</t>
  </si>
  <si>
    <t>Anshika Tyagi</t>
  </si>
  <si>
    <t>2022006171.anshika@ug.sharda.ac.in</t>
  </si>
  <si>
    <t>Mr Ayush Sharma</t>
  </si>
  <si>
    <t>2022007449.ayush@ug.sharda.ac.in</t>
  </si>
  <si>
    <t>Sayyed Amaan Ali</t>
  </si>
  <si>
    <t>2022007676.sayyed@ug.sharda.ac.in</t>
  </si>
  <si>
    <t>Aryan .</t>
  </si>
  <si>
    <t>2022329124.aryan@ug.sharda.ac.in</t>
  </si>
  <si>
    <t>Cloud Engineer</t>
  </si>
  <si>
    <t>Dibyanshu Mohanty</t>
  </si>
  <si>
    <t>2022330872.dibyanshu@ug.sharda.ac.in</t>
  </si>
  <si>
    <t>Purushottam Kumar</t>
  </si>
  <si>
    <t>2022344698.purushottam@ug.sharda.ac.in</t>
  </si>
  <si>
    <t>Takmeel Fatima</t>
  </si>
  <si>
    <t>2022360071.takmeel@ug.sharda.ac.in</t>
  </si>
  <si>
    <t>Sahil Ahmad Shah</t>
  </si>
  <si>
    <t>2022369268.sahil@ug.sharda.ac.in</t>
  </si>
  <si>
    <t>Aryan Kumar Pandey</t>
  </si>
  <si>
    <t>2022386541.aryan@ug.sharda.ac.in</t>
  </si>
  <si>
    <t>Vaibhav Gupta</t>
  </si>
  <si>
    <t>2022393356.vaibhav@ug.sharda.ac.in</t>
  </si>
  <si>
    <t>Aryan Kumar</t>
  </si>
  <si>
    <t>2022395305.aryan@ug.sharda.ac.in</t>
  </si>
  <si>
    <t>Mohit Purohit</t>
  </si>
  <si>
    <t>2022400915.mohit@ug.sharda.ac.in</t>
  </si>
  <si>
    <t>Sumit Pathak</t>
  </si>
  <si>
    <t>2022408033.sumit@ug.sharda.ac.in</t>
  </si>
  <si>
    <t>Yash Rawat</t>
  </si>
  <si>
    <t>2022423199.yash@ug.sharda.ac.in</t>
  </si>
  <si>
    <t>Deependra Singh</t>
  </si>
  <si>
    <t>2022429052.deependra@ug.sharda.ac.in</t>
  </si>
  <si>
    <t>Yuvraj Sinha</t>
  </si>
  <si>
    <t>2022433386.yuvraj@ug.sharda.ac.in</t>
  </si>
  <si>
    <t>Anjani Kumar</t>
  </si>
  <si>
    <t>2022434676.anjani@ug.sharda.ac.in</t>
  </si>
  <si>
    <t>Lakshya Jaiswal</t>
  </si>
  <si>
    <t>2022436300.lakshya@ug.sharda.ac.in</t>
  </si>
  <si>
    <t>Ved Sharma</t>
  </si>
  <si>
    <t>2022439020.ved@ug.sharda.ac.in</t>
  </si>
  <si>
    <t>Junaid Basaad</t>
  </si>
  <si>
    <t>2022458909.junaid@ug.sharda.ac.in</t>
  </si>
  <si>
    <t>Fahad Najmi</t>
  </si>
  <si>
    <t>2022470752.fahad@ug.sharda.ac.in</t>
  </si>
  <si>
    <t>Alfi Khan</t>
  </si>
  <si>
    <t>2022473379.alfi@ug.sharda.ac.in</t>
  </si>
  <si>
    <t>Mohit Singh Bisht</t>
  </si>
  <si>
    <t>2022482796.mohit@ug.sharda.ac.in</t>
  </si>
  <si>
    <t>Aiyaan Qaiser</t>
  </si>
  <si>
    <t>2022484684.aiyaan@ug.sharda.ac.in</t>
  </si>
  <si>
    <t>Shikhar Singh</t>
  </si>
  <si>
    <t>2022487397.shikhar@ug.sharda.ac.in</t>
  </si>
  <si>
    <t>Pushkar Dangwal</t>
  </si>
  <si>
    <t>2022492019.pushkar@ug.sharda.ac.in</t>
  </si>
  <si>
    <t>Shreyansh Dixit</t>
  </si>
  <si>
    <t>2022495153.shreyansh@ug.sharda.ac.in</t>
  </si>
  <si>
    <t>Sumit Yadav</t>
  </si>
  <si>
    <t>2022498602.sumit@ug.sharda.ac.in</t>
  </si>
  <si>
    <t>Md Motiur Rahman</t>
  </si>
  <si>
    <t>2022499099.md@ug.sharda.ac.in</t>
  </si>
  <si>
    <t>Arun Kumar Pal</t>
  </si>
  <si>
    <t>2022502414.arun@ug.sharda.ac.in</t>
  </si>
  <si>
    <t>Harshvardhan Sinha</t>
  </si>
  <si>
    <t>2022505448.harshvardhan@ug.sharda.ac.in</t>
  </si>
  <si>
    <t>Data Scientist</t>
  </si>
  <si>
    <t>Mohit Kumar</t>
  </si>
  <si>
    <t>2022506408.mohit@ug.sharda.ac.in</t>
  </si>
  <si>
    <t>Manas Thakur</t>
  </si>
  <si>
    <t>2022506809.manas@ug.sharda.ac.in</t>
  </si>
  <si>
    <t>Divyani Patel</t>
  </si>
  <si>
    <t>2022511372.divyani@ug.sharda.ac.in</t>
  </si>
  <si>
    <t>Raj Laxmi</t>
  </si>
  <si>
    <t>2022523416.raj@ug.sharda.ac.in</t>
  </si>
  <si>
    <t>Aditya Tiwari</t>
  </si>
  <si>
    <t>2022526282.aditya@ug.sharda.ac.in</t>
  </si>
  <si>
    <t>Aman Raj</t>
  </si>
  <si>
    <t>2022528998.aman@ug.sharda.ac.in</t>
  </si>
  <si>
    <t>Cyber Security Analyst</t>
  </si>
  <si>
    <t>Daksh Pal</t>
  </si>
  <si>
    <t>2022535159.daksh@ug.sharda.ac.in</t>
  </si>
  <si>
    <t>Swati Kumari</t>
  </si>
  <si>
    <t>2022543079.swati@ug.sharda.ac.in</t>
  </si>
  <si>
    <t>Anjali Singh</t>
  </si>
  <si>
    <t>2022591296.anjali@ug.sharda.ac.in</t>
  </si>
  <si>
    <t>MD Millat Hosen</t>
  </si>
  <si>
    <t>2022811342.md@ug.sharda.ac.in</t>
  </si>
  <si>
    <t>Aditya Raj Singh</t>
  </si>
  <si>
    <t>2022439077.aditya@ug.sharda.ac.in</t>
  </si>
  <si>
    <t>Cyber Security-L2</t>
  </si>
  <si>
    <t>Gagandeep Singh Sindhu</t>
  </si>
  <si>
    <t>2022498160.gagandeep@ug.sharda.ac.in</t>
  </si>
  <si>
    <t>CSE-Cyber &amp; Forensic-MicroSoft</t>
  </si>
  <si>
    <t>FSD-SB-L2</t>
  </si>
  <si>
    <t>Ravi Sharma</t>
  </si>
  <si>
    <t>2022006859.ravi@ug.sharda.ac.in</t>
  </si>
  <si>
    <t>Simran Kumari</t>
  </si>
  <si>
    <t>2022338616.simran@ug.sharda.ac.in</t>
  </si>
  <si>
    <t>Gauri Jakhmola</t>
  </si>
  <si>
    <t>2022506998.gauri@ug.sharda.ac.in</t>
  </si>
  <si>
    <t>Testing Engineer</t>
  </si>
  <si>
    <t>2022511918.anjali@ug.sharda.ac.in</t>
  </si>
  <si>
    <t>Adarsh .</t>
  </si>
  <si>
    <t>2022539291.adarsh@ug.sharda.ac.in</t>
  </si>
  <si>
    <t>Priyanshu Chauhan</t>
  </si>
  <si>
    <t>2022559558.priyanshu@ug.sharda.ac.in</t>
  </si>
  <si>
    <t>Paritosh Rawat</t>
  </si>
  <si>
    <t>2022559563.paritosh@ug.sharda.ac.in</t>
  </si>
  <si>
    <t>Vishvendra Dhama</t>
  </si>
  <si>
    <t>2022003841.vishvendra@ug.sharda.ac.in</t>
  </si>
  <si>
    <t>Full Stack Developer(MERN Stack)</t>
  </si>
  <si>
    <t>Aman Dogra</t>
  </si>
  <si>
    <t>2022006152.aman@ug.sharda.ac.in</t>
  </si>
  <si>
    <t>Harshit Chaudhary</t>
  </si>
  <si>
    <t>2022006162.harshit@ug.sharda.ac.in</t>
  </si>
  <si>
    <t>Arman Ahmed</t>
  </si>
  <si>
    <t>2022006318.arman@ug.sharda.ac.in</t>
  </si>
  <si>
    <t>Priyanshu Tyagi</t>
  </si>
  <si>
    <t>2022006437.priyanshu@ug.sharda.ac.in</t>
  </si>
  <si>
    <t>Lakshay Khandelwal</t>
  </si>
  <si>
    <t>2022006582.lakshay@ug.sharda.ac.in</t>
  </si>
  <si>
    <t>Anish Kumar Rai</t>
  </si>
  <si>
    <t>2022006654.anish@ug.sharda.ac.in</t>
  </si>
  <si>
    <t>Shashwat Singh</t>
  </si>
  <si>
    <t>2022006694.shashwat@ug.sharda.ac.in</t>
  </si>
  <si>
    <t>Namrata Singh</t>
  </si>
  <si>
    <t>2022006799.namrata@ug.sharda.ac.in</t>
  </si>
  <si>
    <t>Shivam Nayak</t>
  </si>
  <si>
    <t>2022006868.shivam@ug.sharda.ac.in</t>
  </si>
  <si>
    <t>Shristi Jain</t>
  </si>
  <si>
    <t>2022006890.shristi@ug.sharda.ac.in</t>
  </si>
  <si>
    <t>Akshit Kumar</t>
  </si>
  <si>
    <t>2022007179.akshit@ug.sharda.ac.in</t>
  </si>
  <si>
    <t>Kunal Rajput</t>
  </si>
  <si>
    <t>2022007342.kunal@ug.sharda.ac.in</t>
  </si>
  <si>
    <t>NO</t>
  </si>
  <si>
    <t>Ankit Kumar</t>
  </si>
  <si>
    <t>2022007381.ankit@ug.sharda.ac.in</t>
  </si>
  <si>
    <t>Ashish Kumar Mahato</t>
  </si>
  <si>
    <t>2022007635.ashish@ug.sharda.ac.in</t>
  </si>
  <si>
    <t>Nikhil Sinha</t>
  </si>
  <si>
    <t>2022303213.nikhil@ug.sharda.ac.in</t>
  </si>
  <si>
    <t>Priyanshu Mishra</t>
  </si>
  <si>
    <t>2022304804.priyanshu@ug.sharda.ac.in</t>
  </si>
  <si>
    <t>Ritika Ruhal</t>
  </si>
  <si>
    <t>2022317952.ritika@ug.sharda.ac.in</t>
  </si>
  <si>
    <t>Kritika Sharma</t>
  </si>
  <si>
    <t>2022359778.kritika@ug.sharda.ac.in</t>
  </si>
  <si>
    <t>Surabhi Singh</t>
  </si>
  <si>
    <t>2022403475.surabhi@ug.sharda.ac.in</t>
  </si>
  <si>
    <t>Ankita Kumari</t>
  </si>
  <si>
    <t>2022407716.ankita@ug.sharda.ac.in</t>
  </si>
  <si>
    <t>Ayush Garg</t>
  </si>
  <si>
    <t>2022416656.ayush@ug.sharda.ac.in</t>
  </si>
  <si>
    <t>Muskan Babele</t>
  </si>
  <si>
    <t>2022443535.muskan@ug.sharda.ac.in</t>
  </si>
  <si>
    <t>Mohd Raza Khan</t>
  </si>
  <si>
    <t>2022446209.raza@ug.sharda.ac.in</t>
  </si>
  <si>
    <t>Ajay Singh</t>
  </si>
  <si>
    <t>2022476104.ajay@ug.sharda.ac.in</t>
  </si>
  <si>
    <t>Rockey Kumar</t>
  </si>
  <si>
    <t>2022483390.rockey@ug.sharda.ac.in</t>
  </si>
  <si>
    <t>Ashutosh Sharma</t>
  </si>
  <si>
    <t>2022484200.ashutosh@ug.sharda.ac.in</t>
  </si>
  <si>
    <t>Baliram Kumar</t>
  </si>
  <si>
    <t>2022485674.baliram@ug.sharda.ac.in</t>
  </si>
  <si>
    <t>Pushkar Kumar Jha</t>
  </si>
  <si>
    <t>2022502123.pushkar@ug.sharda.ac.in</t>
  </si>
  <si>
    <t>Satyam Singh</t>
  </si>
  <si>
    <t>2022502747.satyam@ug.sharda.ac.in</t>
  </si>
  <si>
    <t>Nakul Sharma</t>
  </si>
  <si>
    <t>2022503208.nakul@ug.sharda.ac.in</t>
  </si>
  <si>
    <t>Adarsh Kumar Singh</t>
  </si>
  <si>
    <t>2022508626.adarsh@ug.sharda.ac.in</t>
  </si>
  <si>
    <t>Sumit .</t>
  </si>
  <si>
    <t>2022508695.sumit@ug.sharda.ac.in</t>
  </si>
  <si>
    <t>Raushan Kumar</t>
  </si>
  <si>
    <t>2022554897.raushan@ug.sharda.ac.in</t>
  </si>
  <si>
    <t>Md Adnan Ahsani</t>
  </si>
  <si>
    <t>2022558410.md@ug.sharda.ac.in</t>
  </si>
  <si>
    <t>Aditya Sharma</t>
  </si>
  <si>
    <t>2022558776.aditya@ug.sharda.ac.in</t>
  </si>
  <si>
    <t>Saloni Kumari</t>
  </si>
  <si>
    <t>2022558819.saloni@ug.sharda.ac.in</t>
  </si>
  <si>
    <t>Shubham Harbola</t>
  </si>
  <si>
    <t>2022559432.shubham@ug.sharda.ac.in</t>
  </si>
  <si>
    <t>Tarun Sirohi</t>
  </si>
  <si>
    <t>2022561225.tarun@ug.sharda.ac.in</t>
  </si>
  <si>
    <t>Alok Kumar Mishra</t>
  </si>
  <si>
    <t>2022567112.alok@ug.sharda.ac.in</t>
  </si>
  <si>
    <t>Isha Sakhuja</t>
  </si>
  <si>
    <t>2022570019.isha@ug.sharda.ac.in</t>
  </si>
  <si>
    <t>Anshu Geetanjali</t>
  </si>
  <si>
    <t>2022577648.anshu@ug.sharda.ac.in</t>
  </si>
  <si>
    <t>Jatin Kumar</t>
  </si>
  <si>
    <t>2022582150.jatin@ug.sharda.ac.in</t>
  </si>
  <si>
    <t>Anagh C Nambiar</t>
  </si>
  <si>
    <t>2022621767.anagh@ug.sharda.ac.in</t>
  </si>
  <si>
    <t>Anshuman Gautam</t>
  </si>
  <si>
    <t>2022624445.anshuman@ug.sharda.ac.in</t>
  </si>
  <si>
    <t>Saksham Pokhrel</t>
  </si>
  <si>
    <t>2022818891.saksham@ug.sharda.ac.in</t>
  </si>
  <si>
    <t>Jayanti Kumari</t>
  </si>
  <si>
    <t>2022819221.jayanti@ug.sharda.ac.in</t>
  </si>
  <si>
    <t>Saurab Gurung</t>
  </si>
  <si>
    <t>2022820996.saurab@ug.sharda.ac.in</t>
  </si>
  <si>
    <t>Renuka Chaudhary</t>
  </si>
  <si>
    <t>2022829568.renuka@ug.sharda.ac.in</t>
  </si>
  <si>
    <t>Miss Pratibha Dhungel</t>
  </si>
  <si>
    <t>2022831935.pratibha@ug.sharda.ac.in</t>
  </si>
  <si>
    <t>Miss Saraswati Kumari</t>
  </si>
  <si>
    <t>2022832635.saraswati@ug.sharda.ac.in</t>
  </si>
  <si>
    <t>Mr Amrit Raut</t>
  </si>
  <si>
    <t>2022834464.amrit@ug.sharda.ac.in</t>
  </si>
  <si>
    <t>Mr Shekhar Kumar Purbe</t>
  </si>
  <si>
    <t>2022834589.shekharkumar@ug.sharda.ac.in</t>
  </si>
  <si>
    <t>Sahil Goswami</t>
  </si>
  <si>
    <t>2023521223.sahil@ug.sharda.ac.in</t>
  </si>
  <si>
    <t>Alok Kumar</t>
  </si>
  <si>
    <t>2022593768.alok@ug.sharda.ac.in</t>
  </si>
  <si>
    <t>Shivam Kumar</t>
  </si>
  <si>
    <t>2022468330.shivam@ug.sharda.ac.in</t>
  </si>
  <si>
    <t>FSD-MERN-L1</t>
  </si>
  <si>
    <t>Arfat Khan</t>
  </si>
  <si>
    <t>2022000982.arfat@ug.sharda.ac.in</t>
  </si>
  <si>
    <t>Tanvee Vashist</t>
  </si>
  <si>
    <t>2022002431.tanvee@ug.sharda.ac.in</t>
  </si>
  <si>
    <t>Prateek Kumar</t>
  </si>
  <si>
    <t>2022003695.prateek@ug.sharda.ac.in</t>
  </si>
  <si>
    <t>Vaibhav Dhor</t>
  </si>
  <si>
    <t>2022003889.vaibhav@ug.sharda.ac.in</t>
  </si>
  <si>
    <t>Mantasha Imran</t>
  </si>
  <si>
    <t>2022004442.mantasha@ug.sharda.ac.in</t>
  </si>
  <si>
    <t>Rohan Kumar</t>
  </si>
  <si>
    <t>2022004675.rohan@ug.sharda.ac.in</t>
  </si>
  <si>
    <t>Kalpana Mishra</t>
  </si>
  <si>
    <t>2022004703.kalpana@ug.sharda.ac.in</t>
  </si>
  <si>
    <t>Riya Singh</t>
  </si>
  <si>
    <t>2022004737.riya@ug.sharda.ac.in</t>
  </si>
  <si>
    <t>Vats Raj Kashyap</t>
  </si>
  <si>
    <t>2022004757.vats@ug.sharda.ac.in</t>
  </si>
  <si>
    <t>Utkarsh Kumar</t>
  </si>
  <si>
    <t>2022005062.utkarsh@ug.sharda.ac.in</t>
  </si>
  <si>
    <t>Shivam Tripathi</t>
  </si>
  <si>
    <t>2022005275.shivam@ug.sharda.ac.in</t>
  </si>
  <si>
    <t>Tanya Mall</t>
  </si>
  <si>
    <t>2022005567.tanya@ug.sharda.ac.in</t>
  </si>
  <si>
    <t>Pooja Mishra</t>
  </si>
  <si>
    <t>2022005582.pooja@ug.sharda.ac.in</t>
  </si>
  <si>
    <t>Priyanshu Dimri</t>
  </si>
  <si>
    <t>2022005818.priyanshu@ug.sharda.ac.in</t>
  </si>
  <si>
    <t>Swaraj Upreti</t>
  </si>
  <si>
    <t>2022005992.swaraj@ug.sharda.ac.in</t>
  </si>
  <si>
    <t>Mr Sarwesh Kumar</t>
  </si>
  <si>
    <t>2022006361.sarwesh@ug.sharda.ac.in</t>
  </si>
  <si>
    <t>Karan Kumar Das</t>
  </si>
  <si>
    <t>2022301943.karan@ug.sharda.ac.in</t>
  </si>
  <si>
    <t>Riti Kumari</t>
  </si>
  <si>
    <t>2022306401.riti@ug.sharda.ac.in</t>
  </si>
  <si>
    <t>Rayyaan Tasaduq Wani</t>
  </si>
  <si>
    <t>2022306733.rayyaantasaduq@ug.sharda.ac.in</t>
  </si>
  <si>
    <t>Utkarsh Gupta</t>
  </si>
  <si>
    <t>2022307471.utkarsh@ug.sharda.ac.in</t>
  </si>
  <si>
    <t>Al Zabir</t>
  </si>
  <si>
    <t>2022344459.al@ug.sharda.ac.in</t>
  </si>
  <si>
    <t>Ritika Rajput</t>
  </si>
  <si>
    <t>2022359008.ritika@ug.sharda.ac.in</t>
  </si>
  <si>
    <t>Pratham Kumar</t>
  </si>
  <si>
    <t>2022372515.pratham@ug.sharda.ac.in</t>
  </si>
  <si>
    <t>Shourya Sharma</t>
  </si>
  <si>
    <t>2022414495.shourya@ug.sharda.ac.in</t>
  </si>
  <si>
    <t>Uday B Thakur</t>
  </si>
  <si>
    <t>2022418998.uday@ug.sharda.ac.in</t>
  </si>
  <si>
    <t>2022437807.shivam@ug.sharda.ac.in</t>
  </si>
  <si>
    <t>Hemant Kumar</t>
  </si>
  <si>
    <t>2022441875.hemant@ug.sharda.ac.in</t>
  </si>
  <si>
    <t>Asmit Kumar</t>
  </si>
  <si>
    <t>2022446378.asmit@ug.sharda.ac.in</t>
  </si>
  <si>
    <t>Apoorv Vikram Singh</t>
  </si>
  <si>
    <t>2022448509.apoorv@ug.sharda.ac.in</t>
  </si>
  <si>
    <t>Deepali Singh</t>
  </si>
  <si>
    <t>2022462663.deepali@ug.sharda.ac.in</t>
  </si>
  <si>
    <t>Richa Pandey</t>
  </si>
  <si>
    <t>2022463682.richa@ug.sharda.ac.in</t>
  </si>
  <si>
    <t>Ishita Roy</t>
  </si>
  <si>
    <t>2022472005.ishita@ug.sharda.ac.in</t>
  </si>
  <si>
    <t>Nishant Kumar</t>
  </si>
  <si>
    <t>2022472932.nishant@ug.sharda.ac.in</t>
  </si>
  <si>
    <t>Harsh Chaudhary</t>
  </si>
  <si>
    <t>2022476992.harsh@ug.sharda.ac.in</t>
  </si>
  <si>
    <t>Rohit Rawat</t>
  </si>
  <si>
    <t>2022478479.rohit@ug.sharda.ac.in</t>
  </si>
  <si>
    <t>MD Atif</t>
  </si>
  <si>
    <t>2022480728.md@ug.sharda.ac.in</t>
  </si>
  <si>
    <t>Aradhya Mittal</t>
  </si>
  <si>
    <t>2022480934.aradhya@ug.sharda.ac.in</t>
  </si>
  <si>
    <t>Shailesh Kumar Yadav</t>
  </si>
  <si>
    <t>2022481225.shailesh@ug.sharda.ac.in</t>
  </si>
  <si>
    <t>Harsh Rastogi</t>
  </si>
  <si>
    <t>2022482951.harsh@ug.sharda.ac.in</t>
  </si>
  <si>
    <t>Divyansh Singh</t>
  </si>
  <si>
    <t>2022487133.divyansh@ug.sharda.ac.in</t>
  </si>
  <si>
    <t>Mohammad Faisal Faizan</t>
  </si>
  <si>
    <t>2022497340.mohammadfaisal@ug.sharda.ac.in</t>
  </si>
  <si>
    <t>Vishal Suryan</t>
  </si>
  <si>
    <t>2022498812.vishal@ug.sharda.ac.in</t>
  </si>
  <si>
    <t>Saloni Sikriwal</t>
  </si>
  <si>
    <t>2022502729.saloni@ug.sharda.ac.in</t>
  </si>
  <si>
    <t>Nikita Roy</t>
  </si>
  <si>
    <t>2022504261.nikita@ug.sharda.ac.in</t>
  </si>
  <si>
    <t>Aryan Verma</t>
  </si>
  <si>
    <t>2022506074.aryan@ug.sharda.ac.in</t>
  </si>
  <si>
    <t>Pratyush Kanungo</t>
  </si>
  <si>
    <t>2022506127.pratyush@ug.sharda.ac.in</t>
  </si>
  <si>
    <t>Rajesh Ranjan</t>
  </si>
  <si>
    <t>2022506580.rajesh@ug.sharda.ac.in</t>
  </si>
  <si>
    <t>Shiwangi .</t>
  </si>
  <si>
    <t>2022506607.shiwangi@ug.sharda.ac.in</t>
  </si>
  <si>
    <t>Abhinav Pandey</t>
  </si>
  <si>
    <t>2022509625.abhinav@ug.sharda.ac.in</t>
  </si>
  <si>
    <t>Vanshika Gupta</t>
  </si>
  <si>
    <t>2022511135.vanshika@ug.sharda.ac.in</t>
  </si>
  <si>
    <t>Megha Singh</t>
  </si>
  <si>
    <t>2022512176.megha@ug.sharda.ac.in</t>
  </si>
  <si>
    <t>Aditya Kumar</t>
  </si>
  <si>
    <t>2022591631.aditya@ug.sharda.ac.in</t>
  </si>
  <si>
    <t>Vidhi Bansal</t>
  </si>
  <si>
    <t>2022608746.vidhi@ug.sharda.ac.in</t>
  </si>
  <si>
    <t>Nkenglefack Anyike Megan Williams</t>
  </si>
  <si>
    <t>2022807476.nkenglefack@ug.sharda.ac.in</t>
  </si>
  <si>
    <t>Mohammed Saim Khan</t>
  </si>
  <si>
    <t>2022815775.mohammed@ug.sharda.ac.in</t>
  </si>
  <si>
    <t>Moses Clement Msumi</t>
  </si>
  <si>
    <t>2022824586.moses@ug.sharda.ac.in</t>
  </si>
  <si>
    <t>Ujjwal Gupta</t>
  </si>
  <si>
    <t>2022006932.ujjwal@ug.sharda.ac.in</t>
  </si>
  <si>
    <t>Vishal Kumar</t>
  </si>
  <si>
    <t>2022007788.vishal@ug.sharda.ac.in</t>
  </si>
  <si>
    <t>Aman Kumar</t>
  </si>
  <si>
    <t>2022505059.aman@ug.sharda.ac.in</t>
  </si>
  <si>
    <t>Vivek Gupta</t>
  </si>
  <si>
    <t>2022527904.vivek@ug.sharda.ac.in</t>
  </si>
  <si>
    <t>Niranjan Kumar</t>
  </si>
  <si>
    <t>2023205860.niranjan@ug.sharda.ac.in</t>
  </si>
  <si>
    <t>Ayush Kumar</t>
  </si>
  <si>
    <t>2023263567.ayush@ug.sharda.ac.in</t>
  </si>
  <si>
    <t>Avinash Chauhan</t>
  </si>
  <si>
    <t>2023322783.avinash@ug.sharda.ac.in</t>
  </si>
  <si>
    <t>Siddharth Kundu</t>
  </si>
  <si>
    <t>2021463218.siddharth@ug.sharda.ac.in</t>
  </si>
  <si>
    <t>FSD-MERN-L2</t>
  </si>
  <si>
    <t>Kirtiman Singh</t>
  </si>
  <si>
    <t>2022567867.kirtiman@ug.sharda.ac.in</t>
  </si>
  <si>
    <t>Kadugula Joel</t>
  </si>
  <si>
    <t>2022607404.kadugula@ug.sharda.ac.in</t>
  </si>
  <si>
    <t>Satyam Kumar</t>
  </si>
  <si>
    <t>2022001775.satyam@ug.sharda.ac.in</t>
  </si>
  <si>
    <t>Yashovardhan Awasthi</t>
  </si>
  <si>
    <t>2022003238.yashovardhan@ug.sharda.ac.in</t>
  </si>
  <si>
    <t>Chetan Raj Singh</t>
  </si>
  <si>
    <t>2022003287.chetan@ug.sharda.ac.in</t>
  </si>
  <si>
    <t>Vedant Tiwari</t>
  </si>
  <si>
    <t>2022003580.vedant@ug.sharda.ac.in</t>
  </si>
  <si>
    <t>Gaurav Pal</t>
  </si>
  <si>
    <t>2022003691.gaurav@ug.sharda.ac.in</t>
  </si>
  <si>
    <t>Mohd Aahiluddin Shaikh</t>
  </si>
  <si>
    <t>2022003834.mohd@ug.sharda.ac.in</t>
  </si>
  <si>
    <t>Riya Chauhan</t>
  </si>
  <si>
    <t>2022004280.riya@ug.sharda.ac.in</t>
  </si>
  <si>
    <t>Harshit Arora</t>
  </si>
  <si>
    <t>2022005252.harshit@ug.sharda.ac.in</t>
  </si>
  <si>
    <t>Khushi Chauhan</t>
  </si>
  <si>
    <t>2022005495.khushi@ug.sharda.ac.in</t>
  </si>
  <si>
    <t>Tanishqa Singh</t>
  </si>
  <si>
    <t>2022005800.tanishqa@ug.sharda.ac.in</t>
  </si>
  <si>
    <t>Harshita Narayan</t>
  </si>
  <si>
    <t>2022006470.harshita@ug.sharda.ac.in</t>
  </si>
  <si>
    <t>Dharmender .</t>
  </si>
  <si>
    <t>2022007543.dharmender@ug.sharda.ac.in</t>
  </si>
  <si>
    <t>Md Altaf Raza</t>
  </si>
  <si>
    <t>2022007728.md@ug.sharda.ac.in</t>
  </si>
  <si>
    <t>Reshma Swain</t>
  </si>
  <si>
    <t>2022312023.reshma@ug.sharda.ac.in</t>
  </si>
  <si>
    <t>Priyesh Mishra</t>
  </si>
  <si>
    <t>2022346624.priyesh@ug.sharda.ac.in</t>
  </si>
  <si>
    <t>Mohammad Zubair</t>
  </si>
  <si>
    <t>2022366848.mohammad@ug.sharda.ac.in</t>
  </si>
  <si>
    <t>Souptik Giri</t>
  </si>
  <si>
    <t>2022387392.souptik@ug.sharda.ac.in</t>
  </si>
  <si>
    <t>Ritanshu .</t>
  </si>
  <si>
    <t>2022404040.ritanshu@ug.sharda.ac.in</t>
  </si>
  <si>
    <t>Shivansh Tiwari</t>
  </si>
  <si>
    <t>2022404783.shivansh@ug.sharda.ac.in</t>
  </si>
  <si>
    <t>Akash Rattan</t>
  </si>
  <si>
    <t>2022405479.akash@ug.sharda.ac.in</t>
  </si>
  <si>
    <t>Aditya Kartik</t>
  </si>
  <si>
    <t>2022410342.aditya@ug.sharda.ac.in</t>
  </si>
  <si>
    <t>Harsh Saini</t>
  </si>
  <si>
    <t>2022413331.harsh@ug.sharda.ac.in</t>
  </si>
  <si>
    <t>Ashutosh Gola</t>
  </si>
  <si>
    <t>2022413603.ashutosh@ug.sharda.ac.in</t>
  </si>
  <si>
    <t>Ananya Tyagi</t>
  </si>
  <si>
    <t>2022433429.ananya@ug.sharda.ac.in</t>
  </si>
  <si>
    <t>Rahul Kumar</t>
  </si>
  <si>
    <t>2022443216.rahul@ug.sharda.ac.in</t>
  </si>
  <si>
    <t>Rishabh Kushwaha</t>
  </si>
  <si>
    <t>2022448095.rishabh@ug.sharda.ac.in</t>
  </si>
  <si>
    <t>Amritanshu Ranjan</t>
  </si>
  <si>
    <t>2022448964.amritanshu@ug.sharda.ac.in</t>
  </si>
  <si>
    <t>Rohit Singh</t>
  </si>
  <si>
    <t>2022452725.rohit@ug.sharda.ac.in</t>
  </si>
  <si>
    <t>Taniya Chaudhary</t>
  </si>
  <si>
    <t>2022457752.taniya@ug.sharda.ac.in</t>
  </si>
  <si>
    <t>Jay .</t>
  </si>
  <si>
    <t>2022469745.jay@ug.sharda.ac.in</t>
  </si>
  <si>
    <t>Aashna Sharma</t>
  </si>
  <si>
    <t>2022469915.aashna@ug.sharda.ac.in</t>
  </si>
  <si>
    <t>Rajat Singhal</t>
  </si>
  <si>
    <t>2022474990.rajat@ug.sharda.ac.in</t>
  </si>
  <si>
    <t>Saumya Singh</t>
  </si>
  <si>
    <t>2022475752.saumya@ug.sharda.ac.in</t>
  </si>
  <si>
    <t>Devashish Raj</t>
  </si>
  <si>
    <t>2022481431.devashish@ug.sharda.ac.in</t>
  </si>
  <si>
    <t>2022484179.hemant@ug.sharda.ac.in</t>
  </si>
  <si>
    <t>Surya Raj</t>
  </si>
  <si>
    <t>2022484252.surya@ug.sharda.ac.in</t>
  </si>
  <si>
    <t>Yash Chauhan</t>
  </si>
  <si>
    <t>2022484682.yash@ug.sharda.ac.in</t>
  </si>
  <si>
    <t>Faiz Anwar</t>
  </si>
  <si>
    <t>2022497244.faiz@ug.sharda.ac.in</t>
  </si>
  <si>
    <t>Rohit Ranjan</t>
  </si>
  <si>
    <t>2022501361.rohit@ug.sharda.ac.in</t>
  </si>
  <si>
    <t>Sneha .</t>
  </si>
  <si>
    <t>2022502947.sneha@ug.sharda.ac.in</t>
  </si>
  <si>
    <t>Aaditya Singhal</t>
  </si>
  <si>
    <t>2022508346.aaditya@ug.sharda.ac.in</t>
  </si>
  <si>
    <t>Deepak Yadav</t>
  </si>
  <si>
    <t>2022514536.deepak@ug.sharda.ac.in</t>
  </si>
  <si>
    <t>Lakshay Bhardwaj</t>
  </si>
  <si>
    <t>2022515249.lakshay@ug.sharda.ac.in</t>
  </si>
  <si>
    <t>Anand Raj</t>
  </si>
  <si>
    <t>2022516410.anand@ug.sharda.ac.in</t>
  </si>
  <si>
    <t>Mehran Arsh Hussain</t>
  </si>
  <si>
    <t>2022517877.mehran@ug.sharda.ac.in</t>
  </si>
  <si>
    <t>Brijesh Yadav</t>
  </si>
  <si>
    <t>2022519020.brijesh@ug.sharda.ac.in</t>
  </si>
  <si>
    <t>Sneha Bansal</t>
  </si>
  <si>
    <t>2022521244.sneha@ug.sharda.ac.in</t>
  </si>
  <si>
    <t>Sehaj Bral</t>
  </si>
  <si>
    <t>2022526278.sehaj@ug.sharda.ac.in</t>
  </si>
  <si>
    <t>Rishita .</t>
  </si>
  <si>
    <t>2022526985.rishita@ug.sharda.ac.in</t>
  </si>
  <si>
    <t>Chandni Tyagi</t>
  </si>
  <si>
    <t>2022528415.chandni@ug.sharda.ac.in</t>
  </si>
  <si>
    <t>Atul Anand</t>
  </si>
  <si>
    <t>2022531916.atul@ug.sharda.ac.in</t>
  </si>
  <si>
    <t>Himanshu Singh Nirwan</t>
  </si>
  <si>
    <t>2022536274.himanshu@ug.sharda.ac.in</t>
  </si>
  <si>
    <t>Gaurav Singh</t>
  </si>
  <si>
    <t>2022540214.gaurav@ug.sharda.ac.in</t>
  </si>
  <si>
    <t>Nehal Najmi</t>
  </si>
  <si>
    <t>2022541296.nehal@ug.sharda.ac.in</t>
  </si>
  <si>
    <t>Arpit Arya</t>
  </si>
  <si>
    <t>2022544781.arpit@ug.sharda.ac.in</t>
  </si>
  <si>
    <t>Nitesh Kumar</t>
  </si>
  <si>
    <t>2022544783.nitesh@ug.sharda.ac.in</t>
  </si>
  <si>
    <t>Aakriti Bansal</t>
  </si>
  <si>
    <t>2022552819.aakriti@ug.sharda.ac.in</t>
  </si>
  <si>
    <t>Miss Sonali Dass</t>
  </si>
  <si>
    <t>2022808929.sonali@ug.sharda.ac.in</t>
  </si>
  <si>
    <t>Fardeen Mansoori</t>
  </si>
  <si>
    <t>2022000239.fardeen@ug.sharda.ac.in</t>
  </si>
  <si>
    <t>Manav Prakash</t>
  </si>
  <si>
    <t>2022369814.manav@ug.sharda.ac.in</t>
  </si>
  <si>
    <t>Kunal Chauhan</t>
  </si>
  <si>
    <t>2022395723.kunal@ug.sharda.ac.in</t>
  </si>
  <si>
    <t>Sushant Raj</t>
  </si>
  <si>
    <t>2022413369.sushant@ug.sharda.ac.in</t>
  </si>
  <si>
    <t>FSD-MERN-L3</t>
  </si>
  <si>
    <t>param prakash</t>
  </si>
  <si>
    <t>2021001342.param@ug.sharda.ac.in</t>
  </si>
  <si>
    <t>Aryanshu Singh</t>
  </si>
  <si>
    <t>2021369177.aryanshu@ug.sharda.ac.in</t>
  </si>
  <si>
    <t>Chandan Kumar Singh</t>
  </si>
  <si>
    <t>2021375907.chandan@ug.sharda.ac.in</t>
  </si>
  <si>
    <t>Aayush Sharma</t>
  </si>
  <si>
    <t>2022007029.aayush@ug.sharda.ac.in</t>
  </si>
  <si>
    <t>Sahil Sikka</t>
  </si>
  <si>
    <t>2022536169.sahil@ug.sharda.ac.in</t>
  </si>
  <si>
    <t>Md Sahil</t>
  </si>
  <si>
    <t>2022585888.md@ug.sharda.ac.in</t>
  </si>
  <si>
    <t>Devendra Singh</t>
  </si>
  <si>
    <t>2022490456.devendra@ug.sharda.ac.in</t>
  </si>
  <si>
    <t>CS - AI&amp; Machine Learning</t>
  </si>
  <si>
    <t>Shikha Kumari</t>
  </si>
  <si>
    <t>2022000791.shikha@ug.sharda.ac.in</t>
  </si>
  <si>
    <t>Agrim Gupta</t>
  </si>
  <si>
    <t>2022001884.agrim@ug.sharda.ac.in</t>
  </si>
  <si>
    <t>Isha Jakhad</t>
  </si>
  <si>
    <t>2022002383.isha@ug.sharda.ac.in</t>
  </si>
  <si>
    <t>Siddharth Kumar</t>
  </si>
  <si>
    <t>2022003069.siddharth@ug.sharda.ac.in</t>
  </si>
  <si>
    <t>Zobia Riyaz</t>
  </si>
  <si>
    <t>2022003343.zobia@ug.sharda.ac.in</t>
  </si>
  <si>
    <t>Aditya Jha</t>
  </si>
  <si>
    <t>2022004546.aditya@ug.sharda.ac.in</t>
  </si>
  <si>
    <t>Samyak Katiyar</t>
  </si>
  <si>
    <t>2022005613.samyak@ug.sharda.ac.in</t>
  </si>
  <si>
    <t>Khushi Raghav</t>
  </si>
  <si>
    <t>2022006140.khushi@ug.sharda.ac.in</t>
  </si>
  <si>
    <t>Anubhav Choudhary</t>
  </si>
  <si>
    <t>2022006210.anubhav@ug.sharda.ac.in</t>
  </si>
  <si>
    <t>Harsh Raj Singh</t>
  </si>
  <si>
    <t>2022006272.harsh@ug.sharda.ac.in</t>
  </si>
  <si>
    <t>Ashmit Yadav</t>
  </si>
  <si>
    <t>2022007195.ashmit@ug.sharda.ac.in</t>
  </si>
  <si>
    <t>Bhaven Shah</t>
  </si>
  <si>
    <t>2022007677.bhaven@ug.sharda.ac.in</t>
  </si>
  <si>
    <t>Faizan Alam</t>
  </si>
  <si>
    <t>2022307961.faizan@ug.sharda.ac.in</t>
  </si>
  <si>
    <t>Kumari Monisha</t>
  </si>
  <si>
    <t>2022331708.kumari@ug.sharda.ac.in</t>
  </si>
  <si>
    <t>Ashutosh Tyagi</t>
  </si>
  <si>
    <t>2022334212.ashutosh@ug.sharda.ac.in</t>
  </si>
  <si>
    <t>Chetan Kumar</t>
  </si>
  <si>
    <t>2022345566.chetan@ug.sharda.ac.in</t>
  </si>
  <si>
    <t>Soubhik Roy</t>
  </si>
  <si>
    <t>2022363290.soubhik@ug.sharda.ac.in</t>
  </si>
  <si>
    <t>Yenni Gnana Prasanna</t>
  </si>
  <si>
    <t>2022363409.yenni@ug.sharda.ac.in</t>
  </si>
  <si>
    <t>Shashwat Raj</t>
  </si>
  <si>
    <t>2022378413.shashwat@ug.sharda.ac.in</t>
  </si>
  <si>
    <t>Yajushi Mittal</t>
  </si>
  <si>
    <t>2022381725.yajushi@ug.sharda.ac.in</t>
  </si>
  <si>
    <t>Sahil Chauhan</t>
  </si>
  <si>
    <t>2022427336.sahil@ug.sharda.ac.in</t>
  </si>
  <si>
    <t>Richan Dutta</t>
  </si>
  <si>
    <t>2022428593.richan@ug.sharda.ac.in</t>
  </si>
  <si>
    <t>Abesh Biswas</t>
  </si>
  <si>
    <t>2022433132.abesh@ug.sharda.ac.in</t>
  </si>
  <si>
    <t>Khushi Jaiswal</t>
  </si>
  <si>
    <t>2022435738.khushi@ug.sharda.ac.in</t>
  </si>
  <si>
    <t>Abdul Wazid Bashar</t>
  </si>
  <si>
    <t>2022438394.abdul@ug.sharda.ac.in</t>
  </si>
  <si>
    <t>Keshav Goyal</t>
  </si>
  <si>
    <t>2022455176.keshav@ug.sharda.ac.in</t>
  </si>
  <si>
    <t>2022459779.rahul@ug.sharda.ac.in</t>
  </si>
  <si>
    <t>Raj Tiwari</t>
  </si>
  <si>
    <t>2022473330.raj@ug.sharda.ac.in</t>
  </si>
  <si>
    <t>Pratham Grewal</t>
  </si>
  <si>
    <t>2022490152.pratham@ug.sharda.ac.in</t>
  </si>
  <si>
    <t>Sumit Gupta</t>
  </si>
  <si>
    <t>2022498440.sumit@ug.sharda.ac.in</t>
  </si>
  <si>
    <t>Srishti Shukla</t>
  </si>
  <si>
    <t>2022503088.srishti@ug.sharda.ac.in</t>
  </si>
  <si>
    <t>Prasoon Bhatt</t>
  </si>
  <si>
    <t>2022505917.prasoon@ug.sharda.ac.in</t>
  </si>
  <si>
    <t>Pracchi Gupta</t>
  </si>
  <si>
    <t>2022506240.pracchi@ug.sharda.ac.in</t>
  </si>
  <si>
    <t>Harshada Negi</t>
  </si>
  <si>
    <t>2022506880.harshada@ug.sharda.ac.in</t>
  </si>
  <si>
    <t>Krishna Kumar</t>
  </si>
  <si>
    <t>2022507069.krishna@ug.sharda.ac.in</t>
  </si>
  <si>
    <t>Shristy Jaiswal</t>
  </si>
  <si>
    <t>2022508269.shristy@ug.sharda.ac.in</t>
  </si>
  <si>
    <t>Anushka Panwar</t>
  </si>
  <si>
    <t>2022508678.anushka@ug.sharda.ac.in</t>
  </si>
  <si>
    <t>Rimjhim Jha</t>
  </si>
  <si>
    <t>2022512387.rimjhim@ug.sharda.ac.in</t>
  </si>
  <si>
    <t>Shashank Shekhar</t>
  </si>
  <si>
    <t>2022514886.shashank@ug.sharda.ac.in</t>
  </si>
  <si>
    <t>Aman Aswal</t>
  </si>
  <si>
    <t>2022516167.aman@ug.sharda.ac.in</t>
  </si>
  <si>
    <t>Manoj Kumar Singh</t>
  </si>
  <si>
    <t>2022516793.manoj@ug.sharda.ac.in</t>
  </si>
  <si>
    <t>Kashish Mishra</t>
  </si>
  <si>
    <t>2022521021.kashish@ug.sharda.ac.in</t>
  </si>
  <si>
    <t>Saniya .</t>
  </si>
  <si>
    <t>2022523724.saniya@ug.sharda.ac.in</t>
  </si>
  <si>
    <t>Harsh Sharma</t>
  </si>
  <si>
    <t>2022530377.harsh@ug.sharda.ac.in</t>
  </si>
  <si>
    <t>Shubham Mishra</t>
  </si>
  <si>
    <t>2022531964.shubham@ug.sharda.ac.in</t>
  </si>
  <si>
    <t>Aditya Pratap Singh</t>
  </si>
  <si>
    <t>2022535859.aditya@ug.sharda.ac.in</t>
  </si>
  <si>
    <t>2022536473.aditya@ug.sharda.ac.in</t>
  </si>
  <si>
    <t>Arvind Patel</t>
  </si>
  <si>
    <t>2022540466.arvind@ug.sharda.ac.in</t>
  </si>
  <si>
    <t>Karan Kumar</t>
  </si>
  <si>
    <t>2022548161.karan@ug.sharda.ac.in</t>
  </si>
  <si>
    <t>Vivek Kumar</t>
  </si>
  <si>
    <t>2022554244.vivek@ug.sharda.ac.in</t>
  </si>
  <si>
    <t>Akshat Singh</t>
  </si>
  <si>
    <t>2022559297.akshat@ug.sharda.ac.in</t>
  </si>
  <si>
    <t>Anirban Dutta</t>
  </si>
  <si>
    <t>2022573413.anirban@ug.sharda.ac.in</t>
  </si>
  <si>
    <t>Rahul Bhai Patel</t>
  </si>
  <si>
    <t>2022805251.rahul@ug.sharda.ac.in</t>
  </si>
  <si>
    <t>Rohit Kumar Thakur</t>
  </si>
  <si>
    <t>2022811446.rohit@ug.sharda.ac.in</t>
  </si>
  <si>
    <t>Md Yushuf Reja</t>
  </si>
  <si>
    <t>2022829153.mdyushuf@ug.sharda.ac.in</t>
  </si>
  <si>
    <t>Paarth Lal</t>
  </si>
  <si>
    <t>2022006143.paarth@ug.sharda.ac.in</t>
  </si>
  <si>
    <t>Divyesh Singh Bisht</t>
  </si>
  <si>
    <t>2022006402.divyesh@ug.sharda.ac.in</t>
  </si>
  <si>
    <t>Sachin Kumar</t>
  </si>
  <si>
    <t>2022006609.sachin@ug.sharda.ac.in</t>
  </si>
  <si>
    <t>FSD-MERN-L4</t>
  </si>
  <si>
    <t>2022007403.alok@ug.sharda.ac.in</t>
  </si>
  <si>
    <t>2022467393.sachin@ug.sharda.ac.in</t>
  </si>
  <si>
    <t>Rahul Yadav</t>
  </si>
  <si>
    <t>2022528691.rahul@ug.sharda.ac.in</t>
  </si>
  <si>
    <t>Jasjot Singh Walia</t>
  </si>
  <si>
    <t>2022561995.jasjot@ug.sharda.ac.in</t>
  </si>
  <si>
    <t>Ankush Kumar</t>
  </si>
  <si>
    <t>2022000245.ankush@ug.sharda.ac.in</t>
  </si>
  <si>
    <t>Nikhil Kumar Singh</t>
  </si>
  <si>
    <t>2022006827.nikhil@ug.sharda.ac.in</t>
  </si>
  <si>
    <t>Jigyashu Raj</t>
  </si>
  <si>
    <t>2022006870.jigyashu@ug.sharda.ac.in</t>
  </si>
  <si>
    <t>Mr Aditya Raj</t>
  </si>
  <si>
    <t>2022007661.aditya@ug.sharda.ac.in</t>
  </si>
  <si>
    <t>Mr Hridoy Roy</t>
  </si>
  <si>
    <t>2022007795.hridoy@ug.sharda.ac.in</t>
  </si>
  <si>
    <t>Kishan Yadav</t>
  </si>
  <si>
    <t>2022444658.kishan@ug.sharda.ac.in</t>
  </si>
  <si>
    <t>Gautam Kumar</t>
  </si>
  <si>
    <t>2022594458.gautam@ug.sharda.ac.in</t>
  </si>
  <si>
    <t>Mohd Kaif</t>
  </si>
  <si>
    <t>2022005063.mohd@ug.sharda.ac.in</t>
  </si>
  <si>
    <t>Shivam Niranjan</t>
  </si>
  <si>
    <t>2022610409.shivam@ug.sharda.ac.in</t>
  </si>
  <si>
    <t>Matanut Md Kamran</t>
  </si>
  <si>
    <t>2022540866.mohammad@ug.sharda.ac.in</t>
  </si>
  <si>
    <t>Tanu .</t>
  </si>
  <si>
    <t>2022007438.tanu@ug.sharda.ac.in</t>
  </si>
  <si>
    <t>Mohit Sharma</t>
  </si>
  <si>
    <t>2022447440.mohit@ug.sharda.ac.in</t>
  </si>
  <si>
    <t>Vicky Kumar</t>
  </si>
  <si>
    <t>2022002769.vicky@ug.sharda.ac.in</t>
  </si>
  <si>
    <t>Dheerendra Pratap</t>
  </si>
  <si>
    <t>2022004342.dheerendra@ug.sharda.ac.in</t>
  </si>
  <si>
    <t>Amit Raj</t>
  </si>
  <si>
    <t>2022004659.amit@ug.sharda.ac.in</t>
  </si>
  <si>
    <t>2022005223.aman@ug.sharda.ac.in</t>
  </si>
  <si>
    <t>Ujjwal Kumar</t>
  </si>
  <si>
    <t>2022006787.ujjwal@ug.sharda.ac.in</t>
  </si>
  <si>
    <t>Rajan Kumar Saini</t>
  </si>
  <si>
    <t>2022006845.rajankumar@ug.sharda.ac.in</t>
  </si>
  <si>
    <t>Chandan Kumar Tiwari</t>
  </si>
  <si>
    <t>2022007055.chandan@ug.sharda.ac.in</t>
  </si>
  <si>
    <t>Vikas Kumar Mishra</t>
  </si>
  <si>
    <t>2022007111.vikas@ug.sharda.ac.in</t>
  </si>
  <si>
    <t>Chitransh Shrivastava</t>
  </si>
  <si>
    <t>2022007141.chitransh@ug.sharda.ac.in</t>
  </si>
  <si>
    <t>Tarun Kumar</t>
  </si>
  <si>
    <t>2022007306.tarun@ug.sharda.ac.in</t>
  </si>
  <si>
    <t>Nancy Rathee</t>
  </si>
  <si>
    <t>2022007718.nancy@ug.sharda.ac.in</t>
  </si>
  <si>
    <t>Neeti Gupta</t>
  </si>
  <si>
    <t>2022007786.neeti@ug.sharda.ac.in</t>
  </si>
  <si>
    <t>Aman Anand</t>
  </si>
  <si>
    <t>2022007819.aman@ug.sharda.ac.in</t>
  </si>
  <si>
    <t>Mayank Kumar</t>
  </si>
  <si>
    <t>2022309654.mayank@ug.sharda.ac.in</t>
  </si>
  <si>
    <t>Aditya Raj</t>
  </si>
  <si>
    <t>2022374295.aditya@ug.sharda.ac.in</t>
  </si>
  <si>
    <t>Nishant Jadon</t>
  </si>
  <si>
    <t>2022414180.nishant@ug.sharda.ac.in</t>
  </si>
  <si>
    <t>Asmit Aditya</t>
  </si>
  <si>
    <t>2022434340.asmit@ug.sharda.ac.in</t>
  </si>
  <si>
    <t>Zahabiya Hamied</t>
  </si>
  <si>
    <t>2022450179.zahabiya@ug.sharda.ac.in</t>
  </si>
  <si>
    <t>Prakhar .</t>
  </si>
  <si>
    <t>2022453096.prakhar@ug.sharda.ac.in</t>
  </si>
  <si>
    <t>Rajshree Dhoundiyal</t>
  </si>
  <si>
    <t>2022464792.rajshree@ug.sharda.ac.in</t>
  </si>
  <si>
    <t>2022467293.aman@ug.sharda.ac.in</t>
  </si>
  <si>
    <t>Nikita Kanwar</t>
  </si>
  <si>
    <t>2022472832.nikita@ug.sharda.ac.in</t>
  </si>
  <si>
    <t>Saurabh Patel</t>
  </si>
  <si>
    <t>2022501073.saurabh@ug.sharda.ac.in</t>
  </si>
  <si>
    <t>Adarsh Raj</t>
  </si>
  <si>
    <t>2022525962.adarsh@ug.sharda.ac.in</t>
  </si>
  <si>
    <t>Unnati Raikwal</t>
  </si>
  <si>
    <t>2022540836.unnati@ug.sharda.ac.in</t>
  </si>
  <si>
    <t>2022552668.vishal@ug.sharda.ac.in</t>
  </si>
  <si>
    <t>Jasim Ansari</t>
  </si>
  <si>
    <t>2022552969.jasim@ug.sharda.ac.in</t>
  </si>
  <si>
    <t>2022555807.ayush@ug.sharda.ac.in</t>
  </si>
  <si>
    <t>Harsh Kumar</t>
  </si>
  <si>
    <t>2022574196.harsh@ug.sharda.ac.in</t>
  </si>
  <si>
    <t>Rohit Kumar Sah</t>
  </si>
  <si>
    <t>2022576883.rohit@ug.sharda.ac.in</t>
  </si>
  <si>
    <t>Anshu Kumar</t>
  </si>
  <si>
    <t>2022577356.anshu@ug.sharda.ac.in</t>
  </si>
  <si>
    <t>Aashika Singh</t>
  </si>
  <si>
    <t>2022578067.aashika@ug.sharda.ac.in</t>
  </si>
  <si>
    <t>2022604034.harsh@ug.sharda.ac.in</t>
  </si>
  <si>
    <t>Ajib Astani Magar</t>
  </si>
  <si>
    <t>2022805717.ajib@ug.sharda.ac.in</t>
  </si>
  <si>
    <t>Govind Ray</t>
  </si>
  <si>
    <t>2022816874.govind@ug.sharda.ac.in</t>
  </si>
  <si>
    <t>Bishal Jha</t>
  </si>
  <si>
    <t>2022820872.bishal@ug.sharda.ac.in</t>
  </si>
  <si>
    <t>Mohammad Shabab</t>
  </si>
  <si>
    <t>2022832103.mohammad@ug.sharda.ac.in</t>
  </si>
  <si>
    <t>Mr Priyanshu Karn</t>
  </si>
  <si>
    <t>2022832236.priyanshu@ug.sharda.ac.in</t>
  </si>
  <si>
    <t>Daniel Kholumo</t>
  </si>
  <si>
    <t>2022833385.daniel@ug.sharda.ac.in</t>
  </si>
  <si>
    <t>Pranyush Jha</t>
  </si>
  <si>
    <t>2022835895.pranyush@ug.sharda.ac.in</t>
  </si>
  <si>
    <t>Miss Ruhi Mahaseth</t>
  </si>
  <si>
    <t>2022836012.ruhi@ug.sharda.ac.in</t>
  </si>
  <si>
    <t>Gracy Chauhan</t>
  </si>
  <si>
    <t>2022007202.gracy@ug.sharda.ac.in</t>
  </si>
  <si>
    <t>Vishnu Prakash</t>
  </si>
  <si>
    <t>2022007320.vishnu@ug.sharda.ac.in</t>
  </si>
  <si>
    <t>Arun Pratap Singh</t>
  </si>
  <si>
    <t>2022007323.arun@ug.sharda.ac.in</t>
  </si>
  <si>
    <t>Dhananjay Siwach</t>
  </si>
  <si>
    <t>2022364256.dhananjay@ug.sharda.ac.in</t>
  </si>
  <si>
    <t>Md Absarul Haque</t>
  </si>
  <si>
    <t>2022505407.md@ug.sharda.ac.in</t>
  </si>
  <si>
    <t>Sneha Kumari</t>
  </si>
  <si>
    <t>2022511567.sneha@ug.sharda.ac.in</t>
  </si>
  <si>
    <t>2022582528.sachin@ug.sharda.ac.in</t>
  </si>
  <si>
    <t>Raikindi Sravan Kumar</t>
  </si>
  <si>
    <t>2022614550.raikindi@ug.sharda.ac.in</t>
  </si>
  <si>
    <t>Cyber Security-L1</t>
  </si>
  <si>
    <t>Avik Roy</t>
  </si>
  <si>
    <t>2022836161.avik@ug.sharda.ac.in</t>
  </si>
  <si>
    <t>DSAIML-L1</t>
  </si>
  <si>
    <t>Sarthak Sanghai</t>
  </si>
  <si>
    <t>2022837427.sarthak@ug.sharda.ac.in</t>
  </si>
  <si>
    <t>Abhay Mishra</t>
  </si>
  <si>
    <t>2023000910.abhay@ug.sharda.ac.in</t>
  </si>
  <si>
    <t>Andrew Chingthat Khaigoulen Mate</t>
  </si>
  <si>
    <t>2023248088.andrew@ug.sharda.ac.in</t>
  </si>
  <si>
    <t>Harshit Gautam</t>
  </si>
  <si>
    <t>2023526347.harshit@ug.sharda.ac.in</t>
  </si>
  <si>
    <t>FSD-MERN-L5</t>
  </si>
  <si>
    <t>lakshit verma</t>
  </si>
  <si>
    <t>2021406215.lakshit@ug.sharda.ac.in</t>
  </si>
  <si>
    <t>Bharat Nagar</t>
  </si>
  <si>
    <t>2022557408.bharat@ug.sharda.ac.in</t>
  </si>
  <si>
    <t>Rishabh Rathi</t>
  </si>
  <si>
    <t>2021300643.rishabh@ug.sharda.ac.in</t>
  </si>
  <si>
    <t>Amaan Sajad Mir</t>
  </si>
  <si>
    <t>2021301933.amaan@ug.sharda.ac.in</t>
  </si>
  <si>
    <t>Aaron Moses</t>
  </si>
  <si>
    <t>2021316862.aaron@ug.sharda.ac.in</t>
  </si>
  <si>
    <t>Shubh Sahu</t>
  </si>
  <si>
    <t>2021361239.shubh@ug.sharda.ac.in</t>
  </si>
  <si>
    <t>Anil</t>
  </si>
  <si>
    <t>2021373068.anil@ug.sharda.ac.in</t>
  </si>
  <si>
    <t>Dharam Priya Gautam</t>
  </si>
  <si>
    <t>2021396844.dharam@ug.sharda.ac.in</t>
  </si>
  <si>
    <t>Kartik Aggarwal</t>
  </si>
  <si>
    <t>2021428834.kartik@ug.sharda.ac.in</t>
  </si>
  <si>
    <t>Kavi Sharma</t>
  </si>
  <si>
    <t>2021446146.kavi@ug.sharda.ac.in</t>
  </si>
  <si>
    <t>Ishaan Bisht</t>
  </si>
  <si>
    <t>2021447448.ishaan@ug.sharda.ac.in</t>
  </si>
  <si>
    <t>Preetish</t>
  </si>
  <si>
    <t>2021474998.preetish@ug.sharda.ac.in</t>
  </si>
  <si>
    <t>Purushottam Murmu</t>
  </si>
  <si>
    <t>2021482470.purushottam@ug.sharda.ac.in</t>
  </si>
  <si>
    <t>Garv Sharma</t>
  </si>
  <si>
    <t>2021529806.garv@ug.sharda.ac.in</t>
  </si>
  <si>
    <t>2022002822.harsh@ug.sharda.ac.in</t>
  </si>
  <si>
    <t>Khushi Roria</t>
  </si>
  <si>
    <t>2022004755.khushi@ug.sharda.ac.in</t>
  </si>
  <si>
    <t>Aditya Singh</t>
  </si>
  <si>
    <t>2022005321.aditya@ug.sharda.ac.in</t>
  </si>
  <si>
    <t>Saud Zargar</t>
  </si>
  <si>
    <t>2022354910.saud@ug.sharda.ac.in</t>
  </si>
  <si>
    <t>Rishav Singh</t>
  </si>
  <si>
    <t>2021307894.rishav@ug.sharda.ac.in</t>
  </si>
  <si>
    <t>Prakhar,Prakash Singh</t>
  </si>
  <si>
    <t>2021407901.prakhar@ug.sharda.ac.in</t>
  </si>
  <si>
    <t>Shreyansh Tiwari</t>
  </si>
  <si>
    <t>2021472701.shreyansh@ug.sharda.ac.in</t>
  </si>
  <si>
    <t>Mahmud Abubakar</t>
  </si>
  <si>
    <t>2021826104.mahmud@ug.sharda.ac.in</t>
  </si>
  <si>
    <t>Adarsh Tiwari</t>
  </si>
  <si>
    <t>2022004657.adarsh@ug.sharda.ac.in</t>
  </si>
  <si>
    <t>Shaily Saxena</t>
  </si>
  <si>
    <t>2022005080.shaily@ug.sharda.ac.in</t>
  </si>
  <si>
    <t>Naveen Kumar Singh</t>
  </si>
  <si>
    <t>2022005748.naveen@ug.sharda.ac.in</t>
  </si>
  <si>
    <t>Vinay Kumar</t>
  </si>
  <si>
    <t>2022006315.vinay@ug.sharda.ac.in</t>
  </si>
  <si>
    <t>Muqtar Ali</t>
  </si>
  <si>
    <t>2022006421.muqtar@ug.sharda.ac.in</t>
  </si>
  <si>
    <t>Abhitab Singh</t>
  </si>
  <si>
    <t>2022006640.abhitab@ug.sharda.ac.in</t>
  </si>
  <si>
    <t>Priyanshu Singh</t>
  </si>
  <si>
    <t>2022007193.priyanshu@ug.sharda.ac.in</t>
  </si>
  <si>
    <t>Kartikey Shukla</t>
  </si>
  <si>
    <t>2022304714.kartikey@ug.sharda.ac.in</t>
  </si>
  <si>
    <t>Shekhar Kumar Singh</t>
  </si>
  <si>
    <t>2022309446.shekhar@ug.sharda.ac.in</t>
  </si>
  <si>
    <t>Nitesh Saxena</t>
  </si>
  <si>
    <t>2022361106.nitesh@ug.sharda.ac.in</t>
  </si>
  <si>
    <t>Chirag Singh Pundir</t>
  </si>
  <si>
    <t>2022361815.chirag@ug.sharda.ac.in</t>
  </si>
  <si>
    <t>Shashwat Ambar Pathak</t>
  </si>
  <si>
    <t>2022387850.shashwat@ug.sharda.ac.in</t>
  </si>
  <si>
    <t>Abhilasha Kalita</t>
  </si>
  <si>
    <t>2022398713.abhilasha@ug.sharda.ac.in</t>
  </si>
  <si>
    <t>Priyam Aryan</t>
  </si>
  <si>
    <t>2022409593.priyam@ug.sharda.ac.in</t>
  </si>
  <si>
    <t>Sneha Singh</t>
  </si>
  <si>
    <t>2022409813.sneha@ug.sharda.ac.in</t>
  </si>
  <si>
    <t>Bhavya Gaba</t>
  </si>
  <si>
    <t>2022421393.bhavya@ug.sharda.ac.in</t>
  </si>
  <si>
    <t>Yash Gupta</t>
  </si>
  <si>
    <t>2022427832.yash@ug.sharda.ac.in</t>
  </si>
  <si>
    <t>Nikhil Shukla</t>
  </si>
  <si>
    <t>2022451626.nikhil@ug.sharda.ac.in</t>
  </si>
  <si>
    <t>Aryan Vashistha</t>
  </si>
  <si>
    <t>2022459065.aryan@ug.sharda.ac.in</t>
  </si>
  <si>
    <t>Shivani Singh</t>
  </si>
  <si>
    <t>2022466983.shivani@ug.sharda.ac.in</t>
  </si>
  <si>
    <t>Srivash A</t>
  </si>
  <si>
    <t>2022471296.srivash@ug.sharda.ac.in</t>
  </si>
  <si>
    <t>Gunjan Kumar</t>
  </si>
  <si>
    <t>2022472743.gunjan@ug.sharda.ac.in</t>
  </si>
  <si>
    <t>Yash Attri</t>
  </si>
  <si>
    <t>2022482202.yash@ug.sharda.ac.in</t>
  </si>
  <si>
    <t>Kashish .</t>
  </si>
  <si>
    <t>2022484080.kashish@ug.sharda.ac.in</t>
  </si>
  <si>
    <t>Shipra Moharana</t>
  </si>
  <si>
    <t>2022499440.shipra@ug.sharda.ac.in</t>
  </si>
  <si>
    <t>Chaman Preet</t>
  </si>
  <si>
    <t>2022509542.chaman@ug.sharda.ac.in</t>
  </si>
  <si>
    <t>Saksham Makhija</t>
  </si>
  <si>
    <t>2022512443.saksham@ug.sharda.ac.in</t>
  </si>
  <si>
    <t>Rishav Anand</t>
  </si>
  <si>
    <t>2022548738.rishav@ug.sharda.ac.in</t>
  </si>
  <si>
    <t>Nishant Yadav</t>
  </si>
  <si>
    <t>2022549867.nishant@ug.sharda.ac.in</t>
  </si>
  <si>
    <t>Harsh Bhati</t>
  </si>
  <si>
    <t>2022554328.harsh@ug.sharda.ac.in</t>
  </si>
  <si>
    <t>Prince Tyagi</t>
  </si>
  <si>
    <t>2022561375.prince@ug.sharda.ac.in</t>
  </si>
  <si>
    <t>2022618129.aman@ug.sharda.ac.in</t>
  </si>
  <si>
    <t>Saurabh Raj</t>
  </si>
  <si>
    <t>2022623875.saurabh@ug.sharda.ac.in</t>
  </si>
  <si>
    <t>Md. Moudud Ahmed Misil</t>
  </si>
  <si>
    <t>2022811762.md.moududahmed@ug.sharda.ac.in</t>
  </si>
  <si>
    <t>Sonal Chaudhary</t>
  </si>
  <si>
    <t>2022816972.sonal@ug.sharda.ac.in</t>
  </si>
  <si>
    <t>Gauri Shivhare</t>
  </si>
  <si>
    <t>2022319788.gauri@ug.sharda.ac.in</t>
  </si>
  <si>
    <t>Farheen Khan</t>
  </si>
  <si>
    <t>2021000009.farheen@ug.sharda.ac.in</t>
  </si>
  <si>
    <t>Anutosh Mishra</t>
  </si>
  <si>
    <t>2021308861.anutosh@ug.sharda.ac.in</t>
  </si>
  <si>
    <t>Nandani Chaudhary</t>
  </si>
  <si>
    <t>2021828405.nandani@ug.sharda.ac.in</t>
  </si>
  <si>
    <t>Lokender Singh</t>
  </si>
  <si>
    <t>2022002689.lokender@ug.sharda.ac.in</t>
  </si>
  <si>
    <t>Suhail Nazir Taili</t>
  </si>
  <si>
    <t>2022003913.suhail@ug.sharda.ac.in</t>
  </si>
  <si>
    <t>Sanskriti Verma</t>
  </si>
  <si>
    <t>2022004547.sanskriti@ug.sharda.ac.in</t>
  </si>
  <si>
    <t>Shreyal Gupta</t>
  </si>
  <si>
    <t>2022004756.shreyal@ug.sharda.ac.in</t>
  </si>
  <si>
    <t>Manish Kumar</t>
  </si>
  <si>
    <t>2022004863.manish@ug.sharda.ac.in</t>
  </si>
  <si>
    <t>Yashika .</t>
  </si>
  <si>
    <t>2022006072.yashika@ug.sharda.ac.in</t>
  </si>
  <si>
    <t>Arbaz Ahmed</t>
  </si>
  <si>
    <t>2022006308.arbaz@ug.sharda.ac.in</t>
  </si>
  <si>
    <t>Aryan Raj</t>
  </si>
  <si>
    <t>2022006613.aryan@ug.sharda.ac.in</t>
  </si>
  <si>
    <t>Shaurya Singh</t>
  </si>
  <si>
    <t>2022006789.shaurya@ug.sharda.ac.in</t>
  </si>
  <si>
    <t>Surbhi Rana</t>
  </si>
  <si>
    <t>2022006898.surbhi@ug.sharda.ac.in</t>
  </si>
  <si>
    <t>Krishi Sehrawat</t>
  </si>
  <si>
    <t>2022007518.krishi@ug.sharda.ac.in</t>
  </si>
  <si>
    <t>Lakshya Dixit</t>
  </si>
  <si>
    <t>2022007615.lakshya@ug.sharda.ac.in</t>
  </si>
  <si>
    <t>Akshansu .</t>
  </si>
  <si>
    <t>2022007629.akshansu@ug.sharda.ac.in</t>
  </si>
  <si>
    <t>Astha Gupta</t>
  </si>
  <si>
    <t>2022007684.astha@ug.sharda.ac.in</t>
  </si>
  <si>
    <t>Bhupendra Saini</t>
  </si>
  <si>
    <t>2022007720.bhupendra@ug.sharda.ac.in</t>
  </si>
  <si>
    <t>Chirag Nirwan</t>
  </si>
  <si>
    <t>2022305905.chirag@ug.sharda.ac.in</t>
  </si>
  <si>
    <t>Bhoomi Sharma</t>
  </si>
  <si>
    <t>2022325232.bhoomi@ug.sharda.ac.in</t>
  </si>
  <si>
    <t>Sanket Sharma</t>
  </si>
  <si>
    <t>2022344264.sanket@ug.sharda.ac.in</t>
  </si>
  <si>
    <t>Anuj Rawat</t>
  </si>
  <si>
    <t>2022394343.anuj@ug.sharda.ac.in</t>
  </si>
  <si>
    <t>Faiyaz Azim</t>
  </si>
  <si>
    <t>2022411800.faiyaz@ug.sharda.ac.in</t>
  </si>
  <si>
    <t>Mohammed Shaquib Khan</t>
  </si>
  <si>
    <t>2022429026.mohammed@ug.sharda.ac.in</t>
  </si>
  <si>
    <t>Shivam Yadav</t>
  </si>
  <si>
    <t>2022432518.shivam@ug.sharda.ac.in</t>
  </si>
  <si>
    <t>Nidhi Pandey</t>
  </si>
  <si>
    <t>2022437668.nidhi@ug.sharda.ac.in</t>
  </si>
  <si>
    <t>Saumya Suman</t>
  </si>
  <si>
    <t>2022438521.saumya@ug.sharda.ac.in</t>
  </si>
  <si>
    <t>Atithi Negi</t>
  </si>
  <si>
    <t>2022438604.atithi@ug.sharda.ac.in</t>
  </si>
  <si>
    <t>Vigyanshu Pandey</t>
  </si>
  <si>
    <t>2022452189.vigyanshu@ug.sharda.ac.in</t>
  </si>
  <si>
    <t>Shivam Kaintyura</t>
  </si>
  <si>
    <t>2022472720.shivam@ug.sharda.ac.in</t>
  </si>
  <si>
    <t>Ansh Shrivastav</t>
  </si>
  <si>
    <t>2022475156.ansh@ug.sharda.ac.in</t>
  </si>
  <si>
    <t>Keshav Bisht</t>
  </si>
  <si>
    <t>2022476255.keshav@ug.sharda.ac.in</t>
  </si>
  <si>
    <t>Rudra Pratap Tomar</t>
  </si>
  <si>
    <t>2022478036.rudra@ug.sharda.ac.in</t>
  </si>
  <si>
    <t>Rajan Sharma</t>
  </si>
  <si>
    <t>2022497991.rajan@ug.sharda.ac.in</t>
  </si>
  <si>
    <t>Lakshay Rekhi</t>
  </si>
  <si>
    <t>2022501762.lakshay@ug.sharda.ac.in</t>
  </si>
  <si>
    <t>Jigar Kumar</t>
  </si>
  <si>
    <t>2022503298.jigar@ug.sharda.ac.in</t>
  </si>
  <si>
    <t>Rohan Srivastava</t>
  </si>
  <si>
    <t>2022506102.rohan@ug.sharda.ac.in</t>
  </si>
  <si>
    <t>Shobhit Agrawal</t>
  </si>
  <si>
    <t>2022512360.shobhit@ug.sharda.ac.in</t>
  </si>
  <si>
    <t>Pulle Thirupathi</t>
  </si>
  <si>
    <t>2022513603.pulle@ug.sharda.ac.in</t>
  </si>
  <si>
    <t>Suruchi Kumari</t>
  </si>
  <si>
    <t>2022517301.suruchi@ug.sharda.ac.in</t>
  </si>
  <si>
    <t>Naveen Kumar Jha</t>
  </si>
  <si>
    <t>2022518370.naveen@ug.sharda.ac.in</t>
  </si>
  <si>
    <t>Yukti Arora</t>
  </si>
  <si>
    <t>2022518505.yukti@ug.sharda.ac.in</t>
  </si>
  <si>
    <t>Shubhojit Sen</t>
  </si>
  <si>
    <t>2022520978.shubhojit@ug.sharda.ac.in</t>
  </si>
  <si>
    <t>Basharat Hassan</t>
  </si>
  <si>
    <t>2022521926.basharat@ug.sharda.ac.in</t>
  </si>
  <si>
    <t>Mohammed Mikael Rashid</t>
  </si>
  <si>
    <t>2022526514.mohammedmikael@ug.sharda.ac.in</t>
  </si>
  <si>
    <t>Taukir Alam</t>
  </si>
  <si>
    <t>2022534653.taukir@ug.sharda.ac.in</t>
  </si>
  <si>
    <t>Aman Sinha</t>
  </si>
  <si>
    <t>2022534811.aman@ug.sharda.ac.in</t>
  </si>
  <si>
    <t>Ayush Srivastava</t>
  </si>
  <si>
    <t>2022545040.ayush@ug.sharda.ac.in</t>
  </si>
  <si>
    <t>Rakshit Garg</t>
  </si>
  <si>
    <t>2022563106.rakshit@ug.sharda.ac.in</t>
  </si>
  <si>
    <t>Sahil Kumar</t>
  </si>
  <si>
    <t>2022565552.sahil@ug.sharda.ac.in</t>
  </si>
  <si>
    <t>2022577110.shivam@ug.sharda.ac.in</t>
  </si>
  <si>
    <t>Abhiraj Singh</t>
  </si>
  <si>
    <t>2022579515.abhiraj@ug.sharda.ac.in</t>
  </si>
  <si>
    <t>Utkarsh Singh</t>
  </si>
  <si>
    <t>2022583301.utkarsh@ug.sharda.ac.in</t>
  </si>
  <si>
    <t>Purushottam Choudhary</t>
  </si>
  <si>
    <t>2022592906.purushottam@ug.sharda.ac.in</t>
  </si>
  <si>
    <t>Abhijeet Kumar</t>
  </si>
  <si>
    <t>2022596015.abhijeet@ug.sharda.ac.in</t>
  </si>
  <si>
    <t>Tauhid Hashmi</t>
  </si>
  <si>
    <t>2023500162.tauhid@ug.sharda.ac.in</t>
  </si>
  <si>
    <t>Sudiksha Bhogal</t>
  </si>
  <si>
    <t>2023524672.sudiksha@ug.sharda.ac.in</t>
  </si>
  <si>
    <t>Prashid Shanker</t>
  </si>
  <si>
    <t>2023583466.prashid@ug.sharda.ac.in</t>
  </si>
  <si>
    <t>Zaid Meman</t>
  </si>
  <si>
    <t>2022004909.zaid@ug.sharda.ac.in</t>
  </si>
  <si>
    <t>Aryan Rattan Trakroo</t>
  </si>
  <si>
    <t>2022419571.aryan@ug.sharda.ac.in</t>
  </si>
  <si>
    <t>Prinsvil Yadav</t>
  </si>
  <si>
    <t>2022472521.prinsvil@ug.sharda.ac.in</t>
  </si>
  <si>
    <t>Hameem Yaseen</t>
  </si>
  <si>
    <t>2022565603.hameem@ug.sharda.ac.in</t>
  </si>
  <si>
    <t>Piyush Agnihotri</t>
  </si>
  <si>
    <t>2022520753.piyush@ug.sharda.ac.in</t>
  </si>
  <si>
    <t>Rinjal Sagar</t>
  </si>
  <si>
    <t>2021003785.rinjal@ug.sharda.ac.in</t>
  </si>
  <si>
    <t>Azeem Malik</t>
  </si>
  <si>
    <t>2021420120.azeem@ug.sharda.ac.in</t>
  </si>
  <si>
    <t>Mohd. Zaid</t>
  </si>
  <si>
    <t>2022001475.mohd@ug.sharda.ac.in</t>
  </si>
  <si>
    <t>Satyendra Negi</t>
  </si>
  <si>
    <t>2022001659.satyendra@ug.sharda.ac.in</t>
  </si>
  <si>
    <t>Sparsh Singh</t>
  </si>
  <si>
    <t>2022001846.sparsh@ug.sharda.ac.in</t>
  </si>
  <si>
    <t>Brahmtej Mohanty</t>
  </si>
  <si>
    <t>2022002578.brahmtej@ug.sharda.ac.in</t>
  </si>
  <si>
    <t>Sandali Sinha</t>
  </si>
  <si>
    <t>2022002703.sandali@ug.sharda.ac.in</t>
  </si>
  <si>
    <t>Shiva Srivastava</t>
  </si>
  <si>
    <t>2022002786.shiva@ug.sharda.ac.in</t>
  </si>
  <si>
    <t>Anshuman Singh</t>
  </si>
  <si>
    <t>2022002787.anshuman@ug.sharda.ac.in</t>
  </si>
  <si>
    <t>Kadam Pathak</t>
  </si>
  <si>
    <t>2022003231.kadam@ug.sharda.ac.in</t>
  </si>
  <si>
    <t>A Vishwam Rao</t>
  </si>
  <si>
    <t>2022003574.a@ug.sharda.ac.in</t>
  </si>
  <si>
    <t>Mohammad Shaazan Muzaffar</t>
  </si>
  <si>
    <t>2022003923.mohammad@ug.sharda.ac.in</t>
  </si>
  <si>
    <t>Kritika Rawat</t>
  </si>
  <si>
    <t>2022004681.kritika@ug.sharda.ac.in</t>
  </si>
  <si>
    <t>Sanchit .</t>
  </si>
  <si>
    <t>2022004682.sanchit@ug.sharda.ac.in</t>
  </si>
  <si>
    <t>Chirag Pathak</t>
  </si>
  <si>
    <t>2022005228.chirag@ug.sharda.ac.in</t>
  </si>
  <si>
    <t>Anushka Kashyap</t>
  </si>
  <si>
    <t>2022005229.anushka@ug.sharda.ac.in</t>
  </si>
  <si>
    <t>Navdisha .</t>
  </si>
  <si>
    <t>2022005715.navdisha@ug.sharda.ac.in</t>
  </si>
  <si>
    <t>Mr Keshav Kumar</t>
  </si>
  <si>
    <t>2022006973.keshav@ug.sharda.ac.in</t>
  </si>
  <si>
    <t>Khushi Singh</t>
  </si>
  <si>
    <t>2022007308.khushi@ug.sharda.ac.in</t>
  </si>
  <si>
    <t>Ahmed M A Ejweli</t>
  </si>
  <si>
    <t>2022008336.ahmedma@ug.sharda.ac.in</t>
  </si>
  <si>
    <t>Manish Kumar Ray</t>
  </si>
  <si>
    <t>2022308623.manish@ug.sharda.ac.in</t>
  </si>
  <si>
    <t>Manjeet Saini</t>
  </si>
  <si>
    <t>2022310930.manjeet@ug.sharda.ac.in</t>
  </si>
  <si>
    <t>Danish Kamal</t>
  </si>
  <si>
    <t>2022349970.danish@ug.sharda.ac.in</t>
  </si>
  <si>
    <t>Mohd Adeeb Siddiqui</t>
  </si>
  <si>
    <t>2022355780.mohd@ug.sharda.ac.in</t>
  </si>
  <si>
    <t>Abhinay Singh Rawat</t>
  </si>
  <si>
    <t>2022360529.abhinay@ug.sharda.ac.in</t>
  </si>
  <si>
    <t>Naman Oli</t>
  </si>
  <si>
    <t>2022368285.naman@ug.sharda.ac.in</t>
  </si>
  <si>
    <t>Lavanya Jain</t>
  </si>
  <si>
    <t>2022384000.lavanya@ug.sharda.ac.in</t>
  </si>
  <si>
    <t>Saahil Singh</t>
  </si>
  <si>
    <t>2022402175.saahil@ug.sharda.ac.in</t>
  </si>
  <si>
    <t>Mohd Kaif Ul Haq</t>
  </si>
  <si>
    <t>2022408542.mohd@ug.sharda.ac.in</t>
  </si>
  <si>
    <t>Nistha Diwedi</t>
  </si>
  <si>
    <t>2022413491.nistha@ug.sharda.ac.in</t>
  </si>
  <si>
    <t>Yash Raj</t>
  </si>
  <si>
    <t>2022415397.yash@ug.sharda.ac.in</t>
  </si>
  <si>
    <t>Bolla Manoj Sai</t>
  </si>
  <si>
    <t>2022433389.bolla@ug.sharda.ac.in</t>
  </si>
  <si>
    <t>Somil Modi</t>
  </si>
  <si>
    <t>2022437700.somil@ug.sharda.ac.in</t>
  </si>
  <si>
    <t>Priyanshi .</t>
  </si>
  <si>
    <t>2022441764.priyanshi@ug.sharda.ac.in</t>
  </si>
  <si>
    <t>Kunal Singh Yadav</t>
  </si>
  <si>
    <t>2022455169.kunal@ug.sharda.ac.in</t>
  </si>
  <si>
    <t>Swarn Pratap Singh</t>
  </si>
  <si>
    <t>2022461609.swarn@ug.sharda.ac.in</t>
  </si>
  <si>
    <t>Lovkesh Chauhan</t>
  </si>
  <si>
    <t>2022462273.lovkesh@ug.sharda.ac.in</t>
  </si>
  <si>
    <t>Yash Pratap Singh</t>
  </si>
  <si>
    <t>2022470797.yash@ug.sharda.ac.in</t>
  </si>
  <si>
    <t>Vedanshu Singh</t>
  </si>
  <si>
    <t>2022473978.vedanshu@ug.sharda.ac.in</t>
  </si>
  <si>
    <t>Mohd Tabish Mahmood</t>
  </si>
  <si>
    <t>2022486143.mohd@ug.sharda.ac.in</t>
  </si>
  <si>
    <t>Omit Kumar</t>
  </si>
  <si>
    <t>2022492018.omit@ug.sharda.ac.in</t>
  </si>
  <si>
    <t>Nayan Nayak</t>
  </si>
  <si>
    <t>2022504837.nayan@ug.sharda.ac.in</t>
  </si>
  <si>
    <t>Lakshay Bhatnagar</t>
  </si>
  <si>
    <t>2022507647.lakshay@ug.sharda.ac.in</t>
  </si>
  <si>
    <t>Mansi Singh</t>
  </si>
  <si>
    <t>2022532088.mansi@ug.sharda.ac.in</t>
  </si>
  <si>
    <t>Poorab Agrawal</t>
  </si>
  <si>
    <t>2022536903.poorab@ug.sharda.ac.in</t>
  </si>
  <si>
    <t>Ankit Yadav</t>
  </si>
  <si>
    <t>2022538932.ankit@ug.sharda.ac.in</t>
  </si>
  <si>
    <t>Varshita Mishra</t>
  </si>
  <si>
    <t>2022545204.varshita@ug.sharda.ac.in</t>
  </si>
  <si>
    <t>Nitish Kumar</t>
  </si>
  <si>
    <t>2022550696.nitish@ug.sharda.ac.in</t>
  </si>
  <si>
    <t>Upendra Giri</t>
  </si>
  <si>
    <t>2022559074.upendra@ug.sharda.ac.in</t>
  </si>
  <si>
    <t>Syed Farheen</t>
  </si>
  <si>
    <t>2022615611.syed@ug.sharda.ac.in</t>
  </si>
  <si>
    <t>Priyanshu Raj</t>
  </si>
  <si>
    <t>2022624448.priyanshu@ug.sharda.ac.in</t>
  </si>
  <si>
    <t>Jabir Luqman Ismail</t>
  </si>
  <si>
    <t>2022804425.jabir@ug.sharda.ac.in</t>
  </si>
  <si>
    <t>Togon Chakma</t>
  </si>
  <si>
    <t>2022831961.togon@ug.sharda.ac.in</t>
  </si>
  <si>
    <t>DSAIML-L2</t>
  </si>
  <si>
    <t>2022001992.manish@ug.sharda.ac.in</t>
  </si>
  <si>
    <t>Navya John</t>
  </si>
  <si>
    <t>2022002243.navya@ug.sharda.ac.in</t>
  </si>
  <si>
    <t>Aman Chand</t>
  </si>
  <si>
    <t>2022002974.aman@ug.sharda.ac.in</t>
  </si>
  <si>
    <t>Aadesh Kumar</t>
  </si>
  <si>
    <t>2022003160.aadesh@ug.sharda.ac.in</t>
  </si>
  <si>
    <t>Jigisha Mourya</t>
  </si>
  <si>
    <t>2022003541.jigisha@ug.sharda.ac.in</t>
  </si>
  <si>
    <t>Varsha Gola</t>
  </si>
  <si>
    <t>2022003792.varsha@ug.sharda.ac.in</t>
  </si>
  <si>
    <t>Harshit .</t>
  </si>
  <si>
    <t>2022004383.harshit@ug.sharda.ac.in</t>
  </si>
  <si>
    <t>Taran Bhuee</t>
  </si>
  <si>
    <t>2022005125.taran@ug.sharda.ac.in</t>
  </si>
  <si>
    <t>Ashwani Kumar Mishra</t>
  </si>
  <si>
    <t>2022005224.ashwani@ug.sharda.ac.in</t>
  </si>
  <si>
    <t>Kritika Singh</t>
  </si>
  <si>
    <t>2022005401.kritika@ug.sharda.ac.in</t>
  </si>
  <si>
    <t>Harsh Gupta</t>
  </si>
  <si>
    <t>2022005900.harsh@ug.sharda.ac.in</t>
  </si>
  <si>
    <t>Tanishka Singh</t>
  </si>
  <si>
    <t>2022006059.tanishka@ug.sharda.ac.in</t>
  </si>
  <si>
    <t>Krishna Kumar Choudhary</t>
  </si>
  <si>
    <t>2022006436.krishna@ug.sharda.ac.in</t>
  </si>
  <si>
    <t>Akhtar Raza</t>
  </si>
  <si>
    <t>2022007267.akhtar@ug.sharda.ac.in</t>
  </si>
  <si>
    <t>Ayinaparthi Kirti Meghana</t>
  </si>
  <si>
    <t>2022305160.ayinaparthi@ug.sharda.ac.in</t>
  </si>
  <si>
    <t>Shivam Roy</t>
  </si>
  <si>
    <t>2022306140.shivam@ug.sharda.ac.in</t>
  </si>
  <si>
    <t>Krish Babbar</t>
  </si>
  <si>
    <t>2022321571.krish@ug.sharda.ac.in</t>
  </si>
  <si>
    <t>Vanshika Gaur</t>
  </si>
  <si>
    <t>2022338152.vanshika@ug.sharda.ac.in</t>
  </si>
  <si>
    <t>2022339160.yash@ug.sharda.ac.in</t>
  </si>
  <si>
    <t>Divya .</t>
  </si>
  <si>
    <t>2022345074.divya@ug.sharda.ac.in</t>
  </si>
  <si>
    <t>Abhinav Thapliyal</t>
  </si>
  <si>
    <t>2022354445.abhinav@ug.sharda.ac.in</t>
  </si>
  <si>
    <t>Vaibhav Vaish</t>
  </si>
  <si>
    <t>2022354885.vaibhav@ug.sharda.ac.in</t>
  </si>
  <si>
    <t>Daniel Soubam</t>
  </si>
  <si>
    <t>2022360947.daniel@ug.sharda.ac.in</t>
  </si>
  <si>
    <t>Shivank Mehrotra</t>
  </si>
  <si>
    <t>2022396848.shivank@ug.sharda.ac.in</t>
  </si>
  <si>
    <t>Nupur Srivastava</t>
  </si>
  <si>
    <t>2022404434.nupur@ug.sharda.ac.in</t>
  </si>
  <si>
    <t>Anuj Singh</t>
  </si>
  <si>
    <t>2022405043.anuj@ug.sharda.ac.in</t>
  </si>
  <si>
    <t>Bikash Ranjan Sabat</t>
  </si>
  <si>
    <t>2022408489.bikash@ug.sharda.ac.in</t>
  </si>
  <si>
    <t>Umair Hamza</t>
  </si>
  <si>
    <t>2022413409.umair@ug.sharda.ac.in</t>
  </si>
  <si>
    <t>Mohd Kashif</t>
  </si>
  <si>
    <t>2022420368.mohd@ug.sharda.ac.in</t>
  </si>
  <si>
    <t>Sheema Wani</t>
  </si>
  <si>
    <t>2022442734.sheema@ug.sharda.ac.in</t>
  </si>
  <si>
    <t>Shubham Jaswar</t>
  </si>
  <si>
    <t>2022445249.shubham@ug.sharda.ac.in</t>
  </si>
  <si>
    <t>Abiral Upadhyay</t>
  </si>
  <si>
    <t>2022445444.abiral@ug.sharda.ac.in</t>
  </si>
  <si>
    <t>Arvind Pratap Tripathi</t>
  </si>
  <si>
    <t>2022445607.arvind@ug.sharda.ac.in</t>
  </si>
  <si>
    <t>Shashank Singh</t>
  </si>
  <si>
    <t>2022446086.shashank@ug.sharda.ac.in</t>
  </si>
  <si>
    <t>Isaac Massey</t>
  </si>
  <si>
    <t>2022451567.isaac@ug.sharda.ac.in</t>
  </si>
  <si>
    <t>Abhishek Yadav</t>
  </si>
  <si>
    <t>2022460612.abhishek@ug.sharda.ac.in</t>
  </si>
  <si>
    <t>Mohammad Ramiz</t>
  </si>
  <si>
    <t>2022464237.mohammad@ug.sharda.ac.in</t>
  </si>
  <si>
    <t>Himanshu Singh</t>
  </si>
  <si>
    <t>2022477650.himanshu@ug.sharda.ac.in</t>
  </si>
  <si>
    <t>Ashish Sharma</t>
  </si>
  <si>
    <t>2022479218.ashish@ug.sharda.ac.in</t>
  </si>
  <si>
    <t>Aaisha Siddiqah</t>
  </si>
  <si>
    <t>2022486764.aaisha@ug.sharda.ac.in</t>
  </si>
  <si>
    <t>Dheeraj Kumar Yadav</t>
  </si>
  <si>
    <t>2022487026.dheeraj@ug.sharda.ac.in</t>
  </si>
  <si>
    <t>Adeem Gul</t>
  </si>
  <si>
    <t>2022489115.adeem@ug.sharda.ac.in</t>
  </si>
  <si>
    <t>Pallav Prakash</t>
  </si>
  <si>
    <t>2022494330.pallav@ug.sharda.ac.in</t>
  </si>
  <si>
    <t>Vikash Kumar Yadav</t>
  </si>
  <si>
    <t>2022498647.vikash@ug.sharda.ac.in</t>
  </si>
  <si>
    <t>Kartikay Sharma</t>
  </si>
  <si>
    <t>2022501831.kartikay@ug.sharda.ac.in</t>
  </si>
  <si>
    <t>Ritu Raj Kumar</t>
  </si>
  <si>
    <t>2022507803.ritu@ug.sharda.ac.in</t>
  </si>
  <si>
    <t>Mridul Hemrajani</t>
  </si>
  <si>
    <t>2022511920.mridul@ug.sharda.ac.in</t>
  </si>
  <si>
    <t>Abhinav Singh Negi</t>
  </si>
  <si>
    <t>2022516040.abhinav@ug.sharda.ac.in</t>
  </si>
  <si>
    <t>Deepayan Thakur</t>
  </si>
  <si>
    <t>2022520080.deepayan@ug.sharda.ac.in</t>
  </si>
  <si>
    <t>Vinayak Agarwal</t>
  </si>
  <si>
    <t>2022521262.vinayak@ug.sharda.ac.in</t>
  </si>
  <si>
    <t>Kambam Sai Charan</t>
  </si>
  <si>
    <t>2022543048.kambam@ug.sharda.ac.in</t>
  </si>
  <si>
    <t>Rishita Tehlan</t>
  </si>
  <si>
    <t>2022544917.rishita@ug.sharda.ac.in</t>
  </si>
  <si>
    <t>Vishal Choudhary</t>
  </si>
  <si>
    <t>2022600192.vishal@ug.sharda.ac.in</t>
  </si>
  <si>
    <t>Budda Dhanushya Surya Manikanta</t>
  </si>
  <si>
    <t>2022601761.budda@ug.sharda.ac.in</t>
  </si>
  <si>
    <t>Ansh Abrol</t>
  </si>
  <si>
    <t>2022610396.ansh@ug.sharda.ac.in</t>
  </si>
  <si>
    <t>Tohin Majumder</t>
  </si>
  <si>
    <t>2022620180.tohin@ug.sharda.ac.in</t>
  </si>
  <si>
    <t>Suhani Mehta</t>
  </si>
  <si>
    <t>2022623133.suhani@ug.sharda.ac.in</t>
  </si>
  <si>
    <t>Mr Anmol Kumar Sah</t>
  </si>
  <si>
    <t>2022834880.anmolkumar@ug.sharda.ac.in</t>
  </si>
  <si>
    <t>Avni Nehru</t>
  </si>
  <si>
    <t>2022002716.avni@ug.sharda.ac.in</t>
  </si>
  <si>
    <t>Abdul Rehman</t>
  </si>
  <si>
    <t>2022380686.abdul@ug.sharda.ac.in</t>
  </si>
  <si>
    <t>Kritika Upadhyay</t>
  </si>
  <si>
    <t>2022502804.kritika@ug.sharda.ac.in</t>
  </si>
  <si>
    <t>Akarsh Katiyar</t>
  </si>
  <si>
    <t>2022508637.akarsh@ug.sharda.ac.in</t>
  </si>
  <si>
    <t>Sameer Ahmed</t>
  </si>
  <si>
    <t>2022003455.sameer@ug.sharda.ac.in</t>
  </si>
  <si>
    <t>Samarth Agrawal</t>
  </si>
  <si>
    <t>2022004067.samarth@ug.sharda.ac.in</t>
  </si>
  <si>
    <t>DSAIML-L4</t>
  </si>
  <si>
    <t>Rishabh Sharma</t>
  </si>
  <si>
    <t>2022330451.rishabh@ug.sharda.ac.in</t>
  </si>
  <si>
    <t>Suraj Belwal</t>
  </si>
  <si>
    <t>2022434098.suraj@ug.sharda.ac.in</t>
  </si>
  <si>
    <t>Mehak Parashar</t>
  </si>
  <si>
    <t>2022449092.mehak@ug.sharda.ac.in</t>
  </si>
  <si>
    <t>Manav Mehta</t>
  </si>
  <si>
    <t>2022512289.manav@ug.sharda.ac.in</t>
  </si>
  <si>
    <t>Abhishek Kumar</t>
  </si>
  <si>
    <t>2022609610.abhishek@ug.sharda.ac.in</t>
  </si>
  <si>
    <t>Moh,Toheed</t>
  </si>
  <si>
    <t>2021369165.moh@ug.sharda.ac.in</t>
  </si>
  <si>
    <t>karan puri</t>
  </si>
  <si>
    <t>2021390811.karan@ug.sharda.ac.in</t>
  </si>
  <si>
    <t>Kaif Akram</t>
  </si>
  <si>
    <t>2022000628.kaif@ug.sharda.ac.in</t>
  </si>
  <si>
    <t>Nikhil Kumar Mishra</t>
  </si>
  <si>
    <t>2022001306.nikhil@ug.sharda.ac.in</t>
  </si>
  <si>
    <t>DSAIML-L3</t>
  </si>
  <si>
    <t>2022004361.abhishek@ug.sharda.ac.in</t>
  </si>
  <si>
    <t>CSE- Data Science</t>
  </si>
  <si>
    <t>Aaradhya Raj</t>
  </si>
  <si>
    <t>2022004949.aaradhya@ug.sharda.ac.in</t>
  </si>
  <si>
    <t>Jatin Dhangar</t>
  </si>
  <si>
    <t>2022005046.jatin@ug.sharda.ac.in</t>
  </si>
  <si>
    <t>Suraj Kumar Patel</t>
  </si>
  <si>
    <t>2022005848.suraj@ug.sharda.ac.in</t>
  </si>
  <si>
    <t>Riya Mehta</t>
  </si>
  <si>
    <t>2022006324.riya@ug.sharda.ac.in</t>
  </si>
  <si>
    <t>Sankalp Goel</t>
  </si>
  <si>
    <t>2022006712.sankalp@ug.sharda.ac.in</t>
  </si>
  <si>
    <t>Ankesh Anand</t>
  </si>
  <si>
    <t>2022006849.ankesh@ug.sharda.ac.in</t>
  </si>
  <si>
    <t>Ritik Chaudhary</t>
  </si>
  <si>
    <t>2022007324.ritik@ug.sharda.ac.in</t>
  </si>
  <si>
    <t>Anshika Singh</t>
  </si>
  <si>
    <t>2022007387.anshika@ug.sharda.ac.in</t>
  </si>
  <si>
    <t>Chirag Kumar</t>
  </si>
  <si>
    <t>2022309968.chirag@ug.sharda.ac.in</t>
  </si>
  <si>
    <t>Vishal Pandit</t>
  </si>
  <si>
    <t>2022311612.vishal@ug.sharda.ac.in</t>
  </si>
  <si>
    <t>Akhil Sharma</t>
  </si>
  <si>
    <t>2022334026.akhil@ug.sharda.ac.in</t>
  </si>
  <si>
    <t>Tanishq Chauhan</t>
  </si>
  <si>
    <t>2022335852.tanishq@ug.sharda.ac.in</t>
  </si>
  <si>
    <t>Mehul Kumar</t>
  </si>
  <si>
    <t>2022338119.mehul@ug.sharda.ac.in</t>
  </si>
  <si>
    <t>Uttam Kumar</t>
  </si>
  <si>
    <t>2022374380.uttam@ug.sharda.ac.in</t>
  </si>
  <si>
    <t>Mohammad Muzammil</t>
  </si>
  <si>
    <t>2022403267.mohammad@ug.sharda.ac.in</t>
  </si>
  <si>
    <t>2022409017.ankit@ug.sharda.ac.in</t>
  </si>
  <si>
    <t>Rebekah Russel</t>
  </si>
  <si>
    <t>2022410984.rebekah@ug.sharda.ac.in</t>
  </si>
  <si>
    <t>Manjay Raj</t>
  </si>
  <si>
    <t>2022414035.manjay@ug.sharda.ac.in</t>
  </si>
  <si>
    <t>Ishika Tomar</t>
  </si>
  <si>
    <t>2022416375.ishika@ug.sharda.ac.in</t>
  </si>
  <si>
    <t>Ujjwal Maurya</t>
  </si>
  <si>
    <t>2022421811.ujjwal@ug.sharda.ac.in</t>
  </si>
  <si>
    <t>Navya Sharma</t>
  </si>
  <si>
    <t>2022428888.navya@ug.sharda.ac.in</t>
  </si>
  <si>
    <t>Jatin Kumar Singh</t>
  </si>
  <si>
    <t>2022480883.jatinkumar@ug.sharda.ac.in</t>
  </si>
  <si>
    <t>Yuvraj Singh Chahar</t>
  </si>
  <si>
    <t>2022490281.yuvraj@ug.sharda.ac.in</t>
  </si>
  <si>
    <t>Vanshika Yadav</t>
  </si>
  <si>
    <t>2022495156.vanshika@ug.sharda.ac.in</t>
  </si>
  <si>
    <t>Sahil Singh</t>
  </si>
  <si>
    <t>2022495866.sahil@ug.sharda.ac.in</t>
  </si>
  <si>
    <t>Mohammad Aamir Sohail</t>
  </si>
  <si>
    <t>2022505589.mohammad@ug.sharda.ac.in</t>
  </si>
  <si>
    <t>Ayush Grover</t>
  </si>
  <si>
    <t>2022512918.ayush@ug.sharda.ac.in</t>
  </si>
  <si>
    <t>Sivam Visnu</t>
  </si>
  <si>
    <t>2022513718.sivam@ug.sharda.ac.in</t>
  </si>
  <si>
    <t>Nitya Singh</t>
  </si>
  <si>
    <t>2022515421.nitya@ug.sharda.ac.in</t>
  </si>
  <si>
    <t>Smriti Kumari</t>
  </si>
  <si>
    <t>2022518889.smriti@ug.sharda.ac.in</t>
  </si>
  <si>
    <t>Tanuj Saxena</t>
  </si>
  <si>
    <t>2022520199.tanuj@ug.sharda.ac.in</t>
  </si>
  <si>
    <t>2022527313.harsh@ug.sharda.ac.in</t>
  </si>
  <si>
    <t>Udit Chaudhary</t>
  </si>
  <si>
    <t>2022530497.udit@ug.sharda.ac.in</t>
  </si>
  <si>
    <t>Mayon Rajpoot</t>
  </si>
  <si>
    <t>2022533506.mayon@ug.sharda.ac.in</t>
  </si>
  <si>
    <t>Anshara Beigh</t>
  </si>
  <si>
    <t>2022535335.anshara@ug.sharda.ac.in</t>
  </si>
  <si>
    <t>Mokara Praneetha</t>
  </si>
  <si>
    <t>2022539044.mokara@ug.sharda.ac.in</t>
  </si>
  <si>
    <t>Ayush Tripathi</t>
  </si>
  <si>
    <t>2022542429.ayush@ug.sharda.ac.in</t>
  </si>
  <si>
    <t>Sadaf Zahra</t>
  </si>
  <si>
    <t>2022553875.sadaf@ug.sharda.ac.in</t>
  </si>
  <si>
    <t>Priyanshu Kumar</t>
  </si>
  <si>
    <t>2022563312.priyanshu@ug.sharda.ac.in</t>
  </si>
  <si>
    <t>Hunar Sajjan Agrawal</t>
  </si>
  <si>
    <t>2022572764.hunar@ug.sharda.ac.in</t>
  </si>
  <si>
    <t>Mohd Sufyan</t>
  </si>
  <si>
    <t>2022574378.mohd@ug.sharda.ac.in</t>
  </si>
  <si>
    <t>Antriksh Singh Rawat</t>
  </si>
  <si>
    <t>2022589100.antriksh@ug.sharda.ac.in</t>
  </si>
  <si>
    <t>Mohammad Ashif Iqbal</t>
  </si>
  <si>
    <t>2022599098.mohammad@ug.sharda.ac.in</t>
  </si>
  <si>
    <t>2022608097.nitish@ug.sharda.ac.in</t>
  </si>
  <si>
    <t>Debadrita Mukherjee</t>
  </si>
  <si>
    <t>2022825759.debadrita@ug.sharda.ac.in</t>
  </si>
  <si>
    <t>Suraj Kumar Jaiswal</t>
  </si>
  <si>
    <t>2022368174.suraj@ug.sharda.ac.in</t>
  </si>
  <si>
    <t>Kamal Ahmad</t>
  </si>
  <si>
    <t>2022603519.kamal@ug.sharda.ac.in</t>
  </si>
  <si>
    <t>Saurabh Mishra</t>
  </si>
  <si>
    <t>2022465132.saurabh@ug.sharda.ac.in</t>
  </si>
  <si>
    <t>Sneha Bajpai</t>
  </si>
  <si>
    <t>2022513156.sneha@ug.sharda.ac.in</t>
  </si>
  <si>
    <t>CSE-Cloud Tech &amp; Virtualiz-AWS</t>
  </si>
  <si>
    <t>Chulbul S Pratyashrit</t>
  </si>
  <si>
    <t>2023503067.chulbul@ug.sharda.ac.in</t>
  </si>
  <si>
    <t>aditya</t>
  </si>
  <si>
    <t>2021362606.aditya@ug.sharda.ac.in</t>
  </si>
  <si>
    <t>Aaditya Patwal</t>
  </si>
  <si>
    <t>2021476666.aaditya@ug.sharda.ac.in</t>
  </si>
  <si>
    <t>Ayush Singh</t>
  </si>
  <si>
    <t>2022006161.ayush@ug.sharda.ac.in</t>
  </si>
  <si>
    <t>Md Ahsan</t>
  </si>
  <si>
    <t>2022006647.md@ug.sharda.ac.in</t>
  </si>
  <si>
    <t>Anurag Singh Bisht</t>
  </si>
  <si>
    <t>2022007148.anurag@ug.sharda.ac.in</t>
  </si>
  <si>
    <t>Abhishek Kumar Choudhary</t>
  </si>
  <si>
    <t>2022508386.abhishek@ug.sharda.ac.in</t>
  </si>
  <si>
    <t>Harsh Dubey</t>
  </si>
  <si>
    <t>2022509576.harsh@ug.sharda.ac.in</t>
  </si>
  <si>
    <t>Shubham Singh</t>
  </si>
  <si>
    <t>2023253225.shubham@ug.sharda.ac.in</t>
  </si>
  <si>
    <t>Sarthak Chaudhary</t>
  </si>
  <si>
    <t>2022001202.sarthak@ug.sharda.ac.in</t>
  </si>
  <si>
    <t>FSD-SB-L3</t>
  </si>
  <si>
    <t>Rachit Sinha</t>
  </si>
  <si>
    <t>2022002885.rachit@ug.sharda.ac.in</t>
  </si>
  <si>
    <t>CSE- IOT &amp; Application</t>
  </si>
  <si>
    <t>Sumit Kumar</t>
  </si>
  <si>
    <t>2022003592.sumit@ug.sharda.ac.in</t>
  </si>
  <si>
    <t>Felix Sikukutu Hausiku</t>
  </si>
  <si>
    <t>2022003741.felixsikukutu@ug.sharda.ac.in</t>
  </si>
  <si>
    <t>B.Tech (CSE - Block Chain)</t>
  </si>
  <si>
    <t>Diksha Sharma</t>
  </si>
  <si>
    <t>2022004439.diksha@ug.sharda.ac.in</t>
  </si>
  <si>
    <t>Dev Singh</t>
  </si>
  <si>
    <t>2022004595.dev@ug.sharda.ac.in</t>
  </si>
  <si>
    <t>Dhruv Goel</t>
  </si>
  <si>
    <t>2022004886.dhruv@ug.sharda.ac.in</t>
  </si>
  <si>
    <t>2022005003.vishal@ug.sharda.ac.in</t>
  </si>
  <si>
    <t>Sohail Akhtar</t>
  </si>
  <si>
    <t>2022006106.sohail@ug.sharda.ac.in</t>
  </si>
  <si>
    <t>Anjali Gupta</t>
  </si>
  <si>
    <t>2022006195.anjali@ug.sharda.ac.in</t>
  </si>
  <si>
    <t>Lovish Jain</t>
  </si>
  <si>
    <t>2022006247.lovish@ug.sharda.ac.in</t>
  </si>
  <si>
    <t>Rishav .</t>
  </si>
  <si>
    <t>2022006280.rishav@ug.sharda.ac.in</t>
  </si>
  <si>
    <t>Shubham Sharma</t>
  </si>
  <si>
    <t>2022006289.shubham@ug.sharda.ac.in</t>
  </si>
  <si>
    <t>Arya Tiwari</t>
  </si>
  <si>
    <t>2022006607.arya@ug.sharda.ac.in</t>
  </si>
  <si>
    <t>Harshul Garg</t>
  </si>
  <si>
    <t>2022006750.harshul@ug.sharda.ac.in</t>
  </si>
  <si>
    <t>Ashutosh Kumar</t>
  </si>
  <si>
    <t>2022006860.ashutosh@ug.sharda.ac.in</t>
  </si>
  <si>
    <t>Shubham Kumar</t>
  </si>
  <si>
    <t>2022006905.shubham@ug.sharda.ac.in</t>
  </si>
  <si>
    <t>Kuldeep Pal</t>
  </si>
  <si>
    <t>2022007077.kuldeep@ug.sharda.ac.in</t>
  </si>
  <si>
    <t>Princi .</t>
  </si>
  <si>
    <t>2022007217.princi@ug.sharda.ac.in</t>
  </si>
  <si>
    <t>Rahan .</t>
  </si>
  <si>
    <t>2022007672.rahan@ug.sharda.ac.in</t>
  </si>
  <si>
    <t>Ravi Shankar Poddar</t>
  </si>
  <si>
    <t>2022007802.ravi@ug.sharda.ac.in</t>
  </si>
  <si>
    <t>Harsh Ujjwal</t>
  </si>
  <si>
    <t>2022008126.harsh@ug.sharda.ac.in</t>
  </si>
  <si>
    <t>Nitin Chauhan</t>
  </si>
  <si>
    <t>2022008160.nitin@ug.sharda.ac.in</t>
  </si>
  <si>
    <t>Nitin Kumar Thakur</t>
  </si>
  <si>
    <t>2022008213.nitin@ug.sharda.ac.in</t>
  </si>
  <si>
    <t>Rishika Sharma</t>
  </si>
  <si>
    <t>2022305070.rishika@ug.sharda.ac.in</t>
  </si>
  <si>
    <t>Aditya Priya</t>
  </si>
  <si>
    <t>2022306619.aditya@ug.sharda.ac.in</t>
  </si>
  <si>
    <t>Rahul Choudhary</t>
  </si>
  <si>
    <t>2022307728.rahul@ug.sharda.ac.in</t>
  </si>
  <si>
    <t>Jatin Gupta</t>
  </si>
  <si>
    <t>2022320806.jatin@ug.sharda.ac.in</t>
  </si>
  <si>
    <t>Devanshi Sharma</t>
  </si>
  <si>
    <t>2022330517.devanshi@ug.sharda.ac.in</t>
  </si>
  <si>
    <t>Arnav Singh</t>
  </si>
  <si>
    <t>2022343833.arnav@ug.sharda.ac.in</t>
  </si>
  <si>
    <t>Manish Yadav</t>
  </si>
  <si>
    <t>2022351697.manish@ug.sharda.ac.in</t>
  </si>
  <si>
    <t>2022387644.ankit@ug.sharda.ac.in</t>
  </si>
  <si>
    <t>Aryan Singh</t>
  </si>
  <si>
    <t>2022394539.aryan@ug.sharda.ac.in</t>
  </si>
  <si>
    <t>Sameer Saifi</t>
  </si>
  <si>
    <t>2022396862.sameer@ug.sharda.ac.in</t>
  </si>
  <si>
    <t>Shrey Kapri</t>
  </si>
  <si>
    <t>2022400313.shrey@ug.sharda.ac.in</t>
  </si>
  <si>
    <t>MD Shahid Hussain</t>
  </si>
  <si>
    <t>2022405621.md@ug.sharda.ac.in</t>
  </si>
  <si>
    <t>Hani Kumar</t>
  </si>
  <si>
    <t>2022431320.hani@ug.sharda.ac.in</t>
  </si>
  <si>
    <t>Avinash Maurya</t>
  </si>
  <si>
    <t>2022460800.avinash@ug.sharda.ac.in</t>
  </si>
  <si>
    <t>Ayush Harsh</t>
  </si>
  <si>
    <t>2022476818.ayush@ug.sharda.ac.in</t>
  </si>
  <si>
    <t>Saransh Singhania</t>
  </si>
  <si>
    <t>2022487134.saransh@ug.sharda.ac.in</t>
  </si>
  <si>
    <t>2022489738.harshit@ug.sharda.ac.in</t>
  </si>
  <si>
    <t>2022489962.pratham@ug.sharda.ac.in</t>
  </si>
  <si>
    <t>Nikil .</t>
  </si>
  <si>
    <t>2022494267.nikil@ug.sharda.ac.in</t>
  </si>
  <si>
    <t>Anamika Sangwan</t>
  </si>
  <si>
    <t>2022542651.anamika@ug.sharda.ac.in</t>
  </si>
  <si>
    <t>Yusuf Mushtaque</t>
  </si>
  <si>
    <t>2022543882.yusuf@ug.sharda.ac.in</t>
  </si>
  <si>
    <t>Dhruv Maheshwari</t>
  </si>
  <si>
    <t>2022560746.dhruv@ug.sharda.ac.in</t>
  </si>
  <si>
    <t>Anvi Singh</t>
  </si>
  <si>
    <t>2022569459.anvi@ug.sharda.ac.in</t>
  </si>
  <si>
    <t>Gaurav Kumar</t>
  </si>
  <si>
    <t>2022579523.gaurav@ug.sharda.ac.in</t>
  </si>
  <si>
    <t>Ashish Kumar Yadav</t>
  </si>
  <si>
    <t>2022597147.ashish@ug.sharda.ac.in</t>
  </si>
  <si>
    <t>Lokireddy Chakridharreddy</t>
  </si>
  <si>
    <t>2022601278.lokireddy@ug.sharda.ac.in</t>
  </si>
  <si>
    <t>Amulya V Singh</t>
  </si>
  <si>
    <t>2022603988.amulya@ug.sharda.ac.in</t>
  </si>
  <si>
    <t>Sanjeet .</t>
  </si>
  <si>
    <t>2022619784.sanjeet@ug.sharda.ac.in</t>
  </si>
  <si>
    <t>Mr Pramish Bhandari</t>
  </si>
  <si>
    <t>2022817981.pramish@ug.sharda.ac.in</t>
  </si>
  <si>
    <t>Rishabh Balodhi</t>
  </si>
  <si>
    <t>2022483967.rishabh@ug.sharda.ac.in</t>
  </si>
  <si>
    <t>Chandra Prakash</t>
  </si>
  <si>
    <t>2021341739.chandra@ug.sharda.ac.in</t>
  </si>
  <si>
    <t>Hasya Narula</t>
  </si>
  <si>
    <t>2021344584.hasya@ug.sharda.ac.in</t>
  </si>
  <si>
    <t>Dhruv Misra</t>
  </si>
  <si>
    <t>2021399162.dhruv@ug.sharda.ac.in</t>
  </si>
  <si>
    <t>2021518169.aman@ug.sharda.ac.in</t>
  </si>
  <si>
    <t>Deepanshu Talan</t>
  </si>
  <si>
    <t>2022473465.deepanshu@ug.sharda.ac.in</t>
  </si>
  <si>
    <t>Mayank Singh</t>
  </si>
  <si>
    <t>2022510361.mayank@ug.sharda.ac.in</t>
  </si>
  <si>
    <t>Devang Solanki</t>
  </si>
  <si>
    <t>2021380904.devang@ug.sharda.ac.in</t>
  </si>
  <si>
    <t>Divyansh Bhardwaj</t>
  </si>
  <si>
    <t>2022000299.divyansh@ug.sharda.ac.in</t>
  </si>
  <si>
    <t>Utkarsh Pandey</t>
  </si>
  <si>
    <t>2022001453.utkarsh@ug.sharda.ac.in</t>
  </si>
  <si>
    <t>Aklavya .</t>
  </si>
  <si>
    <t>2022003323.aklavya@ug.sharda.ac.in</t>
  </si>
  <si>
    <t>2022003325.priyanshu@ug.sharda.ac.in</t>
  </si>
  <si>
    <t>2022003451.aryan@ug.sharda.ac.in</t>
  </si>
  <si>
    <t>Yash Bansal</t>
  </si>
  <si>
    <t>2022003650.yash@ug.sharda.ac.in</t>
  </si>
  <si>
    <t>Anshuman .</t>
  </si>
  <si>
    <t>2022004729.anshuman@ug.sharda.ac.in</t>
  </si>
  <si>
    <t>Aftab Mansoori</t>
  </si>
  <si>
    <t>2022005043.aftab@ug.sharda.ac.in</t>
  </si>
  <si>
    <t>Gulshan Baghel</t>
  </si>
  <si>
    <t>2022005315.gulshan@ug.sharda.ac.in</t>
  </si>
  <si>
    <t>Umang .</t>
  </si>
  <si>
    <t>2022006170.umang@ug.sharda.ac.in</t>
  </si>
  <si>
    <t>Kushagra Singh</t>
  </si>
  <si>
    <t>2022007017.kushagra@ug.sharda.ac.in</t>
  </si>
  <si>
    <t>Gaurav .</t>
  </si>
  <si>
    <t>2022007457.gaurav@ug.sharda.ac.in</t>
  </si>
  <si>
    <t>Priyanshu Soni</t>
  </si>
  <si>
    <t>2022007731.priyanshu@ug.sharda.ac.in</t>
  </si>
  <si>
    <t>Chandan Kumar</t>
  </si>
  <si>
    <t>2022008050.chandan@ug.sharda.ac.in</t>
  </si>
  <si>
    <t>Ayaz Ahmad</t>
  </si>
  <si>
    <t>2022008263.ayaz@ug.sharda.ac.in</t>
  </si>
  <si>
    <t>Bilal Ansari</t>
  </si>
  <si>
    <t>2022314446.bilal@ug.sharda.ac.in</t>
  </si>
  <si>
    <t>Utkarsh Mishra</t>
  </si>
  <si>
    <t>2022316318.utkarsh@ug.sharda.ac.in</t>
  </si>
  <si>
    <t>Deependra Singh Shishodia</t>
  </si>
  <si>
    <t>2022340865.deependra@ug.sharda.ac.in</t>
  </si>
  <si>
    <t>Divyanshu Bisht</t>
  </si>
  <si>
    <t>2022342643.divyanshu@ug.sharda.ac.in</t>
  </si>
  <si>
    <t>Adarsh Lakhanpal</t>
  </si>
  <si>
    <t>2022386358.adarsh@ug.sharda.ac.in</t>
  </si>
  <si>
    <t>2022387999.aditya@ug.sharda.ac.in</t>
  </si>
  <si>
    <t>Naman Saini</t>
  </si>
  <si>
    <t>2022390387.naman@ug.sharda.ac.in</t>
  </si>
  <si>
    <t>Tanvir Singh</t>
  </si>
  <si>
    <t>2022401760.tanvir@ug.sharda.ac.in</t>
  </si>
  <si>
    <t>Sunny Kumar Singh</t>
  </si>
  <si>
    <t>2022463885.sunny@ug.sharda.ac.in</t>
  </si>
  <si>
    <t>Ranjan Kumar</t>
  </si>
  <si>
    <t>2022477888.ranjan@ug.sharda.ac.in</t>
  </si>
  <si>
    <t>Utsav Jain</t>
  </si>
  <si>
    <t>2022484153.utsav@ug.sharda.ac.in</t>
  </si>
  <si>
    <t>Manav Verma</t>
  </si>
  <si>
    <t>2022503936.manav@ug.sharda.ac.in</t>
  </si>
  <si>
    <t>Prabhat Parmar</t>
  </si>
  <si>
    <t>2022504250.prabhat@ug.sharda.ac.in</t>
  </si>
  <si>
    <t>Ayaz .</t>
  </si>
  <si>
    <t>2022506228.ayaz@ug.sharda.ac.in</t>
  </si>
  <si>
    <t>Navika Chauhan</t>
  </si>
  <si>
    <t>2022507071.navika@ug.sharda.ac.in</t>
  </si>
  <si>
    <t>Garv Ruhella</t>
  </si>
  <si>
    <t>2022509891.garv@ug.sharda.ac.in</t>
  </si>
  <si>
    <t>Akshi Dagar</t>
  </si>
  <si>
    <t>2022510612.akshi@ug.sharda.ac.in</t>
  </si>
  <si>
    <t>Md Naiyar Imam</t>
  </si>
  <si>
    <t>2022514039.md@ug.sharda.ac.in</t>
  </si>
  <si>
    <t>Md Jauhar Imam</t>
  </si>
  <si>
    <t>2022514043.md@ug.sharda.ac.in</t>
  </si>
  <si>
    <t>Vishakha Chauhan</t>
  </si>
  <si>
    <t>2022519978.vishakha@ug.sharda.ac.in</t>
  </si>
  <si>
    <t>Vanshit Wadhera</t>
  </si>
  <si>
    <t>2022522914.vanshit@ug.sharda.ac.in</t>
  </si>
  <si>
    <t>Arpan Garg</t>
  </si>
  <si>
    <t>2022523814.arpan@ug.sharda.ac.in</t>
  </si>
  <si>
    <t>Gopal Sharma</t>
  </si>
  <si>
    <t>2022536194.gopal@ug.sharda.ac.in</t>
  </si>
  <si>
    <t>Pratyush .</t>
  </si>
  <si>
    <t>2022594965.pratyush@ug.sharda.ac.in</t>
  </si>
  <si>
    <t>Chandra Shekhar Sati</t>
  </si>
  <si>
    <t>2021424420.chandra@ug.sharda.ac.in</t>
  </si>
  <si>
    <t>Mohd Saim</t>
  </si>
  <si>
    <t>2022006233.mohd@ug.sharda.ac.in</t>
  </si>
  <si>
    <t>Arfat Hussain</t>
  </si>
  <si>
    <t>2022505539.arfat@ug.sharda.ac.in</t>
  </si>
  <si>
    <t>Anurag Nishad</t>
  </si>
  <si>
    <t>2021455216.anurag@ug.sharda.ac.in</t>
  </si>
  <si>
    <t>Vedhanshu Singh</t>
  </si>
  <si>
    <t>2022003490.vedhanshu@ug.sharda.ac.in</t>
  </si>
  <si>
    <t>Prateek Singh</t>
  </si>
  <si>
    <t>2022003855.prateek@ug.sharda.ac.in</t>
  </si>
  <si>
    <t>Dakshesh Chaturvedi</t>
  </si>
  <si>
    <t>2022003898.dakshesh@ug.sharda.ac.in</t>
  </si>
  <si>
    <t>Neeraj Narwat</t>
  </si>
  <si>
    <t>2022004628.neeraj@ug.sharda.ac.in</t>
  </si>
  <si>
    <t>2022005319.ayush@ug.sharda.ac.in</t>
  </si>
  <si>
    <t>Sneha Sinha</t>
  </si>
  <si>
    <t>2022005556.sneha@ug.sharda.ac.in</t>
  </si>
  <si>
    <t>Rajeev .</t>
  </si>
  <si>
    <t>2022005894.rajeev@ug.sharda.ac.in</t>
  </si>
  <si>
    <t>Abhay Singh Tomar</t>
  </si>
  <si>
    <t>2022006231.abhay@ug.sharda.ac.in</t>
  </si>
  <si>
    <t>Vaibhav Bhatnagar</t>
  </si>
  <si>
    <t>2022006271.vaibhay@ug.sharda.ac.in</t>
  </si>
  <si>
    <t>Ankit .</t>
  </si>
  <si>
    <t>2022006824.ankit@ug.sharda.ac.in</t>
  </si>
  <si>
    <t>Bhagrajyoti Behera</t>
  </si>
  <si>
    <t>2022007628.bhagrajyoti@ug.sharda.ac.in</t>
  </si>
  <si>
    <t>Aryan Rana</t>
  </si>
  <si>
    <t>2022307102.aryan@ug.sharda.ac.in</t>
  </si>
  <si>
    <t>Aditi Negi</t>
  </si>
  <si>
    <t>2022310618.aditi@ug.sharda.ac.in</t>
  </si>
  <si>
    <t>Pranaav Bhatnagar</t>
  </si>
  <si>
    <t>2022313141.pranaav@ug.sharda.ac.in</t>
  </si>
  <si>
    <t>Kashvi Walia</t>
  </si>
  <si>
    <t>2022346529.kashvi@ug.sharda.ac.in</t>
  </si>
  <si>
    <t>Sourabh Singh</t>
  </si>
  <si>
    <t>2022350649.sourabh@ug.sharda.ac.in</t>
  </si>
  <si>
    <t>Veeragoni Chandu</t>
  </si>
  <si>
    <t>2022360934.veeragoni@ug.sharda.ac.in</t>
  </si>
  <si>
    <t>Hamzah .</t>
  </si>
  <si>
    <t>2022395985.hamzah@ug.sharda.ac.in</t>
  </si>
  <si>
    <t>Adarsh Banyal</t>
  </si>
  <si>
    <t>2022405514.adarsh@ug.sharda.ac.in</t>
  </si>
  <si>
    <t>Dushyant Kumar</t>
  </si>
  <si>
    <t>2022407190.dushyant@ug.sharda.ac.in</t>
  </si>
  <si>
    <t>Tridev Sharma</t>
  </si>
  <si>
    <t>2022439682.tridev@ug.sharda.ac.in</t>
  </si>
  <si>
    <t>Aryan Pal</t>
  </si>
  <si>
    <t>2022440656.aryan@ug.sharda.ac.in</t>
  </si>
  <si>
    <t>Alok Kumar Tiwari</t>
  </si>
  <si>
    <t>2022447404.alok@ug.sharda.ac.in</t>
  </si>
  <si>
    <t>Saransh Aggarwal</t>
  </si>
  <si>
    <t>2022447868.saransh@ug.sharda.ac.in</t>
  </si>
  <si>
    <t>Aryan Kumiyal</t>
  </si>
  <si>
    <t>2022466374.aryan@ug.sharda.ac.in</t>
  </si>
  <si>
    <t>Abhinav Rajpati</t>
  </si>
  <si>
    <t>2022473539.abhinav@ug.sharda.ac.in</t>
  </si>
  <si>
    <t>Ajay Pratap Singh</t>
  </si>
  <si>
    <t>2022474671.ajay@ug.sharda.ac.in</t>
  </si>
  <si>
    <t>Mukund Kumar Sharma</t>
  </si>
  <si>
    <t>2022476924.mukund@ug.sharda.ac.in</t>
  </si>
  <si>
    <t>Raghvendra Singh</t>
  </si>
  <si>
    <t>2022482472.raghvendra@ug.sharda.ac.in</t>
  </si>
  <si>
    <t>Aditya Kaushik</t>
  </si>
  <si>
    <t>2022484226.aditya@ug.sharda.ac.in</t>
  </si>
  <si>
    <t>Vibhas Dutta</t>
  </si>
  <si>
    <t>2022492708.vibhas@ug.sharda.ac.in</t>
  </si>
  <si>
    <t>Sahaam Javid Shah Misgar</t>
  </si>
  <si>
    <t>2022506566.sahaam@ug.sharda.ac.in</t>
  </si>
  <si>
    <t>Jatin Chaudhary</t>
  </si>
  <si>
    <t>2022508051.jatin@ug.sharda.ac.in</t>
  </si>
  <si>
    <t>Sameer Singh</t>
  </si>
  <si>
    <t>2022509145.sameer@ug.sharda.ac.in</t>
  </si>
  <si>
    <t>Pallawi Hansdak</t>
  </si>
  <si>
    <t>2022512684.pallawi@ug.sharda.ac.in</t>
  </si>
  <si>
    <t>Diwakar Pareek</t>
  </si>
  <si>
    <t>2022512685.diwakar@ug.sharda.ac.in</t>
  </si>
  <si>
    <t>Nikhil Raj</t>
  </si>
  <si>
    <t>2022515845.nikhil@ug.sharda.ac.in</t>
  </si>
  <si>
    <t>Hardik Saxena</t>
  </si>
  <si>
    <t>2022552126.hardik@ug.sharda.ac.in</t>
  </si>
  <si>
    <t>Khevender Singh</t>
  </si>
  <si>
    <t>2022570125.khevender@ug.sharda.ac.in</t>
  </si>
  <si>
    <t>Gannon Mossang</t>
  </si>
  <si>
    <t>2022572570.gannon@ug.sharda.ac.in</t>
  </si>
  <si>
    <t>Wend-Wooga Arthur Donald Konvelbo</t>
  </si>
  <si>
    <t>2022801912.wend-woogaarthurdonald@ug.sharda.ac.in</t>
  </si>
  <si>
    <t>Yibo Abraham Kevin Kini</t>
  </si>
  <si>
    <t>2022805927.yibo@ug.sharda.ac.in</t>
  </si>
  <si>
    <t>MD Nazmus Sakib</t>
  </si>
  <si>
    <t>2022806985.md@ug.sharda.ac.in</t>
  </si>
  <si>
    <t>Thirtho Raj Saha</t>
  </si>
  <si>
    <t>2022817674.thirtho@ug.sharda.ac.in</t>
  </si>
  <si>
    <t>Nishchal KC</t>
  </si>
  <si>
    <t>2022833430.nishchal@ug.sharda.ac.in</t>
  </si>
  <si>
    <t>Bidhan Lama</t>
  </si>
  <si>
    <t>2022836076.bidhan@ug.sharda.ac.in</t>
  </si>
  <si>
    <t>MD Nadim Mostofa</t>
  </si>
  <si>
    <t>2022836286.mdnadim@ug.sharda.ac.in</t>
  </si>
  <si>
    <t>Aatithya Bhandari</t>
  </si>
  <si>
    <t>2022837222.aatithya@ug.sharda.ac.in</t>
  </si>
  <si>
    <t>Soumya Sharma</t>
  </si>
  <si>
    <t>2022003992.soumya@ug.sharda.ac.in</t>
  </si>
  <si>
    <t>2021002535.chandra@ug.sharda.ac.in</t>
  </si>
  <si>
    <t>Akshat Verma</t>
  </si>
  <si>
    <t>2021365266.akshat@ug.sharda.ac.in</t>
  </si>
  <si>
    <t>nirupam rabha</t>
  </si>
  <si>
    <t>2021373851.nirupam@ug.sharda.ac.in</t>
  </si>
  <si>
    <t>Sonal Malhotra</t>
  </si>
  <si>
    <t>2022003733.sonal@ug.sharda.ac.in</t>
  </si>
  <si>
    <t>Tanu Yadav</t>
  </si>
  <si>
    <t>2022005013.tanu@ug.sharda.ac.in</t>
  </si>
  <si>
    <t>Prince Kumar Yadav</t>
  </si>
  <si>
    <t>2022005278.prince@ug.sharda.ac.in</t>
  </si>
  <si>
    <t>Devansh Joshi</t>
  </si>
  <si>
    <t>2022005712.devansh@ug.sharda.ac.in</t>
  </si>
  <si>
    <t>Anirudh Sharma</t>
  </si>
  <si>
    <t>2022005817.anirudh@ug.sharda.ac.in</t>
  </si>
  <si>
    <t>Bhupender Gautam</t>
  </si>
  <si>
    <t>2022005947.bhupender@ug.sharda.ac.in</t>
  </si>
  <si>
    <t>Ranya Riti</t>
  </si>
  <si>
    <t>2022006115.ranya@ug.sharda.ac.in</t>
  </si>
  <si>
    <t>Jeevansh Ahuja</t>
  </si>
  <si>
    <t>2022006563.jeevansh@ug.sharda.ac.in</t>
  </si>
  <si>
    <t>Raj Karan Singh</t>
  </si>
  <si>
    <t>2022006709.raj@ug.sharda.ac.in</t>
  </si>
  <si>
    <t>Nikhil Singh Chauhan</t>
  </si>
  <si>
    <t>2022006893.nikhil@ug.sharda.ac.in</t>
  </si>
  <si>
    <t>Mridul Mehta</t>
  </si>
  <si>
    <t>2022007037.mridul@ug.sharda.ac.in</t>
  </si>
  <si>
    <t>Srishti Singh Chauhan</t>
  </si>
  <si>
    <t>2022007474.srishti@ug.sharda.ac.in</t>
  </si>
  <si>
    <t>Kapil Gupta</t>
  </si>
  <si>
    <t>2022007789.kapil@ug.sharda.ac.in</t>
  </si>
  <si>
    <t>Harsh Vashistha</t>
  </si>
  <si>
    <t>2022008078.harsh@ug.sharda.ac.in</t>
  </si>
  <si>
    <t>Mohd Hashir</t>
  </si>
  <si>
    <t>2022008085.mohd@ug.sharda.ac.in</t>
  </si>
  <si>
    <t>Samiksha Sharma</t>
  </si>
  <si>
    <t>2022008217.samiksha@ug.sharda.ac.in</t>
  </si>
  <si>
    <t>Avishkar Yadav</t>
  </si>
  <si>
    <t>2022008317.avishkar@ug.sharda.ac.in</t>
  </si>
  <si>
    <t>Sujal Dev</t>
  </si>
  <si>
    <t>2022008331.sujal@ug.sharda.ac.in</t>
  </si>
  <si>
    <t>Ritu Raj</t>
  </si>
  <si>
    <t>2022307000.ritu@ug.sharda.ac.in</t>
  </si>
  <si>
    <t>Raj Kumar</t>
  </si>
  <si>
    <t>2022312671.raj@ug.sharda.ac.in</t>
  </si>
  <si>
    <t>Harshit Singh</t>
  </si>
  <si>
    <t>2022325712.harshit@ug.sharda.ac.in</t>
  </si>
  <si>
    <t>Ashish Kumar</t>
  </si>
  <si>
    <t>2022360832.ashish@ug.sharda.ac.in</t>
  </si>
  <si>
    <t>Manan Kaushik</t>
  </si>
  <si>
    <t>2022366544.manan@ug.sharda.ac.in</t>
  </si>
  <si>
    <t>Anurag Ranjan</t>
  </si>
  <si>
    <t>2022369167.anurag@ug.sharda.ac.in</t>
  </si>
  <si>
    <t>Pankaj Kumar</t>
  </si>
  <si>
    <t>2022404832.pankaj@ug.sharda.ac.in</t>
  </si>
  <si>
    <t>Akshat Thakur</t>
  </si>
  <si>
    <t>2022426354.akshat@ug.sharda.ac.in</t>
  </si>
  <si>
    <t>2022431018.mohd@ug.sharda.ac.in</t>
  </si>
  <si>
    <t>Varun Kumar</t>
  </si>
  <si>
    <t>2022432344.varun@ug.sharda.ac.in</t>
  </si>
  <si>
    <t>Piyush .</t>
  </si>
  <si>
    <t>2022434137.piyush@ug.sharda.ac.in</t>
  </si>
  <si>
    <t>Anubhav .</t>
  </si>
  <si>
    <t>2022435623.anubhav@ug.sharda.ac.in</t>
  </si>
  <si>
    <t>Mohammad Adnan</t>
  </si>
  <si>
    <t>2022438436.mohammad@ug.sharda.ac.in</t>
  </si>
  <si>
    <t>Priyanshu Kumar Giri</t>
  </si>
  <si>
    <t>2022439234.priyanshu@ug.sharda.ac.in</t>
  </si>
  <si>
    <t>Arbaaj Mansoori</t>
  </si>
  <si>
    <t>2022456042.arbaaj@ug.sharda.ac.in</t>
  </si>
  <si>
    <t>Manveer Kushwaha</t>
  </si>
  <si>
    <t>2022456058.manveer@ug.sharda.ac.in</t>
  </si>
  <si>
    <t>Sakshi Deo</t>
  </si>
  <si>
    <t>2022459247.sakshi@ug.sharda.ac.in</t>
  </si>
  <si>
    <t>Khushboo Kumari</t>
  </si>
  <si>
    <t>2022469633.khushboo@ug.sharda.ac.in</t>
  </si>
  <si>
    <t>Uma Chauhan</t>
  </si>
  <si>
    <t>2022477719.uma@ug.sharda.ac.in</t>
  </si>
  <si>
    <t>Piyush Shukla</t>
  </si>
  <si>
    <t>2022496362.piyush@ug.sharda.ac.in</t>
  </si>
  <si>
    <t>2022504700.aryan@ug.sharda.ac.in</t>
  </si>
  <si>
    <t>Akash Kumar Singh</t>
  </si>
  <si>
    <t>2022506579.akash@ug.sharda.ac.in</t>
  </si>
  <si>
    <t>Yashi Singh</t>
  </si>
  <si>
    <t>2022518973.yashi@ug.sharda.ac.in</t>
  </si>
  <si>
    <t>Priyansh Singhal</t>
  </si>
  <si>
    <t>2022529691.priyansh@ug.sharda.ac.in</t>
  </si>
  <si>
    <t>Arunoday Kumar</t>
  </si>
  <si>
    <t>2022539806.arunoday@ug.sharda.ac.in</t>
  </si>
  <si>
    <t>Utkarsh Anand</t>
  </si>
  <si>
    <t>2022565521.utkarsh@ug.sharda.ac.in</t>
  </si>
  <si>
    <t>Aditya Pandey</t>
  </si>
  <si>
    <t>2022573142.aditya@ug.sharda.ac.in</t>
  </si>
  <si>
    <t>Ram Kumar</t>
  </si>
  <si>
    <t>2022586591.ram@ug.sharda.ac.in</t>
  </si>
  <si>
    <t>2022617520.aditya@ug.sharda.ac.in</t>
  </si>
  <si>
    <t>Isha .</t>
  </si>
  <si>
    <t>2022618106.isha@ug.sharda.ac.in</t>
  </si>
  <si>
    <t>Urja Raj</t>
  </si>
  <si>
    <t>2022622988.urja@ug.sharda.ac.in</t>
  </si>
  <si>
    <t>Tummenye Amos Mwakasusa</t>
  </si>
  <si>
    <t>2022823509.tummenye@ug.sharda.ac.in</t>
  </si>
  <si>
    <t>Akim Tartisio Ramdan</t>
  </si>
  <si>
    <t>2022826376.akim@ug.sharda.ac.in</t>
  </si>
  <si>
    <t>Wasiullah Aman</t>
  </si>
  <si>
    <t>2022006597.wasiullah@ug.sharda.ac.in</t>
  </si>
  <si>
    <t>Tarun Patel</t>
  </si>
  <si>
    <t>Mohammad Aatif Quamre</t>
  </si>
  <si>
    <t>Aditi Tiwari</t>
  </si>
  <si>
    <t>Harshit Pandey</t>
  </si>
  <si>
    <t>B-Tech CSE-VI A</t>
  </si>
  <si>
    <t>B-Tech CSE (SPL)-VI M</t>
  </si>
  <si>
    <t>B-Tech CSE-VI B</t>
  </si>
  <si>
    <t>B-Tech CSE-VI C</t>
  </si>
  <si>
    <t>B-Tech CSE-VI D</t>
  </si>
  <si>
    <t>B-Tech CSE-VI E</t>
  </si>
  <si>
    <t>B-Tech CSE-VI G</t>
  </si>
  <si>
    <t>B-Tech CSE-VI F</t>
  </si>
  <si>
    <t>B-Tech CSE-VI H</t>
  </si>
  <si>
    <t>B-Tech CSE (SPL)-VI L</t>
  </si>
  <si>
    <t>B-Tech CSE (SPL)-VI J</t>
  </si>
  <si>
    <t>B-Tech CSE (SPL)-VI K</t>
  </si>
  <si>
    <t>B-Tech CSE (SPL)-VI N</t>
  </si>
  <si>
    <t>B-Tech CSE (SPL)-VI O</t>
  </si>
  <si>
    <t>Abhishek Chaudhary</t>
  </si>
  <si>
    <t>2021479763.abhishek@ug.sharda.ac.in</t>
  </si>
  <si>
    <t>New Section</t>
  </si>
  <si>
    <t>Ankit kumar</t>
  </si>
  <si>
    <t>Parent mail id</t>
  </si>
  <si>
    <t>contact number</t>
  </si>
  <si>
    <t>2021308861.ashutoshkumar@pt.sharda.ac.in</t>
  </si>
  <si>
    <t>9936777552</t>
  </si>
  <si>
    <t>2021529806.santosh@pt.sharda.ac.in</t>
  </si>
  <si>
    <t>9711552459</t>
  </si>
  <si>
    <t>2021828405.ramananda@pt.sharda.ac.in</t>
  </si>
  <si>
    <t>8130538380</t>
  </si>
  <si>
    <t>2021000009.asad@pt.sharda.ac.in</t>
  </si>
  <si>
    <t>9599543010</t>
  </si>
  <si>
    <t>2022579515.vijaykumar@pt.sharda.ac.in</t>
  </si>
  <si>
    <t>8826793887</t>
  </si>
  <si>
    <t>2022534811.rajeshkumar@pt.sharda.ac.in</t>
  </si>
  <si>
    <t>7319641049</t>
  </si>
  <si>
    <t>2022475156.dhananjay@pt.sharda.ac.in</t>
  </si>
  <si>
    <t>8789919805</t>
  </si>
  <si>
    <t>2022394343.anandsingh@pt.sharda.ac.in</t>
  </si>
  <si>
    <t>8126133363</t>
  </si>
  <si>
    <t>2022006308.asad@pt.sharda.ac.in</t>
  </si>
  <si>
    <t>7300577335</t>
  </si>
  <si>
    <t>2022438604.kundansingh@pt.sharda.ac.in</t>
  </si>
  <si>
    <t>8920297350</t>
  </si>
  <si>
    <t>2022521926.ghulamhassan@pt.sharda.ac.in</t>
  </si>
  <si>
    <t>8899544845</t>
  </si>
  <si>
    <t>2022325232.latesuneet@pt.sharda.ac.in</t>
  </si>
  <si>
    <t>9717628588</t>
  </si>
  <si>
    <t>2022305905.sanjeev@pt.sharda.ac.in</t>
  </si>
  <si>
    <t>9311273352</t>
  </si>
  <si>
    <t>2022411800.mdrezaulhaque@pt.sharda.ac.in</t>
  </si>
  <si>
    <t>9801182652</t>
  </si>
  <si>
    <t>2022503298.jitendra@pt.sharda.ac.in</t>
  </si>
  <si>
    <t>8287518828</t>
  </si>
  <si>
    <t>2022476255.sanjeev@pt.sharda.ac.in</t>
  </si>
  <si>
    <t>8700745527</t>
  </si>
  <si>
    <t>2022501762.aseem@pt.sharda.ac.in</t>
  </si>
  <si>
    <t>8585945645</t>
  </si>
  <si>
    <t>2022002689.prempal@pt.sharda.ac.in</t>
  </si>
  <si>
    <t>8445090264</t>
  </si>
  <si>
    <t>2022004863.rajeev@pt.sharda.ac.in</t>
  </si>
  <si>
    <t>9811299803</t>
  </si>
  <si>
    <t>2022526514.mohd@pt.sharda.ac.in</t>
  </si>
  <si>
    <t>9582995581</t>
  </si>
  <si>
    <t>2022429026.mustak@pt.sharda.ac.in</t>
  </si>
  <si>
    <t>8755495604</t>
  </si>
  <si>
    <t>2022518370.premkumar@pt.sharda.ac.in</t>
  </si>
  <si>
    <t>9625306997</t>
  </si>
  <si>
    <t>2022437668.arvindkumar@pt.sharda.ac.in</t>
  </si>
  <si>
    <t>8279969497</t>
  </si>
  <si>
    <t>2022513603.pulle@pt.sharda.ac.in</t>
  </si>
  <si>
    <t>9542009934</t>
  </si>
  <si>
    <t>2022497991.mahender@pt.sharda.ac.in</t>
  </si>
  <si>
    <t>7291063223</t>
  </si>
  <si>
    <t>2022563106.sanjaykumar@pt.sharda.ac.in</t>
  </si>
  <si>
    <t>8929565652</t>
  </si>
  <si>
    <t>2022506102.santoshkumar@pt.sharda.ac.in</t>
  </si>
  <si>
    <t>8887501600</t>
  </si>
  <si>
    <t>2022478036.ajay@pt.sharda.ac.in</t>
  </si>
  <si>
    <t>9358584820</t>
  </si>
  <si>
    <t>2022344264.krishna@pt.sharda.ac.in</t>
  </si>
  <si>
    <t>9899045081</t>
  </si>
  <si>
    <t>2022004547.sanjay@pt.sharda.ac.in</t>
  </si>
  <si>
    <t>7011428007</t>
  </si>
  <si>
    <t>2022438521.lateshankar@pt.sharda.ac.in</t>
  </si>
  <si>
    <t>7979996286</t>
  </si>
  <si>
    <t>2022006789.kishan@pt.sharda.ac.in</t>
  </si>
  <si>
    <t>8750854190</t>
  </si>
  <si>
    <t>2022472720.brijmohan@pt.sharda.ac.in</t>
  </si>
  <si>
    <t>9458354480</t>
  </si>
  <si>
    <t>2022577110.udayshankar@pt.sharda.ac.in</t>
  </si>
  <si>
    <t>9508885660</t>
  </si>
  <si>
    <t>2022432518.pramodkumar@pt.sharda.ac.in</t>
  </si>
  <si>
    <t>7983413394</t>
  </si>
  <si>
    <t>2022512360.ramprasad@pt.sharda.ac.in</t>
  </si>
  <si>
    <t>7651937775</t>
  </si>
  <si>
    <t>2022004756.manish@pt.sharda.ac.in</t>
  </si>
  <si>
    <t>8439840461</t>
  </si>
  <si>
    <t>2022520978.abhijit@pt.sharda.ac.in</t>
  </si>
  <si>
    <t>7080050607</t>
  </si>
  <si>
    <t>2022003913.nazirahmad@pt.sharda.ac.in</t>
  </si>
  <si>
    <t>7006837134</t>
  </si>
  <si>
    <t>2022006898.pawan@pt.sharda.ac.in</t>
  </si>
  <si>
    <t>7428943713</t>
  </si>
  <si>
    <t>2022517301.ajayakumar@pt.sharda.ac.in</t>
  </si>
  <si>
    <t>9006595003</t>
  </si>
  <si>
    <t>2022534653.arshad@pt.sharda.ac.in</t>
  </si>
  <si>
    <t>7079289030</t>
  </si>
  <si>
    <t>2022452189.jankisharan@pt.sharda.ac.in</t>
  </si>
  <si>
    <t>8878530472</t>
  </si>
  <si>
    <t>2022006072.niranjan@pt.sharda.ac.in</t>
  </si>
  <si>
    <t>8811995780</t>
  </si>
  <si>
    <t>2022518505.sandeep@pt.sharda.ac.in</t>
  </si>
  <si>
    <t>9536903232</t>
  </si>
  <si>
    <t>2022006613.parth@pt.sharda.ac.in</t>
  </si>
  <si>
    <t>7004207327</t>
  </si>
  <si>
    <t>2022007518.sandeep@pt.sharda.ac.in</t>
  </si>
  <si>
    <t>8744095807</t>
  </si>
  <si>
    <t>2022007615.pankajkumar@pt.sharda.ac.in</t>
  </si>
  <si>
    <t>9910105985</t>
  </si>
  <si>
    <t>2022007629.janesh@pt.sharda.ac.in</t>
  </si>
  <si>
    <t>8860855324</t>
  </si>
  <si>
    <t>2022007684.swadesh@pt.sharda.ac.in</t>
  </si>
  <si>
    <t>9058956922</t>
  </si>
  <si>
    <t>2022007720.jaiprakash@pt.sharda.ac.in</t>
  </si>
  <si>
    <t>9457526385</t>
  </si>
  <si>
    <t>2022545040.brajesh@pt.sharda.ac.in</t>
  </si>
  <si>
    <t>6207194108</t>
  </si>
  <si>
    <t>2022565552.sushil@pt.sharda.ac.in</t>
  </si>
  <si>
    <t>8709884394</t>
  </si>
  <si>
    <t>2022583301.anuj@pt.sharda.ac.in</t>
  </si>
  <si>
    <t>8090322789</t>
  </si>
  <si>
    <t>2022592906.samdershi@pt.sharda.ac.in</t>
  </si>
  <si>
    <t>9799320169</t>
  </si>
  <si>
    <t>2022596015.manoj@pt.sharda.ac.in</t>
  </si>
  <si>
    <t>9122808279</t>
  </si>
  <si>
    <t>2022609610.ajay@pt.sharda.ac.in</t>
  </si>
  <si>
    <t>7033292805</t>
  </si>
  <si>
    <t>2022837427.kanhaiyalal@pt.sharda.ac.in</t>
  </si>
  <si>
    <t>977 9813003131</t>
  </si>
  <si>
    <t>2023248088.ch@pt.sharda.ac.in</t>
  </si>
  <si>
    <t>9013572298</t>
  </si>
  <si>
    <t>2023583466.prakash@pt.sharda.ac.in</t>
  </si>
  <si>
    <t>7479301653</t>
  </si>
  <si>
    <t>2023524672.sunil@pt.sharda.ac.in</t>
  </si>
  <si>
    <t>8368285187</t>
  </si>
  <si>
    <t>2023500162.roshan@pt.sharda.ac.in</t>
  </si>
  <si>
    <t>9305783117</t>
  </si>
  <si>
    <t>2021479763.virendra@pt.sharda.ac.in</t>
  </si>
  <si>
    <t>2021378869.lakshmipati@pt.sharda.ac.in</t>
  </si>
  <si>
    <t>7718237260</t>
  </si>
  <si>
    <t>2021420120.shahid@pt.sharda.ac.in</t>
  </si>
  <si>
    <t>7417337133</t>
  </si>
  <si>
    <t>2021003785.lalitkumar@pt.sharda.ac.in</t>
  </si>
  <si>
    <t>9871907908</t>
  </si>
  <si>
    <t>2022003574.rupesh@pt.sharda.ac.in</t>
  </si>
  <si>
    <t>9971308744</t>
  </si>
  <si>
    <t>2022360529.harishchandra@pt.sharda.ac.in</t>
  </si>
  <si>
    <t>7300965989</t>
  </si>
  <si>
    <t>2022538932.chandrej@pt.sharda.ac.in</t>
  </si>
  <si>
    <t>9625789885</t>
  </si>
  <si>
    <t>2022002787.ramprakash@pt.sharda.ac.in</t>
  </si>
  <si>
    <t>8707433483</t>
  </si>
  <si>
    <t>2022005229.sohanlal@pt.sharda.ac.in</t>
  </si>
  <si>
    <t>7827845687</t>
  </si>
  <si>
    <t>2022419571.sanjaybharat@pt.sharda.ac.in</t>
  </si>
  <si>
    <t>9779994998</t>
  </si>
  <si>
    <t>2022433389.bollanvssambasiva@pt.sharda.ac.in</t>
  </si>
  <si>
    <t>9492465566</t>
  </si>
  <si>
    <t>2022002578.bibhutibhushan@pt.sharda.ac.in</t>
  </si>
  <si>
    <t>7735324362</t>
  </si>
  <si>
    <t>2022005228.sampurnanand@pt.sharda.ac.in</t>
  </si>
  <si>
    <t>9267929004</t>
  </si>
  <si>
    <t>2022349970.manzoor@pt.sharda.ac.in</t>
  </si>
  <si>
    <t>9873222919</t>
  </si>
  <si>
    <t>2022565603.mohammad@pt.sharda.ac.in</t>
  </si>
  <si>
    <t>9906660583</t>
  </si>
  <si>
    <t>2022804425.ismail@pt.sharda.ac.in</t>
  </si>
  <si>
    <t>91 9711260822</t>
  </si>
  <si>
    <t>2022003231.ashok@pt.sharda.ac.in</t>
  </si>
  <si>
    <t>9670105704</t>
  </si>
  <si>
    <t>2022004681.ganeshsingh@pt.sharda.ac.in</t>
  </si>
  <si>
    <t>9311608930</t>
  </si>
  <si>
    <t>2022455169.vishal@pt.sharda.ac.in</t>
  </si>
  <si>
    <t>8429045577</t>
  </si>
  <si>
    <t>2022507647.dinesh@pt.sharda.ac.in</t>
  </si>
  <si>
    <t>8448777978</t>
  </si>
  <si>
    <t>2022384000.pramodkumar@pt.sharda.ac.in</t>
  </si>
  <si>
    <t>7011772322</t>
  </si>
  <si>
    <t>2022462273.daulat@pt.sharda.ac.in</t>
  </si>
  <si>
    <t>9891452413</t>
  </si>
  <si>
    <t>2022308623.muneshwar@pt.sharda.ac.in</t>
  </si>
  <si>
    <t>9113385495</t>
  </si>
  <si>
    <t>2022310930.charan@pt.sharda.ac.in</t>
  </si>
  <si>
    <t>9639101430</t>
  </si>
  <si>
    <t>2022532088.kripal@pt.sharda.ac.in</t>
  </si>
  <si>
    <t>9319342611</t>
  </si>
  <si>
    <t>2022355780.musharrf@pt.sharda.ac.in</t>
  </si>
  <si>
    <t>9582959385</t>
  </si>
  <si>
    <t>2022408542.ashiq@pt.sharda.ac.in</t>
  </si>
  <si>
    <t>8795503584</t>
  </si>
  <si>
    <t>2022486143.mohdmahmood@pt.sharda.ac.in</t>
  </si>
  <si>
    <t>9997228919</t>
  </si>
  <si>
    <t>2022001475.mohd@pt.sharda.ac.in</t>
  </si>
  <si>
    <t>7291885856</t>
  </si>
  <si>
    <t>2022368285.sanjay@pt.sharda.ac.in</t>
  </si>
  <si>
    <t>7060524955</t>
  </si>
  <si>
    <t>2022005715.ashok@pt.sharda.ac.in</t>
  </si>
  <si>
    <t>7838600901</t>
  </si>
  <si>
    <t>2022504837.pradeepkumar@pt.sharda.ac.in</t>
  </si>
  <si>
    <t>9938101244</t>
  </si>
  <si>
    <t>2022413491.ashish@pt.sharda.ac.in</t>
  </si>
  <si>
    <t>9315976587</t>
  </si>
  <si>
    <t>2022550696.kedar@pt.sharda.ac.in</t>
  </si>
  <si>
    <t>9805516702</t>
  </si>
  <si>
    <t>2022492018.ashokprasad@pt.sharda.ac.in</t>
  </si>
  <si>
    <t>8235853597</t>
  </si>
  <si>
    <t>2022520753.rb@pt.sharda.ac.in</t>
  </si>
  <si>
    <t>9660767694</t>
  </si>
  <si>
    <t>2022536903.rakesh@pt.sharda.ac.in</t>
  </si>
  <si>
    <t>6232679748</t>
  </si>
  <si>
    <t>2022472521.pitamsingh@pt.sharda.ac.in</t>
  </si>
  <si>
    <t>8077924011</t>
  </si>
  <si>
    <t>2022441764.uttam@pt.sharda.ac.in</t>
  </si>
  <si>
    <t>7011672041</t>
  </si>
  <si>
    <t>2022004682.kaushlendra@pt.sharda.ac.in</t>
  </si>
  <si>
    <t>7086103151</t>
  </si>
  <si>
    <t>2022002703.amar@pt.sharda.ac.in</t>
  </si>
  <si>
    <t>9773958121</t>
  </si>
  <si>
    <t>2022001659.harindra@pt.sharda.ac.in</t>
  </si>
  <si>
    <t>8368169523</t>
  </si>
  <si>
    <t>2022002786.durgesh@pt.sharda.ac.in</t>
  </si>
  <si>
    <t>6388775326</t>
  </si>
  <si>
    <t>2022437700.santosh@pt.sharda.ac.in</t>
  </si>
  <si>
    <t>9917060828</t>
  </si>
  <si>
    <t>2022001846.narendra@pt.sharda.ac.in</t>
  </si>
  <si>
    <t>6307068781</t>
  </si>
  <si>
    <t>2022461609.pushpendra@pt.sharda.ac.in</t>
  </si>
  <si>
    <t>8171454014</t>
  </si>
  <si>
    <t>2022559074.harindra@pt.sharda.ac.in</t>
  </si>
  <si>
    <t>8957910748</t>
  </si>
  <si>
    <t>2022545204.vinitkumar@pt.sharda.ac.in</t>
  </si>
  <si>
    <t>7992322057</t>
  </si>
  <si>
    <t>2022473978.haribansh@pt.sharda.ac.in</t>
  </si>
  <si>
    <t>8528324138</t>
  </si>
  <si>
    <t>2022470797.pushpendra@pt.sharda.ac.in</t>
  </si>
  <si>
    <t>8630299246</t>
  </si>
  <si>
    <t>2022415397.dharmendra@pt.sharda.ac.in</t>
  </si>
  <si>
    <t>6299651541</t>
  </si>
  <si>
    <t>2022004909.sajidmahammad@pt.sharda.ac.in</t>
  </si>
  <si>
    <t>9729927709</t>
  </si>
  <si>
    <t>2022003923.muzaffarjan@pt.sharda.ac.in</t>
  </si>
  <si>
    <t>7006813062</t>
  </si>
  <si>
    <t>2022006973.arwind@pt.sharda.ac.in</t>
  </si>
  <si>
    <t>7294102434</t>
  </si>
  <si>
    <t>2022007308.kaushalkishore@pt.sharda.ac.in</t>
  </si>
  <si>
    <t>9310027574</t>
  </si>
  <si>
    <t>2022008336.mahmoudam@pt.sharda.ac.in</t>
  </si>
  <si>
    <t>0091 9958658295</t>
  </si>
  <si>
    <t>2022402175.sandeep@pt.sharda.ac.in</t>
  </si>
  <si>
    <t>9125623998</t>
  </si>
  <si>
    <t>2022615611.syedashiq@pt.sharda.ac.in</t>
  </si>
  <si>
    <t>7006541442</t>
  </si>
  <si>
    <t>2022624448.gorelal@pt.sharda.ac.in</t>
  </si>
  <si>
    <t>9693543744</t>
  </si>
  <si>
    <t>2022831961.alokbrata@pt.sharda.ac.in</t>
  </si>
  <si>
    <t>91 9990596179</t>
  </si>
  <si>
    <t>2022836161.apurba@pt.sharda.ac.in</t>
  </si>
  <si>
    <t>91 9674775066</t>
  </si>
  <si>
    <t>2023526347.pravendra@pt.sharda.ac.in</t>
  </si>
  <si>
    <t>9639357428</t>
  </si>
  <si>
    <t>2021463218.sushanta@pt.sharda.ac.in</t>
  </si>
  <si>
    <t>9832307047</t>
  </si>
  <si>
    <t>2022509625.bhuwanchandra@pt.sharda.ac.in</t>
  </si>
  <si>
    <t>9873301731</t>
  </si>
  <si>
    <t>2022344459.foraj@pt.sharda.ac.in</t>
  </si>
  <si>
    <t>6002934584</t>
  </si>
  <si>
    <t>2022448509.chandraprakash@pt.sharda.ac.in</t>
  </si>
  <si>
    <t>9044002858</t>
  </si>
  <si>
    <t>2022480934.sanjivkumar@pt.sharda.ac.in</t>
  </si>
  <si>
    <t>9412810713</t>
  </si>
  <si>
    <t>2022000982.mdafroz@pt.sharda.ac.in</t>
  </si>
  <si>
    <t>8929586849</t>
  </si>
  <si>
    <t>2022506074.rajeev@pt.sharda.ac.in</t>
  </si>
  <si>
    <t>8595724282</t>
  </si>
  <si>
    <t>2022446378.arun@pt.sharda.ac.in</t>
  </si>
  <si>
    <t>6201817713</t>
  </si>
  <si>
    <t>2022462663.naurang@pt.sharda.ac.in</t>
  </si>
  <si>
    <t>9350536399</t>
  </si>
  <si>
    <t>2022487133.bhudeo@pt.sharda.ac.in</t>
  </si>
  <si>
    <t>7253008620</t>
  </si>
  <si>
    <t>2022476992.ram@pt.sharda.ac.in</t>
  </si>
  <si>
    <t>7007382747</t>
  </si>
  <si>
    <t>2022482951.bobinder@pt.sharda.ac.in</t>
  </si>
  <si>
    <t>8439358060</t>
  </si>
  <si>
    <t>2022441875.rajesh@pt.sharda.ac.in</t>
  </si>
  <si>
    <t>8766227298</t>
  </si>
  <si>
    <t>2022472005.arunkumar@pt.sharda.ac.in</t>
  </si>
  <si>
    <t>8434862779</t>
  </si>
  <si>
    <t>2022004703.mangala@pt.sharda.ac.in</t>
  </si>
  <si>
    <t>7428770861</t>
  </si>
  <si>
    <t>2022301943.b@pt.sharda.ac.in</t>
  </si>
  <si>
    <t>9205507667</t>
  </si>
  <si>
    <t>2022004442.ehtasham@pt.sharda.ac.in</t>
  </si>
  <si>
    <t>9958225120</t>
  </si>
  <si>
    <t>2022480728.md@pt.sharda.ac.in</t>
  </si>
  <si>
    <t>9717511182</t>
  </si>
  <si>
    <t>2022512176.surendrapal@pt.sharda.ac.in</t>
  </si>
  <si>
    <t>9818358499</t>
  </si>
  <si>
    <t>2022497340.sk@pt.sharda.ac.in</t>
  </si>
  <si>
    <t>9128944978</t>
  </si>
  <si>
    <t>2022815775.haziqsayeed@pt.sharda.ac.in</t>
  </si>
  <si>
    <t>9773621064</t>
  </si>
  <si>
    <t>2022824586.msumi@pt.sharda.ac.in</t>
  </si>
  <si>
    <t>960012907</t>
  </si>
  <si>
    <t>2022504261.arunkumar@pt.sharda.ac.in</t>
  </si>
  <si>
    <t>8797904778</t>
  </si>
  <si>
    <t>2022472932.ravinder@pt.sharda.ac.in</t>
  </si>
  <si>
    <t>9310501448</t>
  </si>
  <si>
    <t>2022807476.williams@pt.sharda.ac.in</t>
  </si>
  <si>
    <t>8794720814</t>
  </si>
  <si>
    <t>2022005582.praveenkumar@pt.sharda.ac.in</t>
  </si>
  <si>
    <t>8383846696</t>
  </si>
  <si>
    <t>2022003695.anup@pt.sharda.ac.in</t>
  </si>
  <si>
    <t>7903443437</t>
  </si>
  <si>
    <t>2022372515.virendra@pt.sharda.ac.in</t>
  </si>
  <si>
    <t>8409635355</t>
  </si>
  <si>
    <t>2022506127.prasantakumar@pt.sharda.ac.in</t>
  </si>
  <si>
    <t>9315709293</t>
  </si>
  <si>
    <t>2022005818.deepakkumar@pt.sharda.ac.in</t>
  </si>
  <si>
    <t>8882946326</t>
  </si>
  <si>
    <t>2022506580.ramchandra@pt.sharda.ac.in</t>
  </si>
  <si>
    <t>6200734740</t>
  </si>
  <si>
    <t>2022306733.tasaduqahmad@pt.sharda.ac.in</t>
  </si>
  <si>
    <t>9149764797</t>
  </si>
  <si>
    <t>2022463682.deviprasad@pt.sharda.ac.in</t>
  </si>
  <si>
    <t>8368486434</t>
  </si>
  <si>
    <t>2022306401.naveen@pt.sharda.ac.in</t>
  </si>
  <si>
    <t>8595590409</t>
  </si>
  <si>
    <t>2022359008.atul@pt.sharda.ac.in</t>
  </si>
  <si>
    <t>8218723077</t>
  </si>
  <si>
    <t>2022004737.sudhir@pt.sharda.ac.in</t>
  </si>
  <si>
    <t>8700933859</t>
  </si>
  <si>
    <t>2022004675.manish@pt.sharda.ac.in</t>
  </si>
  <si>
    <t>9199424192</t>
  </si>
  <si>
    <t>2022478479.satendra@pt.sharda.ac.in</t>
  </si>
  <si>
    <t>9311867527</t>
  </si>
  <si>
    <t>2022502729.brijmohan@pt.sharda.ac.in</t>
  </si>
  <si>
    <t>9334319291</t>
  </si>
  <si>
    <t>2022481225.umeshkumar@pt.sharda.ac.in</t>
  </si>
  <si>
    <t>8271470307</t>
  </si>
  <si>
    <t>2022437807.arvind@pt.sharda.ac.in</t>
  </si>
  <si>
    <t>8742919690</t>
  </si>
  <si>
    <t>2022005275.vijendra@pt.sharda.ac.in</t>
  </si>
  <si>
    <t>8787096109</t>
  </si>
  <si>
    <t>2022506607.shyamnath@pt.sharda.ac.in</t>
  </si>
  <si>
    <t>7903140320</t>
  </si>
  <si>
    <t>2022414495.anil@pt.sharda.ac.in</t>
  </si>
  <si>
    <t>8929988090</t>
  </si>
  <si>
    <t>2022005992.harish@pt.sharda.ac.in</t>
  </si>
  <si>
    <t>9318402815</t>
  </si>
  <si>
    <t>2022002431.manjesh@pt.sharda.ac.in</t>
  </si>
  <si>
    <t>8851522509</t>
  </si>
  <si>
    <t>2022005567.rajneeshkumar@pt.sharda.ac.in</t>
  </si>
  <si>
    <t>9415690996</t>
  </si>
  <si>
    <t>2022418998.inder@pt.sharda.ac.in</t>
  </si>
  <si>
    <t>8076622787</t>
  </si>
  <si>
    <t>2022307471.laxminarayan@pt.sharda.ac.in</t>
  </si>
  <si>
    <t>6394434558</t>
  </si>
  <si>
    <t>2022005062.varunpratap@pt.sharda.ac.in</t>
  </si>
  <si>
    <t>9058561411</t>
  </si>
  <si>
    <t>2022003889.subhash@pt.sharda.ac.in</t>
  </si>
  <si>
    <t>9034265709</t>
  </si>
  <si>
    <t>2022511135.ajaykumar@pt.sharda.ac.in</t>
  </si>
  <si>
    <t>8887729889</t>
  </si>
  <si>
    <t>2022004757.pramod@pt.sharda.ac.in</t>
  </si>
  <si>
    <t>8210881736</t>
  </si>
  <si>
    <t>2022498812.mukesh@pt.sharda.ac.in</t>
  </si>
  <si>
    <t>9910261441</t>
  </si>
  <si>
    <t>2022527904.tarkeshwarprasad@pt.sharda.ac.in</t>
  </si>
  <si>
    <t>7001523353</t>
  </si>
  <si>
    <t>2022006361.shyamanand@pt.sharda.ac.in</t>
  </si>
  <si>
    <t>9576657850</t>
  </si>
  <si>
    <t>2022006932.avdesh@pt.sharda.ac.in</t>
  </si>
  <si>
    <t>9310460810</t>
  </si>
  <si>
    <t>2022007788.ajay@pt.sharda.ac.in</t>
  </si>
  <si>
    <t>8235930751</t>
  </si>
  <si>
    <t>2022505059.ashok@pt.sharda.ac.in</t>
  </si>
  <si>
    <t>7903070334</t>
  </si>
  <si>
    <t>2022591631.ajitkumar@pt.sharda.ac.in</t>
  </si>
  <si>
    <t>7979841252</t>
  </si>
  <si>
    <t>2022608746.sachin@pt.sharda.ac.in</t>
  </si>
  <si>
    <t>9068356626</t>
  </si>
  <si>
    <t>2022614550.raikindi@pt.sharda.ac.in</t>
  </si>
  <si>
    <t>8639664896</t>
  </si>
  <si>
    <t>2023322783.mr@pt.sharda.ac.in</t>
  </si>
  <si>
    <t>9027213643</t>
  </si>
  <si>
    <t>2023263567.arun@pt.sharda.ac.in</t>
  </si>
  <si>
    <t>8092097291</t>
  </si>
  <si>
    <t>2023205860.shrikant@pt.sharda.ac.in</t>
  </si>
  <si>
    <t>8651305726</t>
  </si>
  <si>
    <t>2022508346.anil@pt.sharda.ac.in</t>
  </si>
  <si>
    <t>7505018957</t>
  </si>
  <si>
    <t>2022552819.d.k@pt.sharda.ac.in</t>
  </si>
  <si>
    <t>8077831479</t>
  </si>
  <si>
    <t>2022469915.kailash@pt.sharda.ac.in</t>
  </si>
  <si>
    <t>8700390171</t>
  </si>
  <si>
    <t>2022410342.shriprakash@pt.sharda.ac.in</t>
  </si>
  <si>
    <t>9122841000</t>
  </si>
  <si>
    <t>2022405479.arvindkumar@pt.sharda.ac.in</t>
  </si>
  <si>
    <t>9936616269</t>
  </si>
  <si>
    <t>2022448964.rakesh@pt.sharda.ac.in</t>
  </si>
  <si>
    <t>8521759941</t>
  </si>
  <si>
    <t>2022516410.manoj@pt.sharda.ac.in</t>
  </si>
  <si>
    <t>7717742710</t>
  </si>
  <si>
    <t>2022433429.manoj@pt.sharda.ac.in</t>
  </si>
  <si>
    <t>8869839030</t>
  </si>
  <si>
    <t>2022544781.chandrashekhar@pt.sharda.ac.in</t>
  </si>
  <si>
    <t>9204633508</t>
  </si>
  <si>
    <t>2022413603.chnachal@pt.sharda.ac.in</t>
  </si>
  <si>
    <t>7895527454</t>
  </si>
  <si>
    <t>2022531916.anoj@pt.sharda.ac.in</t>
  </si>
  <si>
    <t>6204638315</t>
  </si>
  <si>
    <t>2022519020.chhedi@pt.sharda.ac.in</t>
  </si>
  <si>
    <t>9161767047</t>
  </si>
  <si>
    <t>2022528415.gaurav@pt.sharda.ac.in</t>
  </si>
  <si>
    <t>2022003287.chandraveer@pt.sharda.ac.in</t>
  </si>
  <si>
    <t>9119729502</t>
  </si>
  <si>
    <t>2022514536.brij@pt.sharda.ac.in</t>
  </si>
  <si>
    <t>9772621230</t>
  </si>
  <si>
    <t>2022481431.ashish@pt.sharda.ac.in</t>
  </si>
  <si>
    <t>8271442413</t>
  </si>
  <si>
    <t>2022497244.anwar@pt.sharda.ac.in</t>
  </si>
  <si>
    <t>8630446523</t>
  </si>
  <si>
    <t>2022000239.shahbuddin@pt.sharda.ac.in</t>
  </si>
  <si>
    <t>9355642786</t>
  </si>
  <si>
    <t>2022003691.jitendra@pt.sharda.ac.in</t>
  </si>
  <si>
    <t>9368976764</t>
  </si>
  <si>
    <t>2022540214.haribhajan@pt.sharda.ac.in</t>
  </si>
  <si>
    <t>8210055072</t>
  </si>
  <si>
    <t>2022413331.charansingh@pt.sharda.ac.in</t>
  </si>
  <si>
    <t>9528799256</t>
  </si>
  <si>
    <t>2022005252.sunil@pt.sharda.ac.in</t>
  </si>
  <si>
    <t>9548484695</t>
  </si>
  <si>
    <t>2022006470.jaiprakash@pt.sharda.ac.in</t>
  </si>
  <si>
    <t>9263230458</t>
  </si>
  <si>
    <t>2022484179.pramodkumar@pt.sharda.ac.in</t>
  </si>
  <si>
    <t>9304389808</t>
  </si>
  <si>
    <t>2022469745.bharat@pt.sharda.ac.in</t>
  </si>
  <si>
    <t>7678437824</t>
  </si>
  <si>
    <t>2022005495.pradeep@pt.sharda.ac.in</t>
  </si>
  <si>
    <t>8826755885</t>
  </si>
  <si>
    <t>2022567867.ajitkumar@pt.sharda.ac.in</t>
  </si>
  <si>
    <t>9721049602</t>
  </si>
  <si>
    <t>2022395723.neeraj@pt.sharda.ac.in</t>
  </si>
  <si>
    <t>9873045302</t>
  </si>
  <si>
    <t>2022515249.mukesh@pt.sharda.ac.in</t>
  </si>
  <si>
    <t>9129848274</t>
  </si>
  <si>
    <t>2022369814.jai@pt.sharda.ac.in</t>
  </si>
  <si>
    <t>8923735824</t>
  </si>
  <si>
    <t>2022517877.mehboob@pt.sharda.ac.in</t>
  </si>
  <si>
    <t>8218268108</t>
  </si>
  <si>
    <t>2022366848.mohammad@pt.sharda.ac.in</t>
  </si>
  <si>
    <t>7505115911</t>
  </si>
  <si>
    <t>2022003834.mohd@pt.sharda.ac.in</t>
  </si>
  <si>
    <t>7037612173</t>
  </si>
  <si>
    <t>2022808929.sanjeetkumar@pt.sharda.ac.in</t>
  </si>
  <si>
    <t>9812369000</t>
  </si>
  <si>
    <t>2022541296.mdagsar@pt.sharda.ac.in</t>
  </si>
  <si>
    <t>6367679744</t>
  </si>
  <si>
    <t>2022544783.ramkumar@pt.sharda.ac.in</t>
  </si>
  <si>
    <t>6203504840</t>
  </si>
  <si>
    <t>2022346624.amresh@pt.sharda.ac.in</t>
  </si>
  <si>
    <t>7007466990</t>
  </si>
  <si>
    <t>2022443216.ajit@pt.sharda.ac.in</t>
  </si>
  <si>
    <t>8252780783</t>
  </si>
  <si>
    <t>2022474990.manish@pt.sharda.ac.in</t>
  </si>
  <si>
    <t>9760197197</t>
  </si>
  <si>
    <t>2022312023.ramesh@pt.sharda.ac.in</t>
  </si>
  <si>
    <t>8955060862</t>
  </si>
  <si>
    <t>2022448095.rameshkumar@pt.sharda.ac.in</t>
  </si>
  <si>
    <t>9120743440</t>
  </si>
  <si>
    <t>2022526985.rajeshkumar@pt.sharda.ac.in</t>
  </si>
  <si>
    <t>9569076557</t>
  </si>
  <si>
    <t>2022404040.jitendra@pt.sharda.ac.in</t>
  </si>
  <si>
    <t>9368171807</t>
  </si>
  <si>
    <t>2022004280.deepak@pt.sharda.ac.in</t>
  </si>
  <si>
    <t>9878949921</t>
  </si>
  <si>
    <t>2022501361.rajiv@pt.sharda.ac.in</t>
  </si>
  <si>
    <t>8809669347</t>
  </si>
  <si>
    <t>2022452725.rajendra@pt.sharda.ac.in</t>
  </si>
  <si>
    <t>9627722971</t>
  </si>
  <si>
    <t>2022001775.samarjeet@pt.sharda.ac.in</t>
  </si>
  <si>
    <t>8292258424</t>
  </si>
  <si>
    <t>2022475752.vijendra@pt.sharda.ac.in</t>
  </si>
  <si>
    <t>9413593360</t>
  </si>
  <si>
    <t>2022526278.kuldeepraj@pt.sharda.ac.in</t>
  </si>
  <si>
    <t>9906207996</t>
  </si>
  <si>
    <t>2022404783.sudhirkumar@pt.sharda.ac.in</t>
  </si>
  <si>
    <t>8979566862</t>
  </si>
  <si>
    <t>2022502947.jai@pt.sharda.ac.in</t>
  </si>
  <si>
    <t>9315149393</t>
  </si>
  <si>
    <t>2022521244.bansilal@pt.sharda.ac.in</t>
  </si>
  <si>
    <t>8595849890</t>
  </si>
  <si>
    <t>2022387392.soumen@pt.sharda.ac.in</t>
  </si>
  <si>
    <t>8145257669</t>
  </si>
  <si>
    <t>2022484252.manoj@pt.sharda.ac.in</t>
  </si>
  <si>
    <t>8210930523</t>
  </si>
  <si>
    <t>2022413369.ranjankumar@pt.sharda.ac.in</t>
  </si>
  <si>
    <t>8252741969</t>
  </si>
  <si>
    <t>2022005800.bijendrak@pt.sharda.ac.in</t>
  </si>
  <si>
    <t>8527273409</t>
  </si>
  <si>
    <t>2022457752.sanjeev@pt.sharda.ac.in</t>
  </si>
  <si>
    <t>8532959985</t>
  </si>
  <si>
    <t>2022003580.shivram@pt.sharda.ac.in</t>
  </si>
  <si>
    <t>9424991187</t>
  </si>
  <si>
    <t>2022484682.arjun@pt.sharda.ac.in</t>
  </si>
  <si>
    <t>9414268820</t>
  </si>
  <si>
    <t>2022003238.omkar@pt.sharda.ac.in</t>
  </si>
  <si>
    <t>9540302937</t>
  </si>
  <si>
    <t>2022007543.rajesh@pt.sharda.ac.in</t>
  </si>
  <si>
    <t>9625563966</t>
  </si>
  <si>
    <t>2022007728.mdwasim@pt.sharda.ac.in</t>
  </si>
  <si>
    <t>8709670822</t>
  </si>
  <si>
    <t>2022536274.ajay@pt.sharda.ac.in</t>
  </si>
  <si>
    <t>7065509551</t>
  </si>
  <si>
    <t>2022607404.kadugulaamulya@pt.sharda.ac.in</t>
  </si>
  <si>
    <t>9958983309</t>
  </si>
  <si>
    <t>2023000910.ajay@pt.sharda.ac.in</t>
  </si>
  <si>
    <t>9455644313</t>
  </si>
  <si>
    <t>2021369177.shailendrapratap@pt.sharda.ac.in</t>
  </si>
  <si>
    <t>7599538528</t>
  </si>
  <si>
    <t>2021375907.prashantkumar@pt.sharda.ac.in</t>
  </si>
  <si>
    <t>9122439887</t>
  </si>
  <si>
    <t>2021001342.sudhir@pt.sharda.ac.in</t>
  </si>
  <si>
    <t>8448124468</t>
  </si>
  <si>
    <t>2022007029.ashok@pt.sharda.ac.in</t>
  </si>
  <si>
    <t>7065582311</t>
  </si>
  <si>
    <t>2022438394.mdnoor@pt.sharda.ac.in</t>
  </si>
  <si>
    <t>6206046943</t>
  </si>
  <si>
    <t>2022433132.amal@pt.sharda.ac.in</t>
  </si>
  <si>
    <t>9026662038</t>
  </si>
  <si>
    <t>2022004546.premkishore@pt.sharda.ac.in</t>
  </si>
  <si>
    <t>9868040160</t>
  </si>
  <si>
    <t>2022535859.manojkumar@pt.sharda.ac.in</t>
  </si>
  <si>
    <t>9708761089</t>
  </si>
  <si>
    <t>2022536473.vijaykumar@pt.sharda.ac.in</t>
  </si>
  <si>
    <t>8349621902</t>
  </si>
  <si>
    <t>2022001884.chandraprakash@pt.sharda.ac.in</t>
  </si>
  <si>
    <t>8394910079</t>
  </si>
  <si>
    <t>2022559297.arvindkumar@pt.sharda.ac.in</t>
  </si>
  <si>
    <t>9899849201</t>
  </si>
  <si>
    <t>2022516167.dharmendra@pt.sharda.ac.in</t>
  </si>
  <si>
    <t>6395490110</t>
  </si>
  <si>
    <t>2022006210.bhupender@pt.sharda.ac.in</t>
  </si>
  <si>
    <t>9212917076</t>
  </si>
  <si>
    <t>2022508678.ajay@pt.sharda.ac.in</t>
  </si>
  <si>
    <t>8859093114</t>
  </si>
  <si>
    <t>2022540466.jagga@pt.sharda.ac.in</t>
  </si>
  <si>
    <t>9462607285</t>
  </si>
  <si>
    <t>2022334212.munish@pt.sharda.ac.in</t>
  </si>
  <si>
    <t>7982794898</t>
  </si>
  <si>
    <t>2022345566.santar@pt.sharda.ac.in</t>
  </si>
  <si>
    <t>7983655180</t>
  </si>
  <si>
    <t>2022006402.jaisingh@pt.sharda.ac.in</t>
  </si>
  <si>
    <t>8368408465</t>
  </si>
  <si>
    <t>2022307961.alfaz@pt.sharda.ac.in</t>
  </si>
  <si>
    <t>7015668319</t>
  </si>
  <si>
    <t>2022006272.nilmany@pt.sharda.ac.in</t>
  </si>
  <si>
    <t>6203386550</t>
  </si>
  <si>
    <t>2022530377.harishankar@pt.sharda.ac.in</t>
  </si>
  <si>
    <t>7668900069</t>
  </si>
  <si>
    <t>2022506880.durga@pt.sharda.ac.in</t>
  </si>
  <si>
    <t>7060867763</t>
  </si>
  <si>
    <t>2022002383.vikendra@pt.sharda.ac.in</t>
  </si>
  <si>
    <t>9319854930</t>
  </si>
  <si>
    <t>2022548161.subodhchandra@pt.sharda.ac.in</t>
  </si>
  <si>
    <t>6207071618</t>
  </si>
  <si>
    <t>2022521021.ranjankumar@pt.sharda.ac.in</t>
  </si>
  <si>
    <t>7980476255</t>
  </si>
  <si>
    <t>2022455176.manish@pt.sharda.ac.in</t>
  </si>
  <si>
    <t>7838835281</t>
  </si>
  <si>
    <t>2022435738.kalyan@pt.sharda.ac.in</t>
  </si>
  <si>
    <t>9065663362</t>
  </si>
  <si>
    <t>2022006140.narveshkumar@pt.sharda.ac.in</t>
  </si>
  <si>
    <t>6397191413</t>
  </si>
  <si>
    <t>2022004755.ajeet@pt.sharda.ac.in</t>
  </si>
  <si>
    <t>9911616569</t>
  </si>
  <si>
    <t>2022507069.dinesh@pt.sharda.ac.in</t>
  </si>
  <si>
    <t>8757335109</t>
  </si>
  <si>
    <t>2022331708.mithilesh@pt.sharda.ac.in</t>
  </si>
  <si>
    <t>6205510692</t>
  </si>
  <si>
    <t>2022516793.pannalal@pt.sharda.ac.in</t>
  </si>
  <si>
    <t>9198829393</t>
  </si>
  <si>
    <t>2022829153.saiyadmahamud@pt.sharda.ac.in</t>
  </si>
  <si>
    <t>91 7050193458</t>
  </si>
  <si>
    <t>2022006143.amit@pt.sharda.ac.in</t>
  </si>
  <si>
    <t>9643355554</t>
  </si>
  <si>
    <t>2022506240.kuberchand@pt.sharda.ac.in</t>
  </si>
  <si>
    <t>9999226854</t>
  </si>
  <si>
    <t>2022505917.sureshchandra@pt.sharda.ac.in</t>
  </si>
  <si>
    <t>7351924508</t>
  </si>
  <si>
    <t>2022490152.pardeep@pt.sharda.ac.in</t>
  </si>
  <si>
    <t>8222010280</t>
  </si>
  <si>
    <t>2022805251.parshuram@pt.sharda.ac.in</t>
  </si>
  <si>
    <t>91 9661565894</t>
  </si>
  <si>
    <t>2022459779.arjun@pt.sharda.ac.in</t>
  </si>
  <si>
    <t>9905741967</t>
  </si>
  <si>
    <t>2022473330.sunilkumar@pt.sharda.ac.in</t>
  </si>
  <si>
    <t>8900049210</t>
  </si>
  <si>
    <t>2022428593.dwipanjal@pt.sharda.ac.in</t>
  </si>
  <si>
    <t>8011998716</t>
  </si>
  <si>
    <t>2022512387.kishorechandra@pt.sharda.ac.in</t>
  </si>
  <si>
    <t>9142724357</t>
  </si>
  <si>
    <t>2022811446.devender@pt.sharda.ac.in</t>
  </si>
  <si>
    <t>9064547302</t>
  </si>
  <si>
    <t>2022006609.ramesh@pt.sharda.ac.in</t>
  </si>
  <si>
    <t>8009622418</t>
  </si>
  <si>
    <t>2022427336.sunildutt@pt.sharda.ac.in</t>
  </si>
  <si>
    <t>9315253842</t>
  </si>
  <si>
    <t>2022005613.praveen@pt.sharda.ac.in</t>
  </si>
  <si>
    <t>9899728401</t>
  </si>
  <si>
    <t>2022523724.mohd@pt.sharda.ac.in</t>
  </si>
  <si>
    <t>8800970493</t>
  </si>
  <si>
    <t>2022514886.binaykumar@pt.sharda.ac.in</t>
  </si>
  <si>
    <t>8252711617</t>
  </si>
  <si>
    <t>2022378413.balraj@pt.sharda.ac.in</t>
  </si>
  <si>
    <t>7042220600</t>
  </si>
  <si>
    <t>2022000791.pankaj@pt.sharda.ac.in</t>
  </si>
  <si>
    <t>6202918615</t>
  </si>
  <si>
    <t>2022508269.alok@pt.sharda.ac.in</t>
  </si>
  <si>
    <t>8115622991</t>
  </si>
  <si>
    <t>2022531964.nipu@pt.sharda.ac.in</t>
  </si>
  <si>
    <t>6203252388</t>
  </si>
  <si>
    <t>2022003069.kavindra@pt.sharda.ac.in</t>
  </si>
  <si>
    <t>8534991362</t>
  </si>
  <si>
    <t>2022363290.jyotiprakash@pt.sharda.ac.in</t>
  </si>
  <si>
    <t>7643814053</t>
  </si>
  <si>
    <t>2022503088.patwardhan@pt.sharda.ac.in</t>
  </si>
  <si>
    <t>9627522860</t>
  </si>
  <si>
    <t>2022498440.rajkumar@pt.sharda.ac.in</t>
  </si>
  <si>
    <t>8354944670</t>
  </si>
  <si>
    <t>2022554244.durgeshnarayan@pt.sharda.ac.in</t>
  </si>
  <si>
    <t>8130176899</t>
  </si>
  <si>
    <t>2022381725.manish@pt.sharda.ac.in</t>
  </si>
  <si>
    <t>7011422195</t>
  </si>
  <si>
    <t>2022363409.yennisrinivasa@pt.sharda.ac.in</t>
  </si>
  <si>
    <t>8287434773</t>
  </si>
  <si>
    <t>2022003343.riyaz@pt.sharda.ac.in</t>
  </si>
  <si>
    <t>8082951516</t>
  </si>
  <si>
    <t>2022007195.satyapalsingh@pt.sharda.ac.in</t>
  </si>
  <si>
    <t>7456007669</t>
  </si>
  <si>
    <t>2022007677.pramod@pt.sharda.ac.in</t>
  </si>
  <si>
    <t>7000477717</t>
  </si>
  <si>
    <t>2022536169.pankaj@pt.sharda.ac.in</t>
  </si>
  <si>
    <t>8868830646</t>
  </si>
  <si>
    <t>2022573413.balaram@pt.sharda.ac.in</t>
  </si>
  <si>
    <t>9748781285</t>
  </si>
  <si>
    <t>2022585888.abdul@pt.sharda.ac.in</t>
  </si>
  <si>
    <t>9635287067</t>
  </si>
  <si>
    <t>2022578067.dhramjeet@pt.sharda.ac.in</t>
  </si>
  <si>
    <t>9102398365</t>
  </si>
  <si>
    <t>2022525962.rajeshkumar@pt.sharda.ac.in</t>
  </si>
  <si>
    <t>7979715916</t>
  </si>
  <si>
    <t>2022374295.amitkumar@pt.sharda.ac.in</t>
  </si>
  <si>
    <t>6207058004</t>
  </si>
  <si>
    <t>2022805717.sarbajitastani@pt.sharda.ac.in</t>
  </si>
  <si>
    <t>977 9841883474</t>
  </si>
  <si>
    <t>2022005223.arvind@pt.sharda.ac.in</t>
  </si>
  <si>
    <t>8862957493</t>
  </si>
  <si>
    <t>2022467293.arvind@pt.sharda.ac.in</t>
  </si>
  <si>
    <t>6202941942</t>
  </si>
  <si>
    <t>2022004659.ajay@pt.sharda.ac.in</t>
  </si>
  <si>
    <t>7856816590</t>
  </si>
  <si>
    <t>2022000245.jailal@pt.sharda.ac.in</t>
  </si>
  <si>
    <t>7667491662</t>
  </si>
  <si>
    <t>2022577356.rahul@pt.sharda.ac.in</t>
  </si>
  <si>
    <t>9905227087</t>
  </si>
  <si>
    <t>2022434340.nawalkishore@pt.sharda.ac.in</t>
  </si>
  <si>
    <t>6205495441</t>
  </si>
  <si>
    <t>2022820872.manojanand@pt.sharda.ac.in</t>
  </si>
  <si>
    <t>91 7011964628</t>
  </si>
  <si>
    <t>2022007055.ramankishor@pt.sharda.ac.in</t>
  </si>
  <si>
    <t>9525902309</t>
  </si>
  <si>
    <t>2022007141.sanjay@pt.sharda.ac.in</t>
  </si>
  <si>
    <t>7417242229</t>
  </si>
  <si>
    <t>2022833385.thabang@pt.sharda.ac.in</t>
  </si>
  <si>
    <t>58870955</t>
  </si>
  <si>
    <t>2022004342.pramod@pt.sharda.ac.in</t>
  </si>
  <si>
    <t>7983405848</t>
  </si>
  <si>
    <t>2022816874.bishnukant@pt.sharda.ac.in</t>
  </si>
  <si>
    <t>91 7676535597</t>
  </si>
  <si>
    <t>2022007202.nootan@pt.sharda.ac.in</t>
  </si>
  <si>
    <t>9045186230</t>
  </si>
  <si>
    <t>2022574196.virender@pt.sharda.ac.in</t>
  </si>
  <si>
    <t>9958019671</t>
  </si>
  <si>
    <t>2022552969.mdkhurshed@pt.sharda.ac.in</t>
  </si>
  <si>
    <t>6207785380</t>
  </si>
  <si>
    <t>2022561995.gurmeet@pt.sharda.ac.in</t>
  </si>
  <si>
    <t>9818398438</t>
  </si>
  <si>
    <t>2022006870.binod@pt.sharda.ac.in</t>
  </si>
  <si>
    <t>6200170281</t>
  </si>
  <si>
    <t>2022444658.vindhyachalsingh@pt.sharda.ac.in</t>
  </si>
  <si>
    <t>7081066123</t>
  </si>
  <si>
    <t>2022540866.reyazahmed@pt.sharda.ac.in</t>
  </si>
  <si>
    <t>9102569677</t>
  </si>
  <si>
    <t>2022309654.vimal@pt.sharda.ac.in</t>
  </si>
  <si>
    <t>7644063616</t>
  </si>
  <si>
    <t>2022505407.mdsayeedul@pt.sharda.ac.in</t>
  </si>
  <si>
    <t>8986447723</t>
  </si>
  <si>
    <t>2022836012.arunkumar@pt.sharda.ac.in</t>
  </si>
  <si>
    <t>91 9279072980</t>
  </si>
  <si>
    <t>2022832103.dilshad@pt.sharda.ac.in</t>
  </si>
  <si>
    <t>966 504144013</t>
  </si>
  <si>
    <t>2022005063.shakeel@pt.sharda.ac.in</t>
  </si>
  <si>
    <t>8923559251</t>
  </si>
  <si>
    <t>2022447440.girijashankar@pt.sharda.ac.in</t>
  </si>
  <si>
    <t>8319379307</t>
  </si>
  <si>
    <t>2022832236.binaykumar@pt.sharda.ac.in</t>
  </si>
  <si>
    <t>91 8384044469</t>
  </si>
  <si>
    <t>2022472832.jitendra@pt.sharda.ac.in</t>
  </si>
  <si>
    <t>9166305081</t>
  </si>
  <si>
    <t>2022414180.oodham@pt.sharda.ac.in</t>
  </si>
  <si>
    <t>8477002963</t>
  </si>
  <si>
    <t>2022453096.viplav@pt.sharda.ac.in</t>
  </si>
  <si>
    <t>8271863383</t>
  </si>
  <si>
    <t>2022528691.virendrapratap@pt.sharda.ac.in</t>
  </si>
  <si>
    <t>7991355789</t>
  </si>
  <si>
    <t>2022464792.ashish@pt.sharda.ac.in</t>
  </si>
  <si>
    <t>9205390709</t>
  </si>
  <si>
    <t>2022576883.fulkumar@pt.sharda.ac.in</t>
  </si>
  <si>
    <t>7050298675</t>
  </si>
  <si>
    <t>2022467393.anilkumar@pt.sharda.ac.in</t>
  </si>
  <si>
    <t>6205854664</t>
  </si>
  <si>
    <t>2022582528.santosh@pt.sharda.ac.in</t>
  </si>
  <si>
    <t>6204202216</t>
  </si>
  <si>
    <t>2022501073.rammoorat@pt.sharda.ac.in</t>
  </si>
  <si>
    <t>6392812854</t>
  </si>
  <si>
    <t>2022511567.paras@pt.sharda.ac.in</t>
  </si>
  <si>
    <t>9304983303</t>
  </si>
  <si>
    <t>2022006787.munna@pt.sharda.ac.in</t>
  </si>
  <si>
    <t>8235368282</t>
  </si>
  <si>
    <t>2022002769.loha@pt.sharda.ac.in</t>
  </si>
  <si>
    <t>6206528186</t>
  </si>
  <si>
    <t>2022007111.mantosh@pt.sharda.ac.in</t>
  </si>
  <si>
    <t>9211535436</t>
  </si>
  <si>
    <t>2022552668.pramodkumar@pt.sharda.ac.in</t>
  </si>
  <si>
    <t>9334859848</t>
  </si>
  <si>
    <t>2022450179.abdulhamied@pt.sharda.ac.in</t>
  </si>
  <si>
    <t>8899667050</t>
  </si>
  <si>
    <t>2022006827.ganesh@pt.sharda.ac.in</t>
  </si>
  <si>
    <t>7739168024</t>
  </si>
  <si>
    <t>2022006845.ikleshkumar@pt.sharda.ac.in</t>
  </si>
  <si>
    <t>9897705302</t>
  </si>
  <si>
    <t>2022007306.suresh@pt.sharda.ac.in</t>
  </si>
  <si>
    <t>8817200009</t>
  </si>
  <si>
    <t>2022007320.santoshkumar@pt.sharda.ac.in</t>
  </si>
  <si>
    <t>7563084668</t>
  </si>
  <si>
    <t>2022007323.shivnath@pt.sharda.ac.in</t>
  </si>
  <si>
    <t>7838117145</t>
  </si>
  <si>
    <t>2022007403.narendrakumar@pt.sharda.ac.in</t>
  </si>
  <si>
    <t>7042191280</t>
  </si>
  <si>
    <t>2022007438.sandeep@pt.sharda.ac.in</t>
  </si>
  <si>
    <t>9368983852</t>
  </si>
  <si>
    <t>2022007661.narendrakumar@pt.sharda.ac.in</t>
  </si>
  <si>
    <t>8051118373</t>
  </si>
  <si>
    <t>2022007718.satbir@pt.sharda.ac.in</t>
  </si>
  <si>
    <t>9034293489</t>
  </si>
  <si>
    <t>2022007786.rajesh@pt.sharda.ac.in</t>
  </si>
  <si>
    <t>8178462808</t>
  </si>
  <si>
    <t>2022007795.ashim@pt.sharda.ac.in</t>
  </si>
  <si>
    <t>9903404550</t>
  </si>
  <si>
    <t>2022007819.ramanand@pt.sharda.ac.in</t>
  </si>
  <si>
    <t>6299567700</t>
  </si>
  <si>
    <t>2022364256.mahender@pt.sharda.ac.in</t>
  </si>
  <si>
    <t>9990700671</t>
  </si>
  <si>
    <t>2022540836.pratapsingh@pt.sharda.ac.in</t>
  </si>
  <si>
    <t>7017833594</t>
  </si>
  <si>
    <t>2022555807.ajay@pt.sharda.ac.in</t>
  </si>
  <si>
    <t>6204870834</t>
  </si>
  <si>
    <t>2022594458.nirajkumar@pt.sharda.ac.in</t>
  </si>
  <si>
    <t>6201156707</t>
  </si>
  <si>
    <t>2022604034.manoj@pt.sharda.ac.in</t>
  </si>
  <si>
    <t>9368580206</t>
  </si>
  <si>
    <t>2022610409.ramesh@pt.sharda.ac.in</t>
  </si>
  <si>
    <t>7974011350</t>
  </si>
  <si>
    <t>2022835895.pashupati@pt.sharda.ac.in</t>
  </si>
  <si>
    <t>91 8084332903</t>
  </si>
  <si>
    <t>2023503067.pratyush@pt.sharda.ac.in</t>
  </si>
  <si>
    <t>7683936276</t>
  </si>
  <si>
    <t>2021316862.moses@pt.sharda.ac.in</t>
  </si>
  <si>
    <t>8630390567</t>
  </si>
  <si>
    <t>2021301933.sajadhussain@pt.sharda.ac.in</t>
  </si>
  <si>
    <t>8899972039</t>
  </si>
  <si>
    <t>2021373068.dharmbir@pt.sharda.ac.in</t>
  </si>
  <si>
    <t>9991288569</t>
  </si>
  <si>
    <t>2021396844.rodas@pt.sharda.ac.in</t>
  </si>
  <si>
    <t>8630448878</t>
  </si>
  <si>
    <t>2021447448.yashwant@pt.sharda.ac.in</t>
  </si>
  <si>
    <t>8368539536</t>
  </si>
  <si>
    <t>2021428834.pawan@pt.sharda.ac.in</t>
  </si>
  <si>
    <t>9012402604</t>
  </si>
  <si>
    <t>2021446146.satish@pt.sharda.ac.in</t>
  </si>
  <si>
    <t>8860341621</t>
  </si>
  <si>
    <t>2021474998.shantanu@pt.sharda.ac.in</t>
  </si>
  <si>
    <t>6204449635</t>
  </si>
  <si>
    <t>2021300643.dharmendrasingh@pt.sharda.ac.in</t>
  </si>
  <si>
    <t>9743728086</t>
  </si>
  <si>
    <t>2021361239.virendra@pt.sharda.ac.in</t>
  </si>
  <si>
    <t>8299431338</t>
  </si>
  <si>
    <t>2022002562.jayprakash@pt.sharda.ac.in</t>
  </si>
  <si>
    <t>8434107666</t>
  </si>
  <si>
    <t>2022439077.ramakant@pt.sharda.ac.in</t>
  </si>
  <si>
    <t>9693396195</t>
  </si>
  <si>
    <t>2022005321.jitendrakumar@pt.sharda.ac.in</t>
  </si>
  <si>
    <t>9625310230</t>
  </si>
  <si>
    <t>2022526282.sunil@pt.sharda.ac.in</t>
  </si>
  <si>
    <t>6393992008</t>
  </si>
  <si>
    <t>2022484684.mohammad@pt.sharda.ac.in</t>
  </si>
  <si>
    <t>7840080567</t>
  </si>
  <si>
    <t>2022473379.firoz@pt.sharda.ac.in</t>
  </si>
  <si>
    <t>9031242786</t>
  </si>
  <si>
    <t>2022003597.avdheshkumar@pt.sharda.ac.in</t>
  </si>
  <si>
    <t>9411419825</t>
  </si>
  <si>
    <t>2022434676.vishwanath@pt.sharda.ac.in</t>
  </si>
  <si>
    <t>9835339700</t>
  </si>
  <si>
    <t>2022006171.anuj@pt.sharda.ac.in</t>
  </si>
  <si>
    <t>8368460852</t>
  </si>
  <si>
    <t>2022004609.khyalsingh@pt.sharda.ac.in</t>
  </si>
  <si>
    <t>8851283033</t>
  </si>
  <si>
    <t>2022502414.vijay@pt.sharda.ac.in</t>
  </si>
  <si>
    <t>8850205691</t>
  </si>
  <si>
    <t>2022329124.satendra@pt.sharda.ac.in</t>
  </si>
  <si>
    <t>8755465044</t>
  </si>
  <si>
    <t>2022395305.rajnish@pt.sharda.ac.in</t>
  </si>
  <si>
    <t>9289575803</t>
  </si>
  <si>
    <t>2022386541.brahma@pt.sharda.ac.in</t>
  </si>
  <si>
    <t>8737099769</t>
  </si>
  <si>
    <t>2022557408.shri@pt.sharda.ac.in</t>
  </si>
  <si>
    <t>9999771597</t>
  </si>
  <si>
    <t>2022535159.pawankumar@pt.sharda.ac.in</t>
  </si>
  <si>
    <t>9812003005</t>
  </si>
  <si>
    <t>2022429052.indal@pt.sharda.ac.in</t>
  </si>
  <si>
    <t>9151344811</t>
  </si>
  <si>
    <t>2022003043.mantreshwar@pt.sharda.ac.in</t>
  </si>
  <si>
    <t>8630225086</t>
  </si>
  <si>
    <t>2022330872.nanigopal@pt.sharda.ac.in</t>
  </si>
  <si>
    <t>9583532701</t>
  </si>
  <si>
    <t>2022511372.sukhraj@pt.sharda.ac.in</t>
  </si>
  <si>
    <t>7380553501</t>
  </si>
  <si>
    <t>2022470752.ekhlaque@pt.sharda.ac.in</t>
  </si>
  <si>
    <t>8076579399</t>
  </si>
  <si>
    <t>2022505448.shreekant@pt.sharda.ac.in</t>
  </si>
  <si>
    <t>7017959380</t>
  </si>
  <si>
    <t>2022458909.basaad@pt.sharda.ac.in</t>
  </si>
  <si>
    <t>9910068444</t>
  </si>
  <si>
    <t>2022002824.krishan@pt.sharda.ac.in</t>
  </si>
  <si>
    <t>7011620274</t>
  </si>
  <si>
    <t>2022436300.bharat@pt.sharda.ac.in</t>
  </si>
  <si>
    <t>8787236364</t>
  </si>
  <si>
    <t>2022004161.zakiul@pt.sharda.ac.in</t>
  </si>
  <si>
    <t>6396324650</t>
  </si>
  <si>
    <t>2022506809.hukamchand@pt.sharda.ac.in</t>
  </si>
  <si>
    <t>9667523633</t>
  </si>
  <si>
    <t>2022811342.manjur@pt.sharda.ac.in</t>
  </si>
  <si>
    <t>+91 9873842259</t>
  </si>
  <si>
    <t>2022499099.mustak@pt.sharda.ac.in</t>
  </si>
  <si>
    <t>9523464177</t>
  </si>
  <si>
    <t>2022506408.umesh@pt.sharda.ac.in</t>
  </si>
  <si>
    <t>9905593696</t>
  </si>
  <si>
    <t>2022400915.brahamanand@pt.sharda.ac.in</t>
  </si>
  <si>
    <t>7378077197</t>
  </si>
  <si>
    <t>2022482796.heerasingh@pt.sharda.ac.in</t>
  </si>
  <si>
    <t>8126978333</t>
  </si>
  <si>
    <t>2022003474.munna@pt.sharda.ac.in</t>
  </si>
  <si>
    <t>6397729725</t>
  </si>
  <si>
    <t>2022344698.mantu@pt.sharda.ac.in</t>
  </si>
  <si>
    <t>9693330760</t>
  </si>
  <si>
    <t>2022492019.nathusingh@pt.sharda.ac.in</t>
  </si>
  <si>
    <t>8882668278</t>
  </si>
  <si>
    <t>2022523416.ramesh@pt.sharda.ac.in</t>
  </si>
  <si>
    <t>8252824437</t>
  </si>
  <si>
    <t>2022004614.pankaj@pt.sharda.ac.in</t>
  </si>
  <si>
    <t>9910132791</t>
  </si>
  <si>
    <t>2022000799.baseer@pt.sharda.ac.in</t>
  </si>
  <si>
    <t>2022001198.farid@pt.sharda.ac.in</t>
  </si>
  <si>
    <t>960445800</t>
  </si>
  <si>
    <t>2022487397.harishankar@pt.sharda.ac.in</t>
  </si>
  <si>
    <t>7619898558</t>
  </si>
  <si>
    <t>2022495153.rajeshkumar@pt.sharda.ac.in</t>
  </si>
  <si>
    <t>9260956206</t>
  </si>
  <si>
    <t>2022408033.prakashchandra@pt.sharda.ac.in</t>
  </si>
  <si>
    <t>9958635595</t>
  </si>
  <si>
    <t>2022498602.laldev@pt.sharda.ac.in</t>
  </si>
  <si>
    <t>9838391937</t>
  </si>
  <si>
    <t>2022543079.ramsewak@pt.sharda.ac.in</t>
  </si>
  <si>
    <t>8287941372</t>
  </si>
  <si>
    <t>2022360071.irfan@pt.sharda.ac.in</t>
  </si>
  <si>
    <t>8510981104</t>
  </si>
  <si>
    <t>2022005697.umashanker@pt.sharda.ac.in</t>
  </si>
  <si>
    <t>9867931067</t>
  </si>
  <si>
    <t>2022393356.jaiprakash@pt.sharda.ac.in</t>
  </si>
  <si>
    <t>8810607038</t>
  </si>
  <si>
    <t>2022439020.luv@pt.sharda.ac.in</t>
  </si>
  <si>
    <t>9971284298</t>
  </si>
  <si>
    <t>2022423199.indrasingh@pt.sharda.ac.in</t>
  </si>
  <si>
    <t>9871836528</t>
  </si>
  <si>
    <t>2022433386.rajeshkumar@pt.sharda.ac.in</t>
  </si>
  <si>
    <t>9054021639</t>
  </si>
  <si>
    <t>2022007449.bishnu@pt.sharda.ac.in</t>
  </si>
  <si>
    <t>9366242126</t>
  </si>
  <si>
    <t>2022007676.jamal@pt.sharda.ac.in</t>
  </si>
  <si>
    <t>7827143813</t>
  </si>
  <si>
    <t>2022369268.tariqahmad@pt.sharda.ac.in</t>
  </si>
  <si>
    <t>6005823801</t>
  </si>
  <si>
    <t>2022528998.santosh@pt.sharda.ac.in</t>
  </si>
  <si>
    <t>9142324099</t>
  </si>
  <si>
    <t>2022591296.radhakrishna@pt.sharda.ac.in</t>
  </si>
  <si>
    <t>9398191226</t>
  </si>
  <si>
    <t>2021482470.suchand@pt.sharda.ac.in</t>
  </si>
  <si>
    <t>6370261378</t>
  </si>
  <si>
    <t>2022539291.binodkumar@pt.sharda.ac.in</t>
  </si>
  <si>
    <t>9310107899</t>
  </si>
  <si>
    <t>2022508626.harendrakumar@pt.sharda.ac.in</t>
  </si>
  <si>
    <t>8734821969</t>
  </si>
  <si>
    <t>2022558776.anoop@pt.sharda.ac.in</t>
  </si>
  <si>
    <t>7455836193</t>
  </si>
  <si>
    <t>2022476104.gaurishankar@pt.sharda.ac.in</t>
  </si>
  <si>
    <t>9162384894</t>
  </si>
  <si>
    <t>2022567112.santoshkumar@pt.sharda.ac.in</t>
  </si>
  <si>
    <t>9142316341</t>
  </si>
  <si>
    <t>2022006152.jaikishan@pt.sharda.ac.in</t>
  </si>
  <si>
    <t>9654088144</t>
  </si>
  <si>
    <t>2022006654.rajeshwar@pt.sharda.ac.in</t>
  </si>
  <si>
    <t>9667127584</t>
  </si>
  <si>
    <t>2022511918.arvindkumar@pt.sharda.ac.in</t>
  </si>
  <si>
    <t>8881122192</t>
  </si>
  <si>
    <t>2022407716.naresh@pt.sharda.ac.in</t>
  </si>
  <si>
    <t>7903369953</t>
  </si>
  <si>
    <t>2022577648.subhashchandra@pt.sharda.ac.in</t>
  </si>
  <si>
    <t>8825258063</t>
  </si>
  <si>
    <t>2022006318.md@pt.sharda.ac.in</t>
  </si>
  <si>
    <t>9289882117</t>
  </si>
  <si>
    <t>2022484200.chandra@pt.sharda.ac.in</t>
  </si>
  <si>
    <t>8588846755</t>
  </si>
  <si>
    <t>2022416656.krishan@pt.sharda.ac.in</t>
  </si>
  <si>
    <t>9569578053</t>
  </si>
  <si>
    <t>2022506998.ganeshprasad@pt.sharda.ac.in</t>
  </si>
  <si>
    <t>8126368250</t>
  </si>
  <si>
    <t>2022002822.jaidev@pt.sharda.ac.in</t>
  </si>
  <si>
    <t>6395061345</t>
  </si>
  <si>
    <t>2022006162.sanjeev@pt.sharda.ac.in</t>
  </si>
  <si>
    <t>7249903144</t>
  </si>
  <si>
    <t>2022570019.naveen@pt.sharda.ac.in</t>
  </si>
  <si>
    <t>7454817315</t>
  </si>
  <si>
    <t>2022582150.jagbir@pt.sharda.ac.in</t>
  </si>
  <si>
    <t>9588522558</t>
  </si>
  <si>
    <t>2022819221.bishwanath@pt.sharda.ac.in</t>
  </si>
  <si>
    <t>91 7011069348</t>
  </si>
  <si>
    <t>2022359778.navin@pt.sharda.ac.in</t>
  </si>
  <si>
    <t>7701935118</t>
  </si>
  <si>
    <t>2022006582.shashikant@pt.sharda.ac.in</t>
  </si>
  <si>
    <t>7568023948</t>
  </si>
  <si>
    <t>2022831935.khemnath@pt.sharda.ac.in</t>
  </si>
  <si>
    <t>91 8293135088</t>
  </si>
  <si>
    <t>2022832635.dilip@pt.sharda.ac.in</t>
  </si>
  <si>
    <t>91 9934704426</t>
  </si>
  <si>
    <t>2022834464.bhikhariya@pt.sharda.ac.in</t>
  </si>
  <si>
    <t>91 8757443219</t>
  </si>
  <si>
    <t>2022834589.indalpurbe@pt.sharda.ac.in</t>
  </si>
  <si>
    <t>977 9824256171</t>
  </si>
  <si>
    <t>2022443535.dinesh@pt.sharda.ac.in</t>
  </si>
  <si>
    <t>9336394829</t>
  </si>
  <si>
    <t>2022503208.ashok@pt.sharda.ac.in</t>
  </si>
  <si>
    <t>8587023411</t>
  </si>
  <si>
    <t>2022006799.satyanarayan@pt.sharda.ac.in</t>
  </si>
  <si>
    <t>7033787816</t>
  </si>
  <si>
    <t>2022303213.arvind@pt.sharda.ac.in</t>
  </si>
  <si>
    <t>8972061400</t>
  </si>
  <si>
    <t>2022559563.bharatsingh@pt.sharda.ac.in</t>
  </si>
  <si>
    <t>9548745734</t>
  </si>
  <si>
    <t>2022559558.triloksingh@pt.sharda.ac.in</t>
  </si>
  <si>
    <t>6396950928</t>
  </si>
  <si>
    <t>2022304804.shailesh@pt.sharda.ac.in</t>
  </si>
  <si>
    <t>9076913494</t>
  </si>
  <si>
    <t>2022006437.arunkumar@pt.sharda.ac.in</t>
  </si>
  <si>
    <t>8377044082</t>
  </si>
  <si>
    <t>2022502123.nawalkumar@pt.sharda.ac.in</t>
  </si>
  <si>
    <t>7295035144</t>
  </si>
  <si>
    <t>2022554897.devendrakumar@pt.sharda.ac.in</t>
  </si>
  <si>
    <t>9693985964</t>
  </si>
  <si>
    <t>2022006859.munnakumar@pt.sharda.ac.in</t>
  </si>
  <si>
    <t>9821056602</t>
  </si>
  <si>
    <t>2022446209.saleemakhtar@pt.sharda.ac.in</t>
  </si>
  <si>
    <t>7906944241</t>
  </si>
  <si>
    <t>2022829568.gopalprasad@pt.sharda.ac.in</t>
  </si>
  <si>
    <t>9812872299</t>
  </si>
  <si>
    <t>2022317952.ravindersingh@pt.sharda.ac.in</t>
  </si>
  <si>
    <t>9667869832</t>
  </si>
  <si>
    <t>2022483390.yadunandan@pt.sharda.ac.in</t>
  </si>
  <si>
    <t>7061826795</t>
  </si>
  <si>
    <t>2022818891.binodkumar@pt.sharda.ac.in</t>
  </si>
  <si>
    <t>9335394969</t>
  </si>
  <si>
    <t>2022558819.hemant@pt.sharda.ac.in</t>
  </si>
  <si>
    <t>8252799984</t>
  </si>
  <si>
    <t>2022502747.vikram@pt.sharda.ac.in</t>
  </si>
  <si>
    <t>8881431450</t>
  </si>
  <si>
    <t>2022820996.gunbahadur@pt.sharda.ac.in</t>
  </si>
  <si>
    <t>8595197137</t>
  </si>
  <si>
    <t>2022006694.manojkumar@pt.sharda.ac.in</t>
  </si>
  <si>
    <t>8081669849</t>
  </si>
  <si>
    <t>2022468330.surendra@pt.sharda.ac.in</t>
  </si>
  <si>
    <t>7982564713</t>
  </si>
  <si>
    <t>2022006868.sanjeev@pt.sharda.ac.in</t>
  </si>
  <si>
    <t>7644822120</t>
  </si>
  <si>
    <t>2022006890.arvindkumar@pt.sharda.ac.in</t>
  </si>
  <si>
    <t>7905342875</t>
  </si>
  <si>
    <t>2022559432.hem@pt.sharda.ac.in</t>
  </si>
  <si>
    <t>6263994974</t>
  </si>
  <si>
    <t>2022338616.manoj@pt.sharda.ac.in</t>
  </si>
  <si>
    <t>7827186921</t>
  </si>
  <si>
    <t>2022508695.omprakash@pt.sharda.ac.in</t>
  </si>
  <si>
    <t>9548741286</t>
  </si>
  <si>
    <t>2022403475.satyendrakumar@pt.sharda.ac.in</t>
  </si>
  <si>
    <t>8433363676</t>
  </si>
  <si>
    <t>2022561225.navdeep@pt.sharda.ac.in</t>
  </si>
  <si>
    <t>8791477144</t>
  </si>
  <si>
    <t>2022003841.pushpendra@pt.sharda.ac.in</t>
  </si>
  <si>
    <t>9368863746</t>
  </si>
  <si>
    <t>2022007179.harish@pt.sharda.ac.in</t>
  </si>
  <si>
    <t>8076487808</t>
  </si>
  <si>
    <t>2022007342.mahendra@pt.sharda.ac.in</t>
  </si>
  <si>
    <t>9149220680</t>
  </si>
  <si>
    <t>2022007381.virendra@pt.sharda.ac.in</t>
  </si>
  <si>
    <t>7759816393</t>
  </si>
  <si>
    <t>2022007635.mahavirprasad@pt.sharda.ac.in</t>
  </si>
  <si>
    <t>2022485674.shivmuni@pt.sharda.ac.in</t>
  </si>
  <si>
    <t>6204937729</t>
  </si>
  <si>
    <t>2022558410.mdahsan@pt.sharda.ac.in</t>
  </si>
  <si>
    <t>7033913503</t>
  </si>
  <si>
    <t>2022593768.kamalbash@pt.sharda.ac.in</t>
  </si>
  <si>
    <t>7207263026</t>
  </si>
  <si>
    <t>2022621767.chandran@pt.sharda.ac.in</t>
  </si>
  <si>
    <t>9479557386</t>
  </si>
  <si>
    <t>2022624445.awadheshkumar@pt.sharda.ac.in</t>
  </si>
  <si>
    <t>9572408902</t>
  </si>
  <si>
    <t>2023521223.sushil@pt.sharda.ac.in</t>
  </si>
  <si>
    <t>8126223351</t>
  </si>
  <si>
    <t>2022003160.ranjeet@pt.sharda.ac.in</t>
  </si>
  <si>
    <t>9599134513</t>
  </si>
  <si>
    <t>2022486764.aijaz@pt.sharda.ac.in</t>
  </si>
  <si>
    <t>7042799743</t>
  </si>
  <si>
    <t>2022380686.khaliqur@pt.sharda.ac.in</t>
  </si>
  <si>
    <t>9899677847</t>
  </si>
  <si>
    <t>2022516040.chandramohan@pt.sharda.ac.in</t>
  </si>
  <si>
    <t>9568548982</t>
  </si>
  <si>
    <t>2022354445.vivekkumar@pt.sharda.ac.in</t>
  </si>
  <si>
    <t>8178953238</t>
  </si>
  <si>
    <t>2022460612.ajay@pt.sharda.ac.in</t>
  </si>
  <si>
    <t>9108031401</t>
  </si>
  <si>
    <t>2022445444.hemant@pt.sharda.ac.in</t>
  </si>
  <si>
    <t>9453785176</t>
  </si>
  <si>
    <t>2022489115.mohammadayoub@pt.sharda.ac.in</t>
  </si>
  <si>
    <t>8899211060</t>
  </si>
  <si>
    <t>2022508637.atul@pt.sharda.ac.in</t>
  </si>
  <si>
    <t>8429340368</t>
  </si>
  <si>
    <t>2022002974.jhinku@pt.sharda.ac.in</t>
  </si>
  <si>
    <t>6394293533</t>
  </si>
  <si>
    <t>2022405043.arunkumar@pt.sharda.ac.in</t>
  </si>
  <si>
    <t>9335019513</t>
  </si>
  <si>
    <t>2022445607.ravindra@pt.sharda.ac.in</t>
  </si>
  <si>
    <t>6306879588</t>
  </si>
  <si>
    <t>2022005224.ashutosh@pt.sharda.ac.in</t>
  </si>
  <si>
    <t>9813460093</t>
  </si>
  <si>
    <t>2022002716.rajkumar@pt.sharda.ac.in</t>
  </si>
  <si>
    <t>8527190946</t>
  </si>
  <si>
    <t>2022305160.avgv@pt.sharda.ac.in</t>
  </si>
  <si>
    <t>8920775331</t>
  </si>
  <si>
    <t>2022408489.bidyutaranjan@pt.sharda.ac.in</t>
  </si>
  <si>
    <t>9692559937</t>
  </si>
  <si>
    <t>2022360947.soubamdebajit@pt.sharda.ac.in</t>
  </si>
  <si>
    <t>7005984553</t>
  </si>
  <si>
    <t>2022520080.soumen@pt.sharda.ac.in</t>
  </si>
  <si>
    <t>8588016904</t>
  </si>
  <si>
    <t>2022487026.h@pt.sharda.ac.in</t>
  </si>
  <si>
    <t>8240971413</t>
  </si>
  <si>
    <t>2022345074.rajendra@pt.sharda.ac.in</t>
  </si>
  <si>
    <t>9953772038</t>
  </si>
  <si>
    <t>2022005900.rajkumar@pt.sharda.ac.in</t>
  </si>
  <si>
    <t>9569217132</t>
  </si>
  <si>
    <t>2022004383.ram@pt.sharda.ac.in</t>
  </si>
  <si>
    <t>9058211983</t>
  </si>
  <si>
    <t>2022477650.santoshkumar@pt.sharda.ac.in</t>
  </si>
  <si>
    <t>8545953186</t>
  </si>
  <si>
    <t>2022451567.noel@pt.sharda.ac.in</t>
  </si>
  <si>
    <t>9319679899</t>
  </si>
  <si>
    <t>2022003541.ramgopal@pt.sharda.ac.in</t>
  </si>
  <si>
    <t>8130937203</t>
  </si>
  <si>
    <t>2022543048.kvn@pt.sharda.ac.in</t>
  </si>
  <si>
    <t>9121986655</t>
  </si>
  <si>
    <t>2022501831.nitin@pt.sharda.ac.in</t>
  </si>
  <si>
    <t>8745055541</t>
  </si>
  <si>
    <t>2022321571.kamal@pt.sharda.ac.in</t>
  </si>
  <si>
    <t>7011978800</t>
  </si>
  <si>
    <t>2022006436.dinesh@pt.sharda.ac.in</t>
  </si>
  <si>
    <t>9821899782</t>
  </si>
  <si>
    <t>2022005401.rajneesh@pt.sharda.ac.in</t>
  </si>
  <si>
    <t>9368830023</t>
  </si>
  <si>
    <t>2022502804.ramkishan@pt.sharda.ac.in</t>
  </si>
  <si>
    <t>7617524839</t>
  </si>
  <si>
    <t>2022001992.yogendra@pt.sharda.ac.in</t>
  </si>
  <si>
    <t>6398599852</t>
  </si>
  <si>
    <t>2022464237.anisuddin@pt.sharda.ac.in</t>
  </si>
  <si>
    <t>9517028373</t>
  </si>
  <si>
    <t>2022420368.mohd@pt.sharda.ac.in</t>
  </si>
  <si>
    <t>9149191157</t>
  </si>
  <si>
    <t>2022834880.pawankumarsah@pt.sharda.ac.in</t>
  </si>
  <si>
    <t>9934591397</t>
  </si>
  <si>
    <t>2022511920.kuldeepkumar@pt.sharda.ac.in</t>
  </si>
  <si>
    <t>9998011537</t>
  </si>
  <si>
    <t>2022002243.john@pt.sharda.ac.in</t>
  </si>
  <si>
    <t>7982100704</t>
  </si>
  <si>
    <t>2022404434.vinaykumar@pt.sharda.ac.in</t>
  </si>
  <si>
    <t>7518302004</t>
  </si>
  <si>
    <t>2022494330.manojkumar@pt.sharda.ac.in</t>
  </si>
  <si>
    <t>8409390516</t>
  </si>
  <si>
    <t>2022544917.kanwaramarjeet@pt.sharda.ac.in</t>
  </si>
  <si>
    <t>8708812293</t>
  </si>
  <si>
    <t>2022507803.bibekranjan@pt.sharda.ac.in</t>
  </si>
  <si>
    <t>9315695483</t>
  </si>
  <si>
    <t>2022004067.sanjay@pt.sharda.ac.in</t>
  </si>
  <si>
    <t>8802684280</t>
  </si>
  <si>
    <t>2022003455.abdul@pt.sharda.ac.in</t>
  </si>
  <si>
    <t>9319250476</t>
  </si>
  <si>
    <t>2022446086.surenderkumar@pt.sharda.ac.in</t>
  </si>
  <si>
    <t>8882440907</t>
  </si>
  <si>
    <t>2022442734.khurshid@pt.sharda.ac.in</t>
  </si>
  <si>
    <t>6005436291</t>
  </si>
  <si>
    <t>2022306140.ranjeetkumar@pt.sharda.ac.in</t>
  </si>
  <si>
    <t>8578949023</t>
  </si>
  <si>
    <t>2022396848.sushant@pt.sharda.ac.in</t>
  </si>
  <si>
    <t>9354905548</t>
  </si>
  <si>
    <t>2022445249.vijay@pt.sharda.ac.in</t>
  </si>
  <si>
    <t>9794795946</t>
  </si>
  <si>
    <t>2022006059.rajeev@pt.sharda.ac.in</t>
  </si>
  <si>
    <t>9412768354</t>
  </si>
  <si>
    <t>2022005125.kirandeepsingh@pt.sharda.ac.in</t>
  </si>
  <si>
    <t>9999355292</t>
  </si>
  <si>
    <t>2022413409.amir@pt.sharda.ac.in</t>
  </si>
  <si>
    <t>8434678857</t>
  </si>
  <si>
    <t>2022354885.vijay@pt.sharda.ac.in</t>
  </si>
  <si>
    <t>8081987121</t>
  </si>
  <si>
    <t>2022338152.mudit@pt.sharda.ac.in</t>
  </si>
  <si>
    <t>8081318290</t>
  </si>
  <si>
    <t>2022003792.pintu@pt.sharda.ac.in</t>
  </si>
  <si>
    <t>7906972153</t>
  </si>
  <si>
    <t>2022498647.shivji@pt.sharda.ac.in</t>
  </si>
  <si>
    <t>8102612088</t>
  </si>
  <si>
    <t>2022521262.sachin@pt.sharda.ac.in</t>
  </si>
  <si>
    <t>7456959156</t>
  </si>
  <si>
    <t>2022339160.nagendra@pt.sharda.ac.in</t>
  </si>
  <si>
    <t>9877860105</t>
  </si>
  <si>
    <t>2022007267.mm@pt.sharda.ac.in</t>
  </si>
  <si>
    <t>7860927609</t>
  </si>
  <si>
    <t>2022620180.uttamkumar@pt.sharda.ac.in</t>
  </si>
  <si>
    <t>9383267527</t>
  </si>
  <si>
    <t>2022479218.rajkumar@pt.sharda.ac.in</t>
  </si>
  <si>
    <t>8920364577</t>
  </si>
  <si>
    <t>2022600192.vishnuprasad@pt.sharda.ac.in</t>
  </si>
  <si>
    <t>7000857830</t>
  </si>
  <si>
    <t>2022601761.buddaramana@pt.sharda.ac.in</t>
  </si>
  <si>
    <t>8143322343</t>
  </si>
  <si>
    <t>2022610396.rajesh@pt.sharda.ac.in</t>
  </si>
  <si>
    <t>9625641703</t>
  </si>
  <si>
    <t>2022623133.shravan@pt.sharda.ac.in</t>
  </si>
  <si>
    <t>8340572904</t>
  </si>
  <si>
    <t>2021002535.rajesh@pt.sharda.ac.in</t>
  </si>
  <si>
    <t>8757008601</t>
  </si>
  <si>
    <t>2022004361.jaypal@pt.sharda.ac.in</t>
  </si>
  <si>
    <t>9027813284</t>
  </si>
  <si>
    <t>2022506579.santoshkumar@pt.sharda.ac.in</t>
  </si>
  <si>
    <t>8340794862</t>
  </si>
  <si>
    <t>2022334026.rajesh@pt.sharda.ac.in</t>
  </si>
  <si>
    <t>9810236485</t>
  </si>
  <si>
    <t>2022426354.pitamber@pt.sharda.ac.in</t>
  </si>
  <si>
    <t>9582376739</t>
  </si>
  <si>
    <t>2022005817.manojkumar@pt.sharda.ac.in</t>
  </si>
  <si>
    <t>9027202759</t>
  </si>
  <si>
    <t>2022409017.jayprakash@pt.sharda.ac.in</t>
  </si>
  <si>
    <t>7004291475</t>
  </si>
  <si>
    <t>2022535335.fayazahmad@pt.sharda.ac.in</t>
  </si>
  <si>
    <t>8803082919</t>
  </si>
  <si>
    <t>2022369167.mohanish@pt.sharda.ac.in</t>
  </si>
  <si>
    <t>9431016216</t>
  </si>
  <si>
    <t>2022456042.aftab@pt.sharda.ac.in</t>
  </si>
  <si>
    <t>7011212339</t>
  </si>
  <si>
    <t>2022539806.munshilal@pt.sharda.ac.in</t>
  </si>
  <si>
    <t>9304656117</t>
  </si>
  <si>
    <t>2022504700.rajesh@pt.sharda.ac.in</t>
  </si>
  <si>
    <t>8287368166</t>
  </si>
  <si>
    <t>2022360832.satish@pt.sharda.ac.in</t>
  </si>
  <si>
    <t>7461026537</t>
  </si>
  <si>
    <t>2022542429.akhileshkumar@pt.sharda.ac.in</t>
  </si>
  <si>
    <t>9310531689</t>
  </si>
  <si>
    <t>2022825759.debojit@pt.sharda.ac.in</t>
  </si>
  <si>
    <t>8282934341</t>
  </si>
  <si>
    <t>2022005712.sanjay@pt.sharda.ac.in</t>
  </si>
  <si>
    <t>9462241759</t>
  </si>
  <si>
    <t>2022325712.pratap@pt.sharda.ac.in</t>
  </si>
  <si>
    <t>6398613166</t>
  </si>
  <si>
    <t>2022005046.jitendra@pt.sharda.ac.in</t>
  </si>
  <si>
    <t>9569851824</t>
  </si>
  <si>
    <t>2022480883.vijaykumar@pt.sharda.ac.in</t>
  </si>
  <si>
    <t>9810725365</t>
  </si>
  <si>
    <t>2022469633.dhiraj@pt.sharda.ac.in</t>
  </si>
  <si>
    <t>6203462235</t>
  </si>
  <si>
    <t>2022366544.sanjeev@pt.sharda.ac.in</t>
  </si>
  <si>
    <t>8076298986</t>
  </si>
  <si>
    <t>2022414035.alok@pt.sharda.ac.in</t>
  </si>
  <si>
    <t>9155447487</t>
  </si>
  <si>
    <t>2022456058.udaybhan@pt.sharda.ac.in</t>
  </si>
  <si>
    <t>9565945698</t>
  </si>
  <si>
    <t>2022533506.gajendrasingh@pt.sharda.ac.in</t>
  </si>
  <si>
    <t>8448320213</t>
  </si>
  <si>
    <t>2022338119.dineshkumar@pt.sharda.ac.in</t>
  </si>
  <si>
    <t>9811008887</t>
  </si>
  <si>
    <t>2022438436.jawed@pt.sharda.ac.in</t>
  </si>
  <si>
    <t>8207877816</t>
  </si>
  <si>
    <t>2022403267.md@pt.sharda.ac.in</t>
  </si>
  <si>
    <t>8797872365</t>
  </si>
  <si>
    <t>2022007037.gulshan@pt.sharda.ac.in</t>
  </si>
  <si>
    <t>9205900265</t>
  </si>
  <si>
    <t>2022428888.girishkumar@pt.sharda.ac.in</t>
  </si>
  <si>
    <t>7701997160</t>
  </si>
  <si>
    <t>2022496362.deveshchandra@pt.sharda.ac.in</t>
  </si>
  <si>
    <t>8840751848</t>
  </si>
  <si>
    <t>2022005278.chhatradhari@pt.sharda.ac.in</t>
  </si>
  <si>
    <t>8709314257</t>
  </si>
  <si>
    <t>2022529691.prabhat@pt.sharda.ac.in</t>
  </si>
  <si>
    <t>7302447130</t>
  </si>
  <si>
    <t>2022439234.jaiprakash@pt.sharda.ac.in</t>
  </si>
  <si>
    <t>9599806982</t>
  </si>
  <si>
    <t>2022006709.rajnikant@pt.sharda.ac.in</t>
  </si>
  <si>
    <t>8397958947</t>
  </si>
  <si>
    <t>2022006115.ranjan@pt.sharda.ac.in</t>
  </si>
  <si>
    <t>7209648347</t>
  </si>
  <si>
    <t>2022410984.crussel@pt.sharda.ac.in</t>
  </si>
  <si>
    <t>9778206460</t>
  </si>
  <si>
    <t>2022307000.rambabu@pt.sharda.ac.in</t>
  </si>
  <si>
    <t>8448407708</t>
  </si>
  <si>
    <t>2022553875.syedshakeel@pt.sharda.ac.in</t>
  </si>
  <si>
    <t>7705055654</t>
  </si>
  <si>
    <t>2022459247.rahul@pt.sharda.ac.in</t>
  </si>
  <si>
    <t>6003035272</t>
  </si>
  <si>
    <t>2022465132.bhavendrakumar@pt.sharda.ac.in</t>
  </si>
  <si>
    <t>7838177753</t>
  </si>
  <si>
    <t>2022513718.sushil@pt.sharda.ac.in</t>
  </si>
  <si>
    <t>9910743793</t>
  </si>
  <si>
    <t>2022518889.bimla@pt.sharda.ac.in</t>
  </si>
  <si>
    <t>9835638407</t>
  </si>
  <si>
    <t>2022003733.sanjay@pt.sharda.ac.in</t>
  </si>
  <si>
    <t>9711782891</t>
  </si>
  <si>
    <t>2022335852.sanjay@pt.sharda.ac.in</t>
  </si>
  <si>
    <t>9899751392</t>
  </si>
  <si>
    <t>2022005013.jaswant@pt.sharda.ac.in</t>
  </si>
  <si>
    <t>8103186720</t>
  </si>
  <si>
    <t>2022520199.rakeshkumar@pt.sharda.ac.in</t>
  </si>
  <si>
    <t>8279408366</t>
  </si>
  <si>
    <t>2022823509.amos@pt.sharda.ac.in</t>
  </si>
  <si>
    <t>9560018314</t>
  </si>
  <si>
    <t>2022421811.vijaykumar@pt.sharda.ac.in</t>
  </si>
  <si>
    <t>8449136909</t>
  </si>
  <si>
    <t>2022477719.ravindra@pt.sharda.ac.in</t>
  </si>
  <si>
    <t>9891991299</t>
  </si>
  <si>
    <t>2022374380.dipak@pt.sharda.ac.in</t>
  </si>
  <si>
    <t>6200040819</t>
  </si>
  <si>
    <t>2022495156.vikram@pt.sharda.ac.in</t>
  </si>
  <si>
    <t>9654097286</t>
  </si>
  <si>
    <t>2022006597.mdaqueeque@pt.sharda.ac.in</t>
  </si>
  <si>
    <t>9334342439</t>
  </si>
  <si>
    <t>2022518973.awadhesh@pt.sharda.ac.in</t>
  </si>
  <si>
    <t>7355119701</t>
  </si>
  <si>
    <t>2022490281.vikas@pt.sharda.ac.in</t>
  </si>
  <si>
    <t>7618391125</t>
  </si>
  <si>
    <t>2022006563.deep@pt.sharda.ac.in</t>
  </si>
  <si>
    <t>9891292692</t>
  </si>
  <si>
    <t>2022006893.shrikrishna@pt.sharda.ac.in</t>
  </si>
  <si>
    <t>8009066918</t>
  </si>
  <si>
    <t>2022007789.ashokkumar@pt.sharda.ac.in</t>
  </si>
  <si>
    <t>9654279733</t>
  </si>
  <si>
    <t>2022565521.vimalkumar@pt.sharda.ac.in</t>
  </si>
  <si>
    <t>9263634121</t>
  </si>
  <si>
    <t>2022573142.rajeev@pt.sharda.ac.in</t>
  </si>
  <si>
    <t>9318419158</t>
  </si>
  <si>
    <t>2022586591.jaykishor@pt.sharda.ac.in</t>
  </si>
  <si>
    <t>8595873389</t>
  </si>
  <si>
    <t>2022599098.mdafroz@pt.sharda.ac.in</t>
  </si>
  <si>
    <t>7428733580</t>
  </si>
  <si>
    <t>2022603519.kamruddin@pt.sharda.ac.in</t>
  </si>
  <si>
    <t>7054869489</t>
  </si>
  <si>
    <t>2022617520.vijaykumar@pt.sharda.ac.in</t>
  </si>
  <si>
    <t>6201660982</t>
  </si>
  <si>
    <t>2022618106.ramkishan@pt.sharda.ac.in</t>
  </si>
  <si>
    <t>9812579800</t>
  </si>
  <si>
    <t>2022435623.karampal@pt.sharda.ac.in</t>
  </si>
  <si>
    <t>8708482858</t>
  </si>
  <si>
    <t>2022431018.alimul@pt.sharda.ac.in</t>
  </si>
  <si>
    <t>9889511924</t>
  </si>
  <si>
    <t>2022434137.karampal@pt.sharda.ac.in</t>
  </si>
  <si>
    <t>9588385607</t>
  </si>
  <si>
    <t>2021362606.atulkumar@pt.sharda.ac.in</t>
  </si>
  <si>
    <t>9650790541</t>
  </si>
  <si>
    <t>2021518169.shatrughan@pt.sharda.ac.in</t>
  </si>
  <si>
    <t>6302163675</t>
  </si>
  <si>
    <t>2021455580.dimod@pt.sharda.ac.in</t>
  </si>
  <si>
    <t>2021341739.birendra@pt.sharda.ac.in</t>
  </si>
  <si>
    <t>9654228487</t>
  </si>
  <si>
    <t>2021399162.pradeep@pt.sharda.ac.in</t>
  </si>
  <si>
    <t>7897723111</t>
  </si>
  <si>
    <t>2021411743.rajesh@pt.sharda.ac.in</t>
  </si>
  <si>
    <t>2021344584.vipin@pt.sharda.ac.in</t>
  </si>
  <si>
    <t>9953758003</t>
  </si>
  <si>
    <t>2021390811.divakar@pt.sharda.ac.in</t>
  </si>
  <si>
    <t>8527315450</t>
  </si>
  <si>
    <t>2021369165.mohammad@pt.sharda.ac.in</t>
  </si>
  <si>
    <t>7078016459</t>
  </si>
  <si>
    <t>2022004949.lategyanesh@pt.sharda.ac.in</t>
  </si>
  <si>
    <t>8294762440</t>
  </si>
  <si>
    <t>2022006849.anand@pt.sharda.ac.in</t>
  </si>
  <si>
    <t>9110922006</t>
  </si>
  <si>
    <t>2022589100.harendrasingh@pt.sharda.ac.in</t>
  </si>
  <si>
    <t>9997007933</t>
  </si>
  <si>
    <t>2022512918.ashok@pt.sharda.ac.in</t>
  </si>
  <si>
    <t>8059751408</t>
  </si>
  <si>
    <t>2022309968.rambabu@pt.sharda.ac.in</t>
  </si>
  <si>
    <t>9991264474</t>
  </si>
  <si>
    <t>2022473465.vivek@pt.sharda.ac.in</t>
  </si>
  <si>
    <t>8882135391</t>
  </si>
  <si>
    <t>2022340865.dharmender@pt.sharda.ac.in</t>
  </si>
  <si>
    <t>7428102368</t>
  </si>
  <si>
    <t>2022527313.harendrapd@pt.sharda.ac.in</t>
  </si>
  <si>
    <t>8826110212</t>
  </si>
  <si>
    <t>2022572764.sajjan@pt.sharda.ac.in</t>
  </si>
  <si>
    <t>7587727300</t>
  </si>
  <si>
    <t>2022416375.sanjeev@pt.sharda.ac.in</t>
  </si>
  <si>
    <t>9289202666</t>
  </si>
  <si>
    <t>2022000628.mdakram@pt.sharda.ac.in</t>
  </si>
  <si>
    <t>8766253997</t>
  </si>
  <si>
    <t>2022512289.praveen@pt.sharda.ac.in</t>
  </si>
  <si>
    <t>7303803216</t>
  </si>
  <si>
    <t>2022510361.manoranjankumar@pt.sharda.ac.in</t>
  </si>
  <si>
    <t>8209124495</t>
  </si>
  <si>
    <t>2022449092.deep@pt.sharda.ac.in</t>
  </si>
  <si>
    <t>9899795950</t>
  </si>
  <si>
    <t>2022505589.mazhar@pt.sharda.ac.in</t>
  </si>
  <si>
    <t>7250896124</t>
  </si>
  <si>
    <t>2022574378.mohd@pt.sharda.ac.in</t>
  </si>
  <si>
    <t>8448939385</t>
  </si>
  <si>
    <t>2022539044.mokaraanand@pt.sharda.ac.in</t>
  </si>
  <si>
    <t>7981169700</t>
  </si>
  <si>
    <t>2022001306.munnakumar@pt.sharda.ac.in</t>
  </si>
  <si>
    <t>8130225959</t>
  </si>
  <si>
    <t>2022515421.akashpratap@pt.sharda.ac.in</t>
  </si>
  <si>
    <t>9811554132</t>
  </si>
  <si>
    <t>2022563312.karamchand@pt.sharda.ac.in</t>
  </si>
  <si>
    <t>7658095205</t>
  </si>
  <si>
    <t>2022483967.leelanand@pt.sharda.ac.in</t>
  </si>
  <si>
    <t>9927263323</t>
  </si>
  <si>
    <t>2022330451.rishi@pt.sharda.ac.in</t>
  </si>
  <si>
    <t>9625063177</t>
  </si>
  <si>
    <t>2022006324.neeraj@pt.sharda.ac.in</t>
  </si>
  <si>
    <t>9711766759</t>
  </si>
  <si>
    <t>2022495866.ravinkumar@pt.sharda.ac.in</t>
  </si>
  <si>
    <t>9079705091</t>
  </si>
  <si>
    <t>2022006712.gajinder@pt.sharda.ac.in</t>
  </si>
  <si>
    <t>7027877594</t>
  </si>
  <si>
    <t>2022434098.vijaykumar@pt.sharda.ac.in</t>
  </si>
  <si>
    <t>9650937240</t>
  </si>
  <si>
    <t>2022368174.dharmendra@pt.sharda.ac.in</t>
  </si>
  <si>
    <t>7042243306</t>
  </si>
  <si>
    <t>2022484153.sushil@pt.sharda.ac.in</t>
  </si>
  <si>
    <t>9667014850</t>
  </si>
  <si>
    <t>2022003650.raj@pt.sharda.ac.in</t>
  </si>
  <si>
    <t>9650136114</t>
  </si>
  <si>
    <t>2022005848.harendra@pt.sharda.ac.in</t>
  </si>
  <si>
    <t>8076173252</t>
  </si>
  <si>
    <t>2022007324.rishi@pt.sharda.ac.in</t>
  </si>
  <si>
    <t>8130611967</t>
  </si>
  <si>
    <t>2022007387.jai@pt.sharda.ac.in</t>
  </si>
  <si>
    <t>7351557116</t>
  </si>
  <si>
    <t>2022311612.kedar@pt.sharda.ac.in</t>
  </si>
  <si>
    <t>9958812287</t>
  </si>
  <si>
    <t>2022530497.deepak@pt.sharda.ac.in</t>
  </si>
  <si>
    <t>9818553760</t>
  </si>
  <si>
    <t>2022608097.satish@pt.sharda.ac.in</t>
  </si>
  <si>
    <t>9306836958</t>
  </si>
  <si>
    <t>2021365266.puneet@pt.sharda.ac.in</t>
  </si>
  <si>
    <t>9899139991</t>
  </si>
  <si>
    <t>2021424420.ganesh@pt.sharda.ac.in</t>
  </si>
  <si>
    <t>9560340167</t>
  </si>
  <si>
    <t>2021373851.keshabch@pt.sharda.ac.in</t>
  </si>
  <si>
    <t>9954877061</t>
  </si>
  <si>
    <t>2022005947.manoj@pt.sharda.ac.in</t>
  </si>
  <si>
    <t>9813298933</t>
  </si>
  <si>
    <t>2022404832.dhanai@pt.sharda.ac.in</t>
  </si>
  <si>
    <t>7488253699</t>
  </si>
  <si>
    <t>2022312671.rakesh@pt.sharda.ac.in</t>
  </si>
  <si>
    <t>9205056049</t>
  </si>
  <si>
    <t>2022003992.ajay@pt.sharda.ac.in</t>
  </si>
  <si>
    <t>8010391391</t>
  </si>
  <si>
    <t>2022432344.ramagya@pt.sharda.ac.in</t>
  </si>
  <si>
    <t>7542004925</t>
  </si>
  <si>
    <t>2022826376.abudi@pt.sharda.ac.in</t>
  </si>
  <si>
    <t>91 9910221368</t>
  </si>
  <si>
    <t>2022007474.anteshkumarsingh@pt.sharda.ac.in</t>
  </si>
  <si>
    <t>9318324541</t>
  </si>
  <si>
    <t>2022008078.nauratan@pt.sharda.ac.in</t>
  </si>
  <si>
    <t>9759106757</t>
  </si>
  <si>
    <t>2022008085.mdakhlaque@pt.sharda.ac.in</t>
  </si>
  <si>
    <t>9455356020</t>
  </si>
  <si>
    <t>2022008217.pradeep@pt.sharda.ac.in</t>
  </si>
  <si>
    <t>6397937425</t>
  </si>
  <si>
    <t>2022008317.sitaram@pt.sharda.ac.in</t>
  </si>
  <si>
    <t>6350369251</t>
  </si>
  <si>
    <t>2022008331.bhaskar@pt.sharda.ac.in</t>
  </si>
  <si>
    <t>8630404079</t>
  </si>
  <si>
    <t>2022622988.binodkumar@pt.sharda.ac.in</t>
  </si>
  <si>
    <t>9060844039</t>
  </si>
  <si>
    <t>2022513156.sushil@pt.sharda.ac.in</t>
  </si>
  <si>
    <t>8874310326</t>
  </si>
  <si>
    <t>2022343833.sushil@pt.sharda.ac.in</t>
  </si>
  <si>
    <t>8210991280</t>
  </si>
  <si>
    <t>2022601278.lokireddy@pt.sharda.ac.in</t>
  </si>
  <si>
    <t>7995387683</t>
  </si>
  <si>
    <t>2021476666.narender@pt.sharda.ac.in</t>
  </si>
  <si>
    <t>8826386070</t>
  </si>
  <si>
    <t>2021406215.gupta@pt.sharda.ac.in</t>
  </si>
  <si>
    <t>9811154749</t>
  </si>
  <si>
    <t>2021826104.abubakar@pt.sharda.ac.in</t>
  </si>
  <si>
    <t>9289739207</t>
  </si>
  <si>
    <t>2021472701.deepak@pt.sharda.ac.in</t>
  </si>
  <si>
    <t>9026376682</t>
  </si>
  <si>
    <t>2022398713.arupkr@pt.sharda.ac.in</t>
  </si>
  <si>
    <t>8638321491</t>
  </si>
  <si>
    <t>2022508386.shiv@pt.sharda.ac.in</t>
  </si>
  <si>
    <t>7544933550</t>
  </si>
  <si>
    <t>2022006640.sardar@pt.sharda.ac.in</t>
  </si>
  <si>
    <t>9509513169</t>
  </si>
  <si>
    <t>2022004657.kedarnath@pt.sharda.ac.in</t>
  </si>
  <si>
    <t>7667376670</t>
  </si>
  <si>
    <t>2022007148.sunil@pt.sharda.ac.in</t>
  </si>
  <si>
    <t>8130221842</t>
  </si>
  <si>
    <t>2022459065.shailendra@pt.sharda.ac.in</t>
  </si>
  <si>
    <t>7599283994</t>
  </si>
  <si>
    <t>2022006161.sunil@pt.sharda.ac.in</t>
  </si>
  <si>
    <t>7427081733</t>
  </si>
  <si>
    <t>2022421393.parveen@pt.sharda.ac.in</t>
  </si>
  <si>
    <t>9050909428</t>
  </si>
  <si>
    <t>2022509542.harvinder@pt.sharda.ac.in</t>
  </si>
  <si>
    <t>8930176410</t>
  </si>
  <si>
    <t>2022361815.vinod@pt.sharda.ac.in</t>
  </si>
  <si>
    <t>7500528418</t>
  </si>
  <si>
    <t>2022472743.sunil@pt.sharda.ac.in</t>
  </si>
  <si>
    <t>8178840076</t>
  </si>
  <si>
    <t>2022554328.yoginder@pt.sharda.ac.in</t>
  </si>
  <si>
    <t>9289537747</t>
  </si>
  <si>
    <t>2022509576.sunilkumar@pt.sharda.ac.in</t>
  </si>
  <si>
    <t>8577995518</t>
  </si>
  <si>
    <t>2022304714.shivpratap@pt.sharda.ac.in</t>
  </si>
  <si>
    <t>9569382186</t>
  </si>
  <si>
    <t>2022484080.tekraj@pt.sharda.ac.in</t>
  </si>
  <si>
    <t>9818652415</t>
  </si>
  <si>
    <t>2022006647.muhammadshahab@pt.sharda.ac.in</t>
  </si>
  <si>
    <t>8207894550</t>
  </si>
  <si>
    <t>2022811762.mdabu@pt.sharda.ac.in</t>
  </si>
  <si>
    <t>9910017793</t>
  </si>
  <si>
    <t>2022006421.mohammad@pt.sharda.ac.in</t>
  </si>
  <si>
    <t>8218285782</t>
  </si>
  <si>
    <t>2022005748.nandkumar@pt.sharda.ac.in</t>
  </si>
  <si>
    <t>8340715906</t>
  </si>
  <si>
    <t>2022451626.yagyanarayan@pt.sharda.ac.in</t>
  </si>
  <si>
    <t>8840713082</t>
  </si>
  <si>
    <t>2022549867.rampalsingh@pt.sharda.ac.in</t>
  </si>
  <si>
    <t>9058937591</t>
  </si>
  <si>
    <t>2022361106.yogendra@pt.sharda.ac.in</t>
  </si>
  <si>
    <t>9811284037</t>
  </si>
  <si>
    <t>2022561375.komal@pt.sharda.ac.in</t>
  </si>
  <si>
    <t>8800266907</t>
  </si>
  <si>
    <t>2022409593.sanjay@pt.sharda.ac.in</t>
  </si>
  <si>
    <t>7250103511</t>
  </si>
  <si>
    <t>2022548738.awadheshkumar@pt.sharda.ac.in</t>
  </si>
  <si>
    <t>9953661145</t>
  </si>
  <si>
    <t>2022512443.anilkumar@pt.sharda.ac.in</t>
  </si>
  <si>
    <t>9650144415</t>
  </si>
  <si>
    <t>2022354910.mohdashraf@pt.sharda.ac.in</t>
  </si>
  <si>
    <t>7006840535</t>
  </si>
  <si>
    <t>2022005080.manoj@pt.sharda.ac.in</t>
  </si>
  <si>
    <t>6261474336</t>
  </si>
  <si>
    <t>2022387850.nawinkumar@pt.sharda.ac.in</t>
  </si>
  <si>
    <t>6299230801</t>
  </si>
  <si>
    <t>2022309446.sanjaykumar@pt.sharda.ac.in</t>
  </si>
  <si>
    <t>6204907417</t>
  </si>
  <si>
    <t>2022499440.hemanta@pt.sharda.ac.in</t>
  </si>
  <si>
    <t>8178983656</t>
  </si>
  <si>
    <t>2022466983.surendra@pt.sharda.ac.in</t>
  </si>
  <si>
    <t>6386780838</t>
  </si>
  <si>
    <t>2022409813.sarvendrakumar@pt.sharda.ac.in</t>
  </si>
  <si>
    <t>8595755536</t>
  </si>
  <si>
    <t>2022816972.rajeshkumar@pt.sharda.ac.in</t>
  </si>
  <si>
    <t>977 9803374701</t>
  </si>
  <si>
    <t>2022471296.amash@pt.sharda.ac.in</t>
  </si>
  <si>
    <t>9360656374</t>
  </si>
  <si>
    <t>2022482202.praveen@pt.sharda.ac.in</t>
  </si>
  <si>
    <t>9871674364</t>
  </si>
  <si>
    <t>2022427832.sanjay@pt.sharda.ac.in</t>
  </si>
  <si>
    <t>9990980968</t>
  </si>
  <si>
    <t>2022007193.prabhakar@pt.sharda.ac.in</t>
  </si>
  <si>
    <t>9140594725</t>
  </si>
  <si>
    <t>2022618129.rakesh@pt.sharda.ac.in</t>
  </si>
  <si>
    <t>9852843503</t>
  </si>
  <si>
    <t>2022623875.akhileshwar@pt.sharda.ac.in</t>
  </si>
  <si>
    <t>7033903312</t>
  </si>
  <si>
    <t>2023253225.mahendra@pt.sharda.ac.in</t>
  </si>
  <si>
    <t>6207041943</t>
  </si>
  <si>
    <t>2022460800.kamlesh@pt.sharda.ac.in</t>
  </si>
  <si>
    <t>7084404086</t>
  </si>
  <si>
    <t>2022320806.shivendraprakash@pt.sharda.ac.in</t>
  </si>
  <si>
    <t>9889962074</t>
  </si>
  <si>
    <t>2022405621.sakir@pt.sharda.ac.in</t>
  </si>
  <si>
    <t>7808411145</t>
  </si>
  <si>
    <t>2022396862.fahim@pt.sharda.ac.in</t>
  </si>
  <si>
    <t>9205513934</t>
  </si>
  <si>
    <t>2022487134.sanjeev@pt.sharda.ac.in</t>
  </si>
  <si>
    <t>9679500927</t>
  </si>
  <si>
    <t>2022542651.sohanpalsingh@pt.sharda.ac.in</t>
  </si>
  <si>
    <t>8088750319</t>
  </si>
  <si>
    <t>2022603988.vaneet@pt.sharda.ac.in</t>
  </si>
  <si>
    <t>9717889890</t>
  </si>
  <si>
    <t>2022008213.arunkumar@pt.sharda.ac.in</t>
  </si>
  <si>
    <t>9265332714</t>
  </si>
  <si>
    <t>2022006289.shyambir@pt.sharda.ac.in</t>
  </si>
  <si>
    <t>7982036498</t>
  </si>
  <si>
    <t>2022008160.shiv@pt.sharda.ac.in</t>
  </si>
  <si>
    <t>7408921681</t>
  </si>
  <si>
    <t>2022476818.navinkumar@pt.sharda.ac.in</t>
  </si>
  <si>
    <t>9546477703</t>
  </si>
  <si>
    <t>2022431320.umesh@pt.sharda.ac.in</t>
  </si>
  <si>
    <t>9540849531</t>
  </si>
  <si>
    <t>2022006750.arunkumar@pt.sharda.ac.in</t>
  </si>
  <si>
    <t>9354082061</t>
  </si>
  <si>
    <t>2022006106.abdul@pt.sharda.ac.in</t>
  </si>
  <si>
    <t>9999224584</t>
  </si>
  <si>
    <t>2022003592.manoj@pt.sharda.ac.in</t>
  </si>
  <si>
    <t>9990824178</t>
  </si>
  <si>
    <t>2022579523.dhananjaykumar@pt.sharda.ac.in</t>
  </si>
  <si>
    <t>9971013385</t>
  </si>
  <si>
    <t>2022305070.jitendra@pt.sharda.ac.in</t>
  </si>
  <si>
    <t>9634290526</t>
  </si>
  <si>
    <t>2022003323.chand@pt.sharda.ac.in</t>
  </si>
  <si>
    <t>9958067752</t>
  </si>
  <si>
    <t>2022523814.pradeep@pt.sharda.ac.in</t>
  </si>
  <si>
    <t>9412584726</t>
  </si>
  <si>
    <t>2022314446.abdulsamim@pt.sharda.ac.in</t>
  </si>
  <si>
    <t>8860179432</t>
  </si>
  <si>
    <t>2022342643.harendra@pt.sharda.ac.in</t>
  </si>
  <si>
    <t>7017891559</t>
  </si>
  <si>
    <t>2022007077.rajkumar@pt.sharda.ac.in</t>
  </si>
  <si>
    <t>8057247756</t>
  </si>
  <si>
    <t>2022006247.sachin@pt.sharda.ac.in</t>
  </si>
  <si>
    <t>7042664288</t>
  </si>
  <si>
    <t>2022006233.nadeem@pt.sharda.ac.in</t>
  </si>
  <si>
    <t>9389850285</t>
  </si>
  <si>
    <t>2022817981.gyanbahadur@pt.sharda.ac.in</t>
  </si>
  <si>
    <t>91 7303998344</t>
  </si>
  <si>
    <t>2022003325.kailashprasad@pt.sharda.ac.in</t>
  </si>
  <si>
    <t>9310441503</t>
  </si>
  <si>
    <t>2022007217.dalchand@pt.sharda.ac.in</t>
  </si>
  <si>
    <t>9045297509</t>
  </si>
  <si>
    <t>2022543882.sm@pt.sharda.ac.in</t>
  </si>
  <si>
    <t>8287522898</t>
  </si>
  <si>
    <t>2022594965.mahendra@pt.sharda.ac.in</t>
  </si>
  <si>
    <t>8709805044</t>
  </si>
  <si>
    <t>2022597147.dilipkumar@pt.sharda.ac.in</t>
  </si>
  <si>
    <t>9117697809</t>
  </si>
  <si>
    <t>2022003741.hausiku@pt.sharda.ac.in</t>
  </si>
  <si>
    <t>91 818526326</t>
  </si>
  <si>
    <t>2021380904.ram@pt.sharda.ac.in</t>
  </si>
  <si>
    <t>9540412027</t>
  </si>
  <si>
    <t>2022386358.ravinder@pt.sharda.ac.in</t>
  </si>
  <si>
    <t>9654372879</t>
  </si>
  <si>
    <t>2022510612.vipin@pt.sharda.ac.in</t>
  </si>
  <si>
    <t>9690319106</t>
  </si>
  <si>
    <t>2022004729.pramod@pt.sharda.ac.in</t>
  </si>
  <si>
    <t>8292746886</t>
  </si>
  <si>
    <t>2022003451.abhishek@pt.sharda.ac.in</t>
  </si>
  <si>
    <t>9818865382</t>
  </si>
  <si>
    <t>2022000299.ram@pt.sharda.ac.in</t>
  </si>
  <si>
    <t>9310056643</t>
  </si>
  <si>
    <t>2022509891.sachin@pt.sharda.ac.in</t>
  </si>
  <si>
    <t>8287142179</t>
  </si>
  <si>
    <t>2022536194.rajeev@pt.sharda.ac.in</t>
  </si>
  <si>
    <t>8595995890</t>
  </si>
  <si>
    <t>2022005315.jasvir@pt.sharda.ac.in</t>
  </si>
  <si>
    <t>9992014552</t>
  </si>
  <si>
    <t>2022503936.kamlesh@pt.sharda.ac.in</t>
  </si>
  <si>
    <t>8368158949</t>
  </si>
  <si>
    <t>2022390387.sanjay@pt.sharda.ac.in</t>
  </si>
  <si>
    <t>9557360987</t>
  </si>
  <si>
    <t>2022507071.kaushalsingh@pt.sharda.ac.in</t>
  </si>
  <si>
    <t>7065568018</t>
  </si>
  <si>
    <t>2022504250.amarjit@pt.sharda.ac.in</t>
  </si>
  <si>
    <t>7404653634</t>
  </si>
  <si>
    <t>2022477888.sanjaykumar@pt.sharda.ac.in</t>
  </si>
  <si>
    <t>9608904794</t>
  </si>
  <si>
    <t>2022463885.jitendra@pt.sharda.ac.in</t>
  </si>
  <si>
    <t>9971018037</t>
  </si>
  <si>
    <t>2022401760.tejvir@pt.sharda.ac.in</t>
  </si>
  <si>
    <t>9837408157</t>
  </si>
  <si>
    <t>2022006170.rajendra@pt.sharda.ac.in</t>
  </si>
  <si>
    <t>9953208902</t>
  </si>
  <si>
    <t>2022519978.manesh@pt.sharda.ac.in</t>
  </si>
  <si>
    <t>9557520205</t>
  </si>
  <si>
    <t>2022506228.wasim@pt.sharda.ac.in</t>
  </si>
  <si>
    <t>9643909564</t>
  </si>
  <si>
    <t>2022387999.jaikishore@pt.sharda.ac.in</t>
  </si>
  <si>
    <t>8210802254</t>
  </si>
  <si>
    <t>2022522914.anuj@pt.sharda.ac.in</t>
  </si>
  <si>
    <t>9729524695</t>
  </si>
  <si>
    <t>2022006860.ravi@pt.sharda.ac.in</t>
  </si>
  <si>
    <t>8877464245</t>
  </si>
  <si>
    <t>2022489738.deepak@pt.sharda.ac.in</t>
  </si>
  <si>
    <t>7988496098</t>
  </si>
  <si>
    <t>2022002885.sanjaykumar@pt.sharda.ac.in</t>
  </si>
  <si>
    <t>9625967510</t>
  </si>
  <si>
    <t>2022004595.hira@pt.sharda.ac.in</t>
  </si>
  <si>
    <t>8595711734</t>
  </si>
  <si>
    <t>2022007672.vinod@pt.sharda.ac.in</t>
  </si>
  <si>
    <t>9868060906</t>
  </si>
  <si>
    <t>2022007731.bikrant@pt.sharda.ac.in</t>
  </si>
  <si>
    <t>8809244714</t>
  </si>
  <si>
    <t>2022007802.dilip@pt.sharda.ac.in</t>
  </si>
  <si>
    <t>6201671366</t>
  </si>
  <si>
    <t>2022008050.satyanarayan@pt.sharda.ac.in</t>
  </si>
  <si>
    <t>7319619584</t>
  </si>
  <si>
    <t>2022008126.satyendra@pt.sharda.ac.in</t>
  </si>
  <si>
    <t>8588830775</t>
  </si>
  <si>
    <t>2022008263.neyaz@pt.sharda.ac.in</t>
  </si>
  <si>
    <t>6201810484</t>
  </si>
  <si>
    <t>2022619784.rajesh@pt.sharda.ac.in</t>
  </si>
  <si>
    <t>8397998514</t>
  </si>
  <si>
    <t>2022306619.naresh@pt.sharda.ac.in</t>
  </si>
  <si>
    <t>9012412091</t>
  </si>
  <si>
    <t>2022005043.nazar@pt.sharda.ac.in</t>
  </si>
  <si>
    <t>8810741139</t>
  </si>
  <si>
    <t>2022006195.narendra@pt.sharda.ac.in</t>
  </si>
  <si>
    <t>9696884367</t>
  </si>
  <si>
    <t>2022569459.ajit@pt.sharda.ac.in</t>
  </si>
  <si>
    <t>8920845321</t>
  </si>
  <si>
    <t>2022006607.rakesh@pt.sharda.ac.in</t>
  </si>
  <si>
    <t>9799499841</t>
  </si>
  <si>
    <t>2022394539.ranjitbahadur@pt.sharda.ac.in</t>
  </si>
  <si>
    <t>7518474249</t>
  </si>
  <si>
    <t>2022330517.ajay@pt.sharda.ac.in</t>
  </si>
  <si>
    <t>9899576127</t>
  </si>
  <si>
    <t>2022560746.amit@pt.sharda.ac.in</t>
  </si>
  <si>
    <t>9990955789</t>
  </si>
  <si>
    <t>2022004439.dharmendra@pt.sharda.ac.in</t>
  </si>
  <si>
    <t>7827340464</t>
  </si>
  <si>
    <t>2022514043.mdabdul@pt.sharda.ac.in</t>
  </si>
  <si>
    <t>6204221292</t>
  </si>
  <si>
    <t>2022514039.mdsabir@pt.sharda.ac.in</t>
  </si>
  <si>
    <t>8102469069</t>
  </si>
  <si>
    <t>2022489962.pawan@pt.sharda.ac.in</t>
  </si>
  <si>
    <t>9660745615</t>
  </si>
  <si>
    <t>2022307728.manoj@pt.sharda.ac.in</t>
  </si>
  <si>
    <t>7014710520</t>
  </si>
  <si>
    <t>2022316318.ajay@pt.sharda.ac.in</t>
  </si>
  <si>
    <t>8076065892</t>
  </si>
  <si>
    <t>2022005003.amarpal@pt.sharda.ac.in</t>
  </si>
  <si>
    <t>7060296200</t>
  </si>
  <si>
    <t>2022007017.arvind@pt.sharda.ac.in</t>
  </si>
  <si>
    <t>8273492667</t>
  </si>
  <si>
    <t>2022001453.avniprakash@pt.sharda.ac.in</t>
  </si>
  <si>
    <t>8700859728</t>
  </si>
  <si>
    <t>2022007457.bobish@pt.sharda.ac.in</t>
  </si>
  <si>
    <t>6284437406</t>
  </si>
  <si>
    <t>2022006824.yashpalsingh@pt.sharda.ac.in</t>
  </si>
  <si>
    <t>7073975568</t>
  </si>
  <si>
    <t>2022351697.ramsamujh@pt.sharda.ac.in</t>
  </si>
  <si>
    <t>8851337530</t>
  </si>
  <si>
    <t>2022833430.bharat@pt.sharda.ac.in</t>
  </si>
  <si>
    <t>977 9829876303</t>
  </si>
  <si>
    <t>2022360934.ramesh@pt.sharda.ac.in</t>
  </si>
  <si>
    <t>9441140429</t>
  </si>
  <si>
    <t>2021407901.surendrakumar@pt.sharda.ac.in</t>
  </si>
  <si>
    <t>7739004556</t>
  </si>
  <si>
    <t>2021307894.nandkishor@pt.sharda.ac.in</t>
  </si>
  <si>
    <t>8235811688</t>
  </si>
  <si>
    <t>2022490456.mukesh@pt.sharda.ac.in</t>
  </si>
  <si>
    <t>8279366087</t>
  </si>
  <si>
    <t>2022003855.raj@pt.sharda.ac.in</t>
  </si>
  <si>
    <t>9528854788</t>
  </si>
  <si>
    <t>2022006315.manveer@pt.sharda.ac.in</t>
  </si>
  <si>
    <t>8178506757</t>
  </si>
  <si>
    <t>2022505539.jawed@pt.sharda.ac.in</t>
  </si>
  <si>
    <t>9304239117</t>
  </si>
  <si>
    <t>2022307102.raj@pt.sharda.ac.in</t>
  </si>
  <si>
    <t>9971160270</t>
  </si>
  <si>
    <t>2022004886.shankar@pt.sharda.ac.in</t>
  </si>
  <si>
    <t>6399197791</t>
  </si>
  <si>
    <t>2022494267.surender@pt.sharda.ac.in</t>
  </si>
  <si>
    <t>8708066339</t>
  </si>
  <si>
    <t>2022006280.rakesh@pt.sharda.ac.in</t>
  </si>
  <si>
    <t>9306769854</t>
  </si>
  <si>
    <t>2022447868.amit@pt.sharda.ac.in</t>
  </si>
  <si>
    <t>8920237799</t>
  </si>
  <si>
    <t>2022400313.bhuwanchandra@pt.sharda.ac.in</t>
  </si>
  <si>
    <t>8923808666</t>
  </si>
  <si>
    <t>2022006905.nikhilkumar@pt.sharda.ac.in</t>
  </si>
  <si>
    <t>8797601432</t>
  </si>
  <si>
    <t>2022007628.bhagaban@pt.sharda.ac.in</t>
  </si>
  <si>
    <t>9668119938</t>
  </si>
  <si>
    <t>2021455216.praduman@pt.sharda.ac.in</t>
  </si>
  <si>
    <t>6394708696</t>
  </si>
  <si>
    <t>2022006231.balramsingh@pt.sharda.ac.in</t>
  </si>
  <si>
    <t>9719703744</t>
  </si>
  <si>
    <t>2022473539.pramod@pt.sharda.ac.in</t>
  </si>
  <si>
    <t>9905835444</t>
  </si>
  <si>
    <t>2022405514.amarnath@pt.sharda.ac.in</t>
  </si>
  <si>
    <t>8580626956</t>
  </si>
  <si>
    <t>2022310618.rakesh@pt.sharda.ac.in</t>
  </si>
  <si>
    <t>9978033818</t>
  </si>
  <si>
    <t>2022484226.kamal@pt.sharda.ac.in</t>
  </si>
  <si>
    <t>8218815598</t>
  </si>
  <si>
    <t>2022474671.bhurendrasingh@pt.sharda.ac.in</t>
  </si>
  <si>
    <t>7042072258</t>
  </si>
  <si>
    <t>2022447404.mithileshkumar@pt.sharda.ac.in</t>
  </si>
  <si>
    <t>8127629484</t>
  </si>
  <si>
    <t>2022466374.mahesh@pt.sharda.ac.in</t>
  </si>
  <si>
    <t>9818831158</t>
  </si>
  <si>
    <t>2022440656.santosh@pt.sharda.ac.in</t>
  </si>
  <si>
    <t>7835818206</t>
  </si>
  <si>
    <t>2022005319.biran@pt.sharda.ac.in</t>
  </si>
  <si>
    <t>7668136378</t>
  </si>
  <si>
    <t>2022003898.dayanand@pt.sharda.ac.in</t>
  </si>
  <si>
    <t>7409881779</t>
  </si>
  <si>
    <t>2022512685.shrikrishan@pt.sharda.ac.in</t>
  </si>
  <si>
    <t>8700257114</t>
  </si>
  <si>
    <t>2022407190.ranveer@pt.sharda.ac.in</t>
  </si>
  <si>
    <t>8077399196</t>
  </si>
  <si>
    <t>2022498160.harjeetsingh@pt.sharda.ac.in</t>
  </si>
  <si>
    <t>9650920970</t>
  </si>
  <si>
    <t>2022319788.sant@pt.sharda.ac.in</t>
  </si>
  <si>
    <t>9058990024</t>
  </si>
  <si>
    <t>2022395985.mohammadmahmoodur@pt.sharda.ac.in</t>
  </si>
  <si>
    <t>9013131486</t>
  </si>
  <si>
    <t>2022552126.umeshkumar@pt.sharda.ac.in</t>
  </si>
  <si>
    <t>9131912850</t>
  </si>
  <si>
    <t>2022508051.harish@pt.sharda.ac.in</t>
  </si>
  <si>
    <t>7048926901</t>
  </si>
  <si>
    <t>2022346529.jatinder@pt.sharda.ac.in</t>
  </si>
  <si>
    <t>9315770446</t>
  </si>
  <si>
    <t>2022806985.mdnazibun@pt.sharda.ac.in</t>
  </si>
  <si>
    <t>91 8373929452</t>
  </si>
  <si>
    <t>2022476924.manojkumar@pt.sharda.ac.in</t>
  </si>
  <si>
    <t>8178902122</t>
  </si>
  <si>
    <t>2022004628.bijender@pt.sharda.ac.in</t>
  </si>
  <si>
    <t>8392911095</t>
  </si>
  <si>
    <t>2022515845.raj@pt.sharda.ac.in</t>
  </si>
  <si>
    <t>7461897975</t>
  </si>
  <si>
    <t>2022512684.sunil@pt.sharda.ac.in</t>
  </si>
  <si>
    <t>6200216118</t>
  </si>
  <si>
    <t>2022313141.anant@pt.sharda.ac.in</t>
  </si>
  <si>
    <t>8383822875</t>
  </si>
  <si>
    <t>2022482472.neeraj@pt.sharda.ac.in</t>
  </si>
  <si>
    <t>9761024443</t>
  </si>
  <si>
    <t>2022005894.ram@pt.sharda.ac.in</t>
  </si>
  <si>
    <t>9557413527</t>
  </si>
  <si>
    <t>2022506566.javid@pt.sharda.ac.in</t>
  </si>
  <si>
    <t>9682559445</t>
  </si>
  <si>
    <t>2022509145.ravinkumar@pt.sharda.ac.in</t>
  </si>
  <si>
    <t>7976692104</t>
  </si>
  <si>
    <t>2022001202.sunil@pt.sharda.ac.in</t>
  </si>
  <si>
    <t>9870627396</t>
  </si>
  <si>
    <t>2022005556.raju@pt.sharda.ac.in</t>
  </si>
  <si>
    <t>8178185712</t>
  </si>
  <si>
    <t>2022350649.vinesh@pt.sharda.ac.in</t>
  </si>
  <si>
    <t>8700131913</t>
  </si>
  <si>
    <t>2022817674.goutam@pt.sharda.ac.in</t>
  </si>
  <si>
    <t>91 8807035586</t>
  </si>
  <si>
    <t>2022439682.harish@pt.sharda.ac.in</t>
  </si>
  <si>
    <t>8368763690</t>
  </si>
  <si>
    <t>2022006271.pankaj@pt.sharda.ac.in</t>
  </si>
  <si>
    <t>9717324654</t>
  </si>
  <si>
    <t>2022003490.puran@pt.sharda.ac.in</t>
  </si>
  <si>
    <t>9560528411</t>
  </si>
  <si>
    <t>2022492708.narayan@pt.sharda.ac.in</t>
  </si>
  <si>
    <t>8958190636</t>
  </si>
  <si>
    <t>2022801912.donald@pt.sharda.ac.in</t>
  </si>
  <si>
    <t>91 7042745832</t>
  </si>
  <si>
    <t>2022805927.dieudonmeboutoume@pt.sharda.ac.in</t>
  </si>
  <si>
    <t>9650263495</t>
  </si>
  <si>
    <t>2022387644.shashibhushanpd@pt.sharda.ac.in</t>
  </si>
  <si>
    <t>6203014720</t>
  </si>
  <si>
    <t>2022570125.prem@pt.sharda.ac.in</t>
  </si>
  <si>
    <t>9540293925</t>
  </si>
  <si>
    <t>2022572570.khulkam@pt.sharda.ac.in</t>
  </si>
  <si>
    <t>8974655610</t>
  </si>
  <si>
    <t>2022836076.binod@pt.sharda.ac.in</t>
  </si>
  <si>
    <t>977 9810532453</t>
  </si>
  <si>
    <t>2022836286.mdabdul@pt.sharda.ac.in</t>
  </si>
  <si>
    <t>91 9650564200</t>
  </si>
  <si>
    <t>2022837222.rajendra@pt.sharda.ac.in</t>
  </si>
  <si>
    <t>9804150469</t>
  </si>
  <si>
    <t>CSE353</t>
  </si>
  <si>
    <t>HMM305</t>
  </si>
  <si>
    <t>PE3</t>
  </si>
  <si>
    <t>PE4</t>
  </si>
  <si>
    <t>PE5</t>
  </si>
  <si>
    <t>VAT013</t>
  </si>
  <si>
    <t>OE-3</t>
  </si>
  <si>
    <t>ARP306</t>
  </si>
  <si>
    <t>CSP353</t>
  </si>
  <si>
    <t>CSP396</t>
  </si>
  <si>
    <t>CSP390</t>
  </si>
  <si>
    <t>CSA302</t>
  </si>
  <si>
    <t>CAL302</t>
  </si>
  <si>
    <t>CSA303</t>
  </si>
  <si>
    <t>CAL303</t>
  </si>
  <si>
    <t>CSD302</t>
  </si>
  <si>
    <t>CDP302</t>
  </si>
  <si>
    <t>CSD303</t>
  </si>
  <si>
    <t>CDP303</t>
  </si>
  <si>
    <t>CSA022</t>
  </si>
  <si>
    <t>CAL022</t>
  </si>
  <si>
    <t>CSI303</t>
  </si>
  <si>
    <t>CIP303</t>
  </si>
  <si>
    <t>CSC302</t>
  </si>
  <si>
    <t>CCP302</t>
  </si>
  <si>
    <t>CSC303</t>
  </si>
  <si>
    <t>CCP303</t>
  </si>
  <si>
    <t>CBT302</t>
  </si>
  <si>
    <t>CBT303</t>
  </si>
  <si>
    <t>CTV302</t>
  </si>
  <si>
    <t>CTP302</t>
  </si>
  <si>
    <t>CTV303</t>
  </si>
  <si>
    <t>CTP303</t>
  </si>
  <si>
    <t>G2</t>
  </si>
  <si>
    <t>G1</t>
  </si>
  <si>
    <t>B-Tech CSE (SPL)-VI P</t>
  </si>
  <si>
    <t>Ms. Aanchal Vij</t>
  </si>
  <si>
    <t>Mr. Ajeet Kumar Sharma</t>
  </si>
  <si>
    <t>Prof. (Dr.) Jayant Shekhar</t>
  </si>
  <si>
    <t>Dr. Subrata Sahana</t>
  </si>
  <si>
    <t>Dr. Krishan Kumar</t>
  </si>
  <si>
    <t>Dr Anubhava Srivastava</t>
  </si>
  <si>
    <t>Mr. Rashmi Rathi</t>
  </si>
  <si>
    <t>Mr. Ravikant Kumar Nirala</t>
  </si>
  <si>
    <t>Dr. Mayank Kumar Goyal</t>
  </si>
  <si>
    <t xml:space="preserve">Ms. Manju Verma </t>
  </si>
  <si>
    <t>Ms. Annu Mishra</t>
  </si>
  <si>
    <t>Mr. Avinash Kumar</t>
  </si>
  <si>
    <t>Ms. Ashu Goyal</t>
  </si>
  <si>
    <t>Ms. Amita Sharma</t>
  </si>
  <si>
    <t>Ms. Teena Verma</t>
  </si>
  <si>
    <t>Mr. Shashi Kant</t>
  </si>
  <si>
    <t>Mr. Ashish Jain</t>
  </si>
  <si>
    <t>Mr. Nishant Upadhyay</t>
  </si>
  <si>
    <t>Mr. Ajai Verma</t>
  </si>
  <si>
    <t>Mr. Dharmendra Kumar</t>
  </si>
  <si>
    <t>Dr. Sandeep Kumar</t>
  </si>
  <si>
    <t>Ms. Lisha Yugal</t>
  </si>
  <si>
    <t>Mr. Amit Kumar Rai</t>
  </si>
  <si>
    <t>Mr. Nikhil Ranjan</t>
  </si>
  <si>
    <t>Ms. Rosey Chauhan</t>
  </si>
  <si>
    <t>Ms. Sheenam Naaz</t>
  </si>
  <si>
    <t>Ms. Kamini</t>
  </si>
  <si>
    <t>Ms. Harminder Kaur</t>
  </si>
  <si>
    <t>Dr. Laxmi Kant Sagar</t>
  </si>
  <si>
    <t>Group</t>
  </si>
  <si>
    <t>Mentor</t>
  </si>
  <si>
    <t>Dr. Bal Krishna Saraswat</t>
  </si>
  <si>
    <t>Mentors</t>
  </si>
  <si>
    <t>Mr. Ketan Anand</t>
  </si>
  <si>
    <t>FastTrack</t>
  </si>
  <si>
    <t>Dr. Rani Astya</t>
  </si>
  <si>
    <t>Dr. Nishant Gupta</t>
  </si>
  <si>
    <t>Dr. Himanshu Sharma</t>
  </si>
  <si>
    <t>Third Year</t>
  </si>
  <si>
    <t xml:space="preserve">Readmitted </t>
  </si>
  <si>
    <t>Left</t>
  </si>
  <si>
    <t>2019005675.tarun@ug.sharda.ac.in</t>
  </si>
  <si>
    <t>2021455580.aryan@ug.sharda.ac.in</t>
  </si>
  <si>
    <t>Status After 2413</t>
  </si>
  <si>
    <t>Status after 2411</t>
  </si>
  <si>
    <t>Parallel Computing Algorithms_CSE072</t>
  </si>
  <si>
    <t>Aman Trivedi</t>
  </si>
  <si>
    <t>2019618451.aman@ug.sharda.ac.in</t>
  </si>
  <si>
    <t xml:space="preserve">Fast Track </t>
  </si>
  <si>
    <t>Sno</t>
  </si>
  <si>
    <t>System ID</t>
  </si>
  <si>
    <t xml:space="preserve">Fasttrack </t>
  </si>
  <si>
    <t>Campus ID</t>
  </si>
  <si>
    <t>Academic Program</t>
  </si>
  <si>
    <t>Academic Plan</t>
  </si>
  <si>
    <t>Remarks</t>
  </si>
  <si>
    <t>Student's Email</t>
  </si>
  <si>
    <t>Parent's Email</t>
  </si>
  <si>
    <t>Remark-2(Fast Learning Mode)</t>
  </si>
  <si>
    <t>Fast learning Mode</t>
  </si>
  <si>
    <t>Introduction to Internet of Things_CSE071</t>
  </si>
  <si>
    <t>Introduction to Internet of Things_CSE072</t>
  </si>
  <si>
    <t>Introduction to Internet of Things_CSE073</t>
  </si>
  <si>
    <t>Introduction to Internet of Things_CSE074</t>
  </si>
  <si>
    <t>Introduction to Internet of Things_CSE075</t>
  </si>
  <si>
    <t>Introduction to Internet of Things_CSE076</t>
  </si>
  <si>
    <t>Introduction to Internet of Things_CSE077</t>
  </si>
  <si>
    <t>Introduction to Internet of Things_CSE078</t>
  </si>
  <si>
    <t>Introduction to Internet of Things_CSE079</t>
  </si>
  <si>
    <t>Introduction to Internet of Things_CSE080</t>
  </si>
  <si>
    <t>Introduction to Internet of Things_CSE081</t>
  </si>
  <si>
    <t>Introduction to Internet of Things_CSE082</t>
  </si>
  <si>
    <t>Introduction to Internet of Things_CSE083</t>
  </si>
  <si>
    <t>Introduction to Internet of Things_CSE084</t>
  </si>
  <si>
    <t>Introduction to Internet of Things_CSE085</t>
  </si>
  <si>
    <t>Introduction to Internet of Things_CSE086</t>
  </si>
  <si>
    <t>Introduction to Internet of Things_CSE087</t>
  </si>
  <si>
    <t>Introduction to Internet of Things_CSE088</t>
  </si>
  <si>
    <t>Introduction to Internet of Things_CSE089</t>
  </si>
  <si>
    <t>Introduction to Internet of Things_CSE090</t>
  </si>
  <si>
    <t>Introduction to Internet of Things_CSE091</t>
  </si>
  <si>
    <t>Introduction to Internet of Things_CSE092</t>
  </si>
  <si>
    <t>Introduction to Internet of Things_CSE093</t>
  </si>
  <si>
    <t>Introduction to Internet of Things_CSE094</t>
  </si>
  <si>
    <t>Introduction to Internet of Things_CSE095</t>
  </si>
  <si>
    <t>Introduction to Internet of Things_CSE096</t>
  </si>
  <si>
    <t>Introduction to Internet of Things_CSE097</t>
  </si>
  <si>
    <t>Introduction to Internet of Things_CSE098</t>
  </si>
  <si>
    <t>Introduction to Internet of Things_CSE099</t>
  </si>
  <si>
    <t>Introduction to Internet of Things_CSE100</t>
  </si>
  <si>
    <t>Introduction to Internet of Things_CSE101</t>
  </si>
  <si>
    <t>Introduction to Internet of Things_CSE102</t>
  </si>
  <si>
    <t>Introduction to Internet of Things_CSE103</t>
  </si>
  <si>
    <t>Introduction to Internet of Things_CSE104</t>
  </si>
  <si>
    <t>Introduction to Internet of Things_CSE105</t>
  </si>
  <si>
    <t>Introduction to Internet of Things_CSE106</t>
  </si>
  <si>
    <t>Introduction to Internet of Things_CSE107</t>
  </si>
  <si>
    <t>Introduction to Internet of Things_CSE108</t>
  </si>
  <si>
    <t>Introduction to Internet of Things_CSE109</t>
  </si>
  <si>
    <t>Introduction to Internet of Things_CSE110</t>
  </si>
  <si>
    <t>Introduction to Internet of Things_CSE111</t>
  </si>
  <si>
    <t>Introduction to Internet of Things_CSE112</t>
  </si>
  <si>
    <t>Introduction to Internet of Things_CSE113</t>
  </si>
  <si>
    <t>Introduction to Internet of Things_CSE114</t>
  </si>
  <si>
    <t>Introduction to Internet of Things_CSE115</t>
  </si>
  <si>
    <t>Introduction to Internet of Things_CSE116</t>
  </si>
  <si>
    <t>Introduction to Internet of Things_CSE117</t>
  </si>
  <si>
    <t>Introduction to Internet of Things_CSE118</t>
  </si>
  <si>
    <t>Introduction to Internet of Things_CSE119</t>
  </si>
  <si>
    <t>Introduction to Internet of Things_CSE120</t>
  </si>
  <si>
    <t>Introduction to Internet of Things_CSE121</t>
  </si>
  <si>
    <t>Introduction to Internet of Things_CSE122</t>
  </si>
  <si>
    <t>Introduction to Internet of Things_CSE123</t>
  </si>
  <si>
    <t>Introduction to Internet of Things_CSE124</t>
  </si>
  <si>
    <t>Introduction to Internet of Things_CSE125</t>
  </si>
  <si>
    <t>Introduction to Internet of Things_CSE126</t>
  </si>
  <si>
    <t>Introduction to Internet of Things_CSE127</t>
  </si>
  <si>
    <t>Introduction to Internet of Things_CSE128</t>
  </si>
  <si>
    <t>Introduction to Internet of Things_CSE129</t>
  </si>
  <si>
    <t>Introduction to Internet of Things_CSE130</t>
  </si>
  <si>
    <t>Introduction to Internet of Things_CSE131</t>
  </si>
  <si>
    <t>Introduction to Internet of Things_CSE132</t>
  </si>
  <si>
    <t>Introduction to Internet of Things_CSE133</t>
  </si>
  <si>
    <t>Introduction to Internet of Things_CSE134</t>
  </si>
  <si>
    <t>Introduction to Internet of Things_CSE135</t>
  </si>
  <si>
    <t>Introduction to Internet of Things_CSE136</t>
  </si>
  <si>
    <t>Introduction to Internet of Things_CSE137</t>
  </si>
  <si>
    <t>Introduction to Internet of Things_CSE138</t>
  </si>
  <si>
    <t>Introduction to Internet of Things_CSE139</t>
  </si>
  <si>
    <t>Introduction to Internet of Things_CSE140</t>
  </si>
  <si>
    <t>Introduction to Internet of Things_CSE141</t>
  </si>
  <si>
    <t>Introduction to Internet of Things_CSE142</t>
  </si>
  <si>
    <t>Introduction to Internet of Things_CSE143</t>
  </si>
  <si>
    <t>Introduction to Internet of Things_CSE144</t>
  </si>
  <si>
    <t>Introduction to Internet of Things_CSE145</t>
  </si>
  <si>
    <t>Introduction to Internet of Things_CSE146</t>
  </si>
  <si>
    <t>Introduction to Internet of Things_CSE147</t>
  </si>
  <si>
    <t>Introduction to Internet of Things_CSE148</t>
  </si>
  <si>
    <t>Introduction to Internet of Things_CSE149</t>
  </si>
  <si>
    <t>Introduction to Internet of Things_CSE150</t>
  </si>
  <si>
    <t>Introduction to Internet of Things_CSE151</t>
  </si>
  <si>
    <t>Introduction to Internet of Things_CSE152</t>
  </si>
  <si>
    <t>Introduction to Internet of Things_CSE153</t>
  </si>
  <si>
    <t>Introduction to Internet of Things_CSE154</t>
  </si>
  <si>
    <t>Introduction to Internet of Things_CSE155</t>
  </si>
  <si>
    <t>Introduction to Internet of Things_CSE156</t>
  </si>
  <si>
    <t>fast track</t>
  </si>
  <si>
    <t>Ms.Mamta Narwaria</t>
  </si>
  <si>
    <t>Mr.Sandeep Chokker</t>
  </si>
  <si>
    <t>Dr. Abhishek Singh Verma</t>
  </si>
  <si>
    <t>Mr.Atul Kumar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</si>
</sst>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font>
      <sz val="11"/>
      <color theme="1"/>
      <name val="Calibri"/>
      <family val="2"/>
      <scheme val="minor"/>
    </font>
    <font>
      <b/>
      <sz val="10"/>
      <name val="Cambria"/>
      <family val="1"/>
    </font>
    <font>
      <sz val="10"/>
      <name val="Arial"/>
      <family val="2"/>
    </font>
    <font>
      <sz val="11"/>
      <name val="Calibri"/>
      <family val="2"/>
      <scheme val="minor"/>
    </font>
    <font>
      <sz val="11"/>
      <name val="Cambria"/>
      <family val="1"/>
    </font>
    <font>
      <sz val="10"/>
      <name val="Cambria"/>
      <family val="1"/>
    </font>
    <font>
      <sz val="10"/>
      <name val="Calibri"/>
      <family val="2"/>
      <scheme val="minor"/>
    </font>
    <font>
      <sz val="11"/>
      <name val="Times New Roman"/>
      <family val="1"/>
    </font>
    <font>
      <u/>
      <sz val="10"/>
      <name val="Cambria"/>
      <family val="1"/>
    </font>
    <font>
      <sz val="11"/>
      <color theme="1"/>
      <name val="Times New Roman"/>
      <family val="1"/>
    </font>
    <font>
      <sz val="12"/>
      <color rgb="FF000000"/>
      <name val="&quot;Times New Roman&quot;"/>
    </font>
    <font>
      <sz val="11"/>
      <color rgb="FF000000"/>
      <name val="&quot;Times New Roman&quot;"/>
    </font>
    <font>
      <u/>
      <sz val="11"/>
      <color theme="10"/>
      <name val="Calibri"/>
      <family val="2"/>
    </font>
    <font>
      <b/>
      <sz val="10"/>
      <color theme="1"/>
      <name val="Cambria"/>
      <family val="1"/>
    </font>
    <font>
      <sz val="11"/>
      <color theme="1"/>
      <name val="Calibri"/>
      <family val="2"/>
      <scheme val="minor"/>
    </font>
    <font>
      <u/>
      <sz val="11"/>
      <color theme="10"/>
      <name val="Calibri"/>
      <family val="2"/>
      <scheme val="minor"/>
    </font>
    <font>
      <sz val="11"/>
      <color rgb="FFFF0000"/>
      <name val="Calibri"/>
      <family val="2"/>
      <scheme val="minor"/>
    </font>
    <font>
      <sz val="11"/>
      <color indexed="8"/>
      <name val="Calibri"/>
      <family val="2"/>
      <scheme val="minor"/>
    </font>
    <font>
      <sz val="10"/>
      <color rgb="FFFF0000"/>
      <name val="Cambria"/>
      <family val="1"/>
    </font>
    <font>
      <sz val="10"/>
      <color rgb="FF434343"/>
      <name val="Roboto"/>
    </font>
    <font>
      <sz val="12"/>
      <color theme="1"/>
      <name val="Times New Roman"/>
      <family val="1"/>
    </font>
  </fonts>
  <fills count="10">
    <fill>
      <patternFill patternType="none"/>
    </fill>
    <fill>
      <patternFill patternType="gray125"/>
    </fill>
    <fill>
      <patternFill patternType="solid">
        <fgColor rgb="FF92D050"/>
        <bgColor indexed="64"/>
      </patternFill>
    </fill>
    <fill>
      <patternFill patternType="solid">
        <fgColor theme="4"/>
        <bgColor indexed="64"/>
      </patternFill>
    </fill>
    <fill>
      <patternFill patternType="solid">
        <fgColor rgb="FFFFFFFF"/>
        <bgColor rgb="FFFFFFFF"/>
      </patternFill>
    </fill>
    <fill>
      <patternFill patternType="solid">
        <fgColor rgb="FFFFFF00"/>
        <bgColor rgb="FFFFFF00"/>
      </patternFill>
    </fill>
    <fill>
      <patternFill patternType="solid">
        <fgColor theme="0"/>
        <bgColor indexed="64"/>
      </patternFill>
    </fill>
    <fill>
      <patternFill patternType="solid">
        <fgColor rgb="FFFF0000"/>
        <bgColor indexed="64"/>
      </patternFill>
    </fill>
    <fill>
      <patternFill patternType="solid">
        <fgColor rgb="FFF8F9FA"/>
        <bgColor indexed="64"/>
      </patternFill>
    </fill>
    <fill>
      <patternFill patternType="solid">
        <fgColor theme="4" tint="0.3999450666829432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rgb="FF000000"/>
      </left>
      <right style="thin">
        <color rgb="FF000000"/>
      </right>
      <top/>
      <bottom/>
      <diagonal/>
    </border>
    <border>
      <left style="thin">
        <color indexed="64"/>
      </left>
      <right/>
      <top/>
      <bottom/>
      <diagonal/>
    </border>
    <border>
      <left style="medium">
        <color rgb="FFCCCCCC"/>
      </left>
      <right style="medium">
        <color rgb="FFFFFFFF"/>
      </right>
      <top style="medium">
        <color rgb="FFCCCCCC"/>
      </top>
      <bottom style="medium">
        <color rgb="FFF8F9FA"/>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5" fillId="0" borderId="0" applyNumberFormat="0" applyFill="0" applyBorder="0" applyAlignment="0" applyProtection="0"/>
    <xf numFmtId="0" fontId="17" fillId="0" borderId="0"/>
    <xf numFmtId="0" fontId="15" fillId="0" borderId="0" applyNumberFormat="0" applyFill="0" applyBorder="0" applyAlignment="0" applyProtection="0"/>
  </cellStyleXfs>
  <cellXfs count="67">
    <xf numFmtId="0" fontId="0" fillId="0" borderId="0" xfId="0"/>
    <xf numFmtId="0" fontId="1" fillId="0" borderId="1" xfId="0" applyFont="1" applyBorder="1" applyAlignment="1">
      <alignment horizontal="center" vertical="center" wrapText="1"/>
    </xf>
    <xf numFmtId="0" fontId="2" fillId="0" borderId="0" xfId="0" applyFont="1" applyAlignment="1">
      <alignment vertical="center"/>
    </xf>
    <xf numFmtId="0" fontId="3" fillId="0" borderId="0" xfId="0" applyFont="1"/>
    <xf numFmtId="0" fontId="4" fillId="2" borderId="1" xfId="0" applyFont="1" applyFill="1" applyBorder="1" applyAlignment="1">
      <alignment horizontal="left" vertical="center"/>
    </xf>
    <xf numFmtId="0" fontId="5" fillId="0" borderId="1" xfId="0" applyFont="1" applyBorder="1" applyAlignment="1">
      <alignment horizontal="center" vertical="center" wrapText="1"/>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6" fillId="0" borderId="0" xfId="0" applyFont="1"/>
    <xf numFmtId="0" fontId="2" fillId="0" borderId="0" xfId="0" applyFont="1"/>
    <xf numFmtId="0" fontId="7" fillId="2" borderId="1" xfId="0" applyFont="1" applyFill="1" applyBorder="1" applyAlignment="1">
      <alignment horizontal="left" vertical="center"/>
    </xf>
    <xf numFmtId="0" fontId="8" fillId="0" borderId="1" xfId="0" applyFont="1" applyBorder="1" applyAlignment="1">
      <alignment horizontal="left" vertical="center"/>
    </xf>
    <xf numFmtId="0" fontId="4" fillId="2" borderId="1" xfId="0" applyFont="1" applyFill="1" applyBorder="1"/>
    <xf numFmtId="0" fontId="4" fillId="0" borderId="1" xfId="0" applyFont="1" applyBorder="1" applyAlignment="1">
      <alignment horizontal="left" vertical="center"/>
    </xf>
    <xf numFmtId="0" fontId="9" fillId="0" borderId="1" xfId="0" applyFont="1" applyBorder="1" applyAlignment="1">
      <alignment horizontal="left" vertical="center"/>
    </xf>
    <xf numFmtId="0" fontId="3" fillId="2" borderId="1" xfId="0" applyFont="1" applyFill="1" applyBorder="1" applyAlignment="1">
      <alignment horizontal="center" vertical="center"/>
    </xf>
    <xf numFmtId="0" fontId="4" fillId="0" borderId="1" xfId="0" applyFont="1" applyBorder="1"/>
    <xf numFmtId="0" fontId="0" fillId="0" borderId="1" xfId="0" applyBorder="1"/>
    <xf numFmtId="0" fontId="4" fillId="3" borderId="1" xfId="0" applyFont="1" applyFill="1" applyBorder="1" applyAlignment="1">
      <alignment horizontal="left" vertical="center"/>
    </xf>
    <xf numFmtId="0" fontId="5" fillId="3" borderId="1" xfId="0" applyFont="1" applyFill="1" applyBorder="1" applyAlignment="1">
      <alignment horizontal="left" vertical="center"/>
    </xf>
    <xf numFmtId="0" fontId="5" fillId="3" borderId="1" xfId="0" applyFont="1" applyFill="1" applyBorder="1" applyAlignment="1">
      <alignment horizontal="center" vertical="center"/>
    </xf>
    <xf numFmtId="0" fontId="3" fillId="3" borderId="0" xfId="0" applyFont="1" applyFill="1"/>
    <xf numFmtId="0" fontId="0" fillId="3" borderId="1" xfId="0" applyFill="1" applyBorder="1"/>
    <xf numFmtId="0" fontId="10" fillId="0" borderId="2" xfId="0" applyFont="1" applyBorder="1" applyAlignment="1">
      <alignment horizontal="center"/>
    </xf>
    <xf numFmtId="0" fontId="11" fillId="4" borderId="2" xfId="0" applyFont="1" applyFill="1" applyBorder="1" applyAlignment="1">
      <alignment horizontal="center"/>
    </xf>
    <xf numFmtId="0" fontId="10" fillId="5" borderId="2" xfId="0" applyFont="1" applyFill="1" applyBorder="1" applyAlignment="1">
      <alignment horizontal="center"/>
    </xf>
    <xf numFmtId="0" fontId="0" fillId="0" borderId="1" xfId="0" applyBorder="1" applyAlignment="1">
      <alignment horizontal="center"/>
    </xf>
    <xf numFmtId="0" fontId="0" fillId="0" borderId="0" xfId="0" applyAlignment="1">
      <alignment horizontal="center"/>
    </xf>
    <xf numFmtId="0" fontId="1" fillId="0" borderId="1" xfId="0" applyFont="1" applyBorder="1" applyAlignment="1">
      <alignment vertical="center" wrapText="1"/>
    </xf>
    <xf numFmtId="0" fontId="0" fillId="0" borderId="1" xfId="0" applyBorder="1" applyAlignment="1"/>
    <xf numFmtId="0" fontId="0" fillId="0" borderId="0" xfId="0" applyAlignment="1"/>
    <xf numFmtId="0" fontId="0" fillId="0" borderId="0" xfId="0" applyBorder="1"/>
    <xf numFmtId="0" fontId="0" fillId="0" borderId="1" xfId="0" applyFont="1" applyFill="1" applyBorder="1" applyAlignment="1">
      <alignment horizontal="center"/>
    </xf>
    <xf numFmtId="0" fontId="0" fillId="0" borderId="4" xfId="0" applyBorder="1"/>
    <xf numFmtId="0" fontId="5" fillId="3" borderId="4" xfId="0" applyFont="1" applyFill="1" applyBorder="1" applyAlignment="1">
      <alignment horizontal="left" vertical="center"/>
    </xf>
    <xf numFmtId="0" fontId="5" fillId="0" borderId="4" xfId="0" applyFont="1" applyBorder="1" applyAlignment="1">
      <alignment horizontal="left" vertical="center"/>
    </xf>
    <xf numFmtId="0" fontId="13" fillId="0" borderId="5" xfId="0" applyFont="1" applyBorder="1" applyAlignment="1">
      <alignment horizontal="center" vertical="center" wrapText="1"/>
    </xf>
    <xf numFmtId="0" fontId="14" fillId="0" borderId="0" xfId="0" applyFont="1" applyAlignment="1"/>
    <xf numFmtId="0" fontId="0" fillId="0" borderId="0" xfId="0" applyFont="1" applyAlignment="1"/>
    <xf numFmtId="0" fontId="14" fillId="6" borderId="0" xfId="0" applyFont="1" applyFill="1" applyAlignment="1"/>
    <xf numFmtId="0" fontId="0" fillId="0" borderId="6" xfId="0" applyFont="1" applyFill="1" applyBorder="1" applyAlignment="1"/>
    <xf numFmtId="0" fontId="1" fillId="0" borderId="6"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0" fillId="0" borderId="0" xfId="0" applyFont="1" applyAlignment="1">
      <alignment horizontal="center"/>
    </xf>
    <xf numFmtId="0" fontId="13" fillId="0" borderId="1" xfId="0" applyFont="1" applyBorder="1" applyAlignment="1">
      <alignment horizontal="center" vertical="center" wrapText="1"/>
    </xf>
    <xf numFmtId="0" fontId="14" fillId="0" borderId="1" xfId="0" applyFont="1" applyBorder="1" applyAlignment="1">
      <alignment horizontal="center"/>
    </xf>
    <xf numFmtId="0" fontId="14" fillId="6" borderId="1" xfId="0" applyFont="1" applyFill="1" applyBorder="1" applyAlignment="1">
      <alignment horizontal="center"/>
    </xf>
    <xf numFmtId="0" fontId="0" fillId="7" borderId="1" xfId="0" applyFill="1" applyBorder="1"/>
    <xf numFmtId="0" fontId="5" fillId="7" borderId="1" xfId="0" applyFont="1" applyFill="1" applyBorder="1" applyAlignment="1">
      <alignment horizontal="left" vertical="center"/>
    </xf>
    <xf numFmtId="0" fontId="5" fillId="7" borderId="1" xfId="0" applyFont="1" applyFill="1" applyBorder="1" applyAlignment="1">
      <alignment horizontal="center" vertical="center"/>
    </xf>
    <xf numFmtId="0" fontId="14" fillId="7" borderId="1" xfId="0" applyFont="1" applyFill="1" applyBorder="1" applyAlignment="1">
      <alignment horizontal="center"/>
    </xf>
    <xf numFmtId="0" fontId="0" fillId="7" borderId="1" xfId="0" applyFill="1" applyBorder="1" applyAlignment="1">
      <alignment horizontal="center"/>
    </xf>
    <xf numFmtId="0" fontId="0" fillId="7" borderId="0" xfId="0" applyFill="1"/>
    <xf numFmtId="0" fontId="16" fillId="0" borderId="1" xfId="0" applyFont="1" applyBorder="1"/>
    <xf numFmtId="0" fontId="18" fillId="0" borderId="1" xfId="0" applyFont="1" applyBorder="1" applyAlignment="1">
      <alignment horizontal="left" vertical="center"/>
    </xf>
    <xf numFmtId="0" fontId="18" fillId="0" borderId="1" xfId="0" applyFont="1" applyBorder="1" applyAlignment="1">
      <alignment horizontal="center" vertical="center"/>
    </xf>
    <xf numFmtId="0" fontId="16" fillId="0" borderId="1" xfId="0" applyFont="1" applyBorder="1" applyAlignment="1">
      <alignment horizontal="center"/>
    </xf>
    <xf numFmtId="0" fontId="16" fillId="0" borderId="0" xfId="0" applyFont="1"/>
    <xf numFmtId="0" fontId="0" fillId="0" borderId="3" xfId="0" applyFill="1" applyBorder="1"/>
    <xf numFmtId="0" fontId="15" fillId="0" borderId="1" xfId="5" applyBorder="1"/>
    <xf numFmtId="0" fontId="16" fillId="0" borderId="0" xfId="0" applyFont="1" applyAlignment="1"/>
    <xf numFmtId="0" fontId="0" fillId="0" borderId="3" xfId="0" applyFill="1" applyBorder="1" applyAlignment="1"/>
    <xf numFmtId="0" fontId="15" fillId="0" borderId="3" xfId="5" applyFill="1" applyBorder="1"/>
    <xf numFmtId="0" fontId="19" fillId="8" borderId="7" xfId="0" applyFont="1" applyFill="1" applyBorder="1" applyAlignment="1">
      <alignment vertical="center" wrapText="1"/>
    </xf>
    <xf numFmtId="0" fontId="5" fillId="0" borderId="3" xfId="0" applyFont="1" applyFill="1" applyBorder="1" applyAlignment="1">
      <alignment horizontal="center" vertical="center"/>
    </xf>
    <xf numFmtId="0" fontId="20" fillId="9" borderId="8" xfId="0" applyFont="1" applyFill="1" applyBorder="1" applyAlignment="1"/>
    <xf numFmtId="0" fontId="20" fillId="6" borderId="1" xfId="0" applyFont="1" applyFill="1" applyBorder="1" applyAlignment="1"/>
  </cellXfs>
  <cellStyles count="6">
    <cellStyle name="Hyperlink" xfId="5" builtinId="8"/>
    <cellStyle name="Hyperlink 2" xfId="1"/>
    <cellStyle name="Hyperlink 2 2" xfId="2"/>
    <cellStyle name="Hyperlink 2 3" xfId="3"/>
    <cellStyle name="Normal" xfId="0" builtinId="0"/>
    <cellStyle name="Normal 2" xfId="4"/>
  </cellStyles>
  <dxfs count="43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ell\Desktop\Co_Ordinator%20Data\Final%204th%20M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ownloads\Promotion%20List%20-%2024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dell\Desktop\Co_Ordinator%20Data\Final%202402%20-%2024%20Jan%20-%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st Track "/>
      <sheetName val="MIS_Status (2)"/>
    </sheetNames>
    <sheetDataSet>
      <sheetData sheetId="0">
        <row r="1">
          <cell r="B1" t="str">
            <v>System ID</v>
          </cell>
          <cell r="C1" t="str">
            <v>Campus ID</v>
          </cell>
          <cell r="D1" t="str">
            <v>Student Name</v>
          </cell>
          <cell r="E1" t="str">
            <v>Academic Program</v>
          </cell>
          <cell r="F1" t="str">
            <v>Academic Plan</v>
          </cell>
          <cell r="G1" t="str">
            <v>Remarks</v>
          </cell>
          <cell r="H1" t="str">
            <v>Student's Email</v>
          </cell>
          <cell r="I1" t="str">
            <v>Parent's Email</v>
          </cell>
          <cell r="J1" t="str">
            <v>contact number</v>
          </cell>
          <cell r="K1" t="str">
            <v>Remark-2(Fast Learning Mode)</v>
          </cell>
        </row>
        <row r="2">
          <cell r="B2">
            <v>2022498812</v>
          </cell>
          <cell r="C2">
            <v>2201010796</v>
          </cell>
          <cell r="D2" t="str">
            <v>Vishal Suryan</v>
          </cell>
          <cell r="E2" t="str">
            <v>Bachelor of Technology</v>
          </cell>
          <cell r="F2" t="str">
            <v>Computer Science</v>
          </cell>
          <cell r="H2" t="str">
            <v>2022498812.vishal@ug.sharda.ac.in</v>
          </cell>
          <cell r="I2" t="str">
            <v>2022498812.mukesh@pt.sharda.ac.in</v>
          </cell>
          <cell r="J2" t="str">
            <v>9910261441</v>
          </cell>
          <cell r="K2" t="str">
            <v>Fast learning Mode</v>
          </cell>
        </row>
        <row r="3">
          <cell r="B3">
            <v>2022003923</v>
          </cell>
          <cell r="C3">
            <v>2022003923</v>
          </cell>
          <cell r="D3" t="str">
            <v>Mohammad Shaazan Muzaffar</v>
          </cell>
          <cell r="E3" t="str">
            <v>Bachelor of Technology</v>
          </cell>
          <cell r="F3" t="str">
            <v>Computer Science</v>
          </cell>
          <cell r="H3" t="str">
            <v>2022003923.mohammad@ug.sharda.ac.in</v>
          </cell>
          <cell r="I3" t="str">
            <v>2022003923.muzaffarjan@pt.sharda.ac.in</v>
          </cell>
          <cell r="J3" t="str">
            <v>7006813062</v>
          </cell>
          <cell r="K3" t="str">
            <v>Fast learning Mode</v>
          </cell>
        </row>
        <row r="4">
          <cell r="B4">
            <v>2022418998</v>
          </cell>
          <cell r="C4">
            <v>2201010756</v>
          </cell>
          <cell r="D4" t="str">
            <v>Uday B Thakur</v>
          </cell>
          <cell r="E4" t="str">
            <v>Bachelor of Technology</v>
          </cell>
          <cell r="F4" t="str">
            <v>Computer Science</v>
          </cell>
          <cell r="H4" t="str">
            <v>2022418998.uday@ug.sharda.ac.in</v>
          </cell>
          <cell r="I4" t="str">
            <v>2022418998.inder@pt.sharda.ac.in</v>
          </cell>
          <cell r="J4" t="str">
            <v>8076622787</v>
          </cell>
          <cell r="K4" t="str">
            <v>Fast learning Mode</v>
          </cell>
        </row>
        <row r="5">
          <cell r="B5">
            <v>2022506580</v>
          </cell>
          <cell r="C5">
            <v>2201010556</v>
          </cell>
          <cell r="D5" t="str">
            <v>Rajesh Ranjan</v>
          </cell>
          <cell r="E5" t="str">
            <v>Bachelor of Technology</v>
          </cell>
          <cell r="F5" t="str">
            <v>Computer Science</v>
          </cell>
          <cell r="H5" t="str">
            <v>2022506580.rajesh@ug.sharda.ac.in</v>
          </cell>
          <cell r="I5" t="str">
            <v>2022506580.ramchandra@pt.sharda.ac.in</v>
          </cell>
          <cell r="J5" t="str">
            <v>6200734740</v>
          </cell>
          <cell r="K5" t="str">
            <v>Fast learning Mode</v>
          </cell>
        </row>
        <row r="6">
          <cell r="B6">
            <v>2022492018</v>
          </cell>
          <cell r="C6">
            <v>2201010489</v>
          </cell>
          <cell r="D6" t="str">
            <v>Omit Kumar</v>
          </cell>
          <cell r="E6" t="str">
            <v>Bachelor of Technology</v>
          </cell>
          <cell r="F6" t="str">
            <v>Computer Science</v>
          </cell>
          <cell r="H6" t="str">
            <v>2022492018.omit@ug.sharda.ac.in</v>
          </cell>
          <cell r="I6" t="str">
            <v>2022492018.ashokprasad@pt.sharda.ac.in</v>
          </cell>
          <cell r="J6" t="str">
            <v>8235853597</v>
          </cell>
          <cell r="K6" t="str">
            <v>Fast learning Mode</v>
          </cell>
        </row>
        <row r="7">
          <cell r="B7">
            <v>2022395305</v>
          </cell>
          <cell r="C7">
            <v>2201010140</v>
          </cell>
          <cell r="D7" t="str">
            <v>Aryan Kumar</v>
          </cell>
          <cell r="E7" t="str">
            <v>Bachelor of Technology</v>
          </cell>
          <cell r="F7" t="str">
            <v>Computer Science</v>
          </cell>
          <cell r="H7" t="str">
            <v>2022395305.aryan@ug.sharda.ac.in</v>
          </cell>
          <cell r="I7" t="str">
            <v>2022395305.rajnish@pt.sharda.ac.in</v>
          </cell>
          <cell r="J7" t="str">
            <v>9289575803</v>
          </cell>
          <cell r="K7" t="str">
            <v>Fast learning Mode</v>
          </cell>
        </row>
        <row r="8">
          <cell r="B8">
            <v>2022004547</v>
          </cell>
          <cell r="C8">
            <v>2201010635</v>
          </cell>
          <cell r="D8" t="str">
            <v>Sanskriti Verma</v>
          </cell>
          <cell r="E8" t="str">
            <v>Bachelor of Technology</v>
          </cell>
          <cell r="F8" t="str">
            <v>Computer Science</v>
          </cell>
          <cell r="H8" t="str">
            <v>2022004547.sanskriti@ug.sharda.ac.in</v>
          </cell>
          <cell r="I8" t="str">
            <v>2022004547.sanjay@pt.sharda.ac.in</v>
          </cell>
          <cell r="J8" t="str">
            <v>7011428007</v>
          </cell>
          <cell r="K8" t="str">
            <v>Fast learning Mode</v>
          </cell>
        </row>
        <row r="9">
          <cell r="B9">
            <v>2022423199</v>
          </cell>
          <cell r="C9">
            <v>2201010812</v>
          </cell>
          <cell r="D9" t="str">
            <v>Yash Rawat</v>
          </cell>
          <cell r="E9" t="str">
            <v>Bachelor of Technology</v>
          </cell>
          <cell r="F9" t="str">
            <v>Computer Science</v>
          </cell>
          <cell r="H9" t="str">
            <v>2022423199.yash@ug.sharda.ac.in</v>
          </cell>
          <cell r="I9" t="str">
            <v>2022423199.indrasingh@pt.sharda.ac.in</v>
          </cell>
          <cell r="J9" t="str">
            <v>9871836528</v>
          </cell>
          <cell r="K9" t="str">
            <v>Fast learning Mode</v>
          </cell>
        </row>
        <row r="10">
          <cell r="B10">
            <v>2022552819</v>
          </cell>
          <cell r="C10">
            <v>2201010005</v>
          </cell>
          <cell r="D10" t="str">
            <v>Aakriti Bansal</v>
          </cell>
          <cell r="E10" t="str">
            <v>Bachelor of Technology</v>
          </cell>
          <cell r="F10" t="str">
            <v>Computer Science</v>
          </cell>
          <cell r="H10" t="str">
            <v>2022552819.aakriti@ug.sharda.ac.in</v>
          </cell>
          <cell r="I10" t="str">
            <v>2022552819.d.k@pt.sharda.ac.in</v>
          </cell>
          <cell r="J10" t="str">
            <v>8077831479</v>
          </cell>
          <cell r="K10" t="str">
            <v>Fast learning Mode</v>
          </cell>
        </row>
        <row r="11">
          <cell r="B11">
            <v>2022003580</v>
          </cell>
          <cell r="C11">
            <v>2201010782</v>
          </cell>
          <cell r="D11" t="str">
            <v>Vedant Tiwari</v>
          </cell>
          <cell r="E11" t="str">
            <v>Bachelor of Technology</v>
          </cell>
          <cell r="F11" t="str">
            <v>Computer Science</v>
          </cell>
          <cell r="H11" t="str">
            <v>2022003580.vedant@ug.sharda.ac.in</v>
          </cell>
          <cell r="I11" t="str">
            <v>2022003580.shivram@pt.sharda.ac.in</v>
          </cell>
          <cell r="J11" t="str">
            <v>9424991187</v>
          </cell>
          <cell r="K11" t="str">
            <v>Fast learning Mode</v>
          </cell>
        </row>
        <row r="12">
          <cell r="B12">
            <v>2022502947</v>
          </cell>
          <cell r="C12">
            <v>2201010698</v>
          </cell>
          <cell r="D12" t="str">
            <v>Sneha .</v>
          </cell>
          <cell r="E12" t="str">
            <v>Bachelor of Technology</v>
          </cell>
          <cell r="F12" t="str">
            <v>Computer Science</v>
          </cell>
          <cell r="H12" t="str">
            <v>2022502947.sneha@ug.sharda.ac.in</v>
          </cell>
          <cell r="I12" t="str">
            <v>2022502947.jai@pt.sharda.ac.in</v>
          </cell>
          <cell r="J12" t="str">
            <v>9315149393</v>
          </cell>
          <cell r="K12" t="str">
            <v>Fast learning Mode</v>
          </cell>
        </row>
        <row r="13">
          <cell r="B13">
            <v>2022405479</v>
          </cell>
          <cell r="C13">
            <v>2201010062</v>
          </cell>
          <cell r="D13" t="str">
            <v>Akash Rattan</v>
          </cell>
          <cell r="E13" t="str">
            <v>Bachelor of Technology</v>
          </cell>
          <cell r="F13" t="str">
            <v>Computer Science</v>
          </cell>
          <cell r="H13" t="str">
            <v>2022405479.akash@ug.sharda.ac.in</v>
          </cell>
          <cell r="I13" t="str">
            <v>2022405479.arvindkumar@pt.sharda.ac.in</v>
          </cell>
          <cell r="J13" t="str">
            <v>9936616269</v>
          </cell>
          <cell r="K13" t="str">
            <v>Fast learning Mode</v>
          </cell>
        </row>
        <row r="14">
          <cell r="B14">
            <v>2022544783</v>
          </cell>
          <cell r="C14">
            <v>2201010481</v>
          </cell>
          <cell r="D14" t="str">
            <v>Nitesh Kumar</v>
          </cell>
          <cell r="E14" t="str">
            <v>Bachelor of Technology</v>
          </cell>
          <cell r="F14" t="str">
            <v>Computer Science</v>
          </cell>
          <cell r="H14" t="str">
            <v>2022544783.nitesh@ug.sharda.ac.in</v>
          </cell>
          <cell r="I14" t="str">
            <v>2022544783.ramkumar@pt.sharda.ac.in</v>
          </cell>
          <cell r="J14" t="str">
            <v>6203504840</v>
          </cell>
          <cell r="K14" t="str">
            <v>Fast learning Mode</v>
          </cell>
        </row>
        <row r="15">
          <cell r="B15">
            <v>2022507647</v>
          </cell>
          <cell r="C15">
            <v>2201010353</v>
          </cell>
          <cell r="D15" t="str">
            <v>Lakshay Bhatnagar</v>
          </cell>
          <cell r="E15" t="str">
            <v>Bachelor of Technology</v>
          </cell>
          <cell r="F15" t="str">
            <v>Computer Science</v>
          </cell>
          <cell r="H15" t="str">
            <v>2022507647.lakshay@ug.sharda.ac.in</v>
          </cell>
          <cell r="I15" t="str">
            <v>2022507647.dinesh@pt.sharda.ac.in</v>
          </cell>
          <cell r="J15" t="str">
            <v>8448777978</v>
          </cell>
          <cell r="K15" t="str">
            <v>Fast learning Mode</v>
          </cell>
        </row>
        <row r="16">
          <cell r="B16">
            <v>2022007306</v>
          </cell>
          <cell r="C16">
            <v>2022007306</v>
          </cell>
          <cell r="D16" t="str">
            <v>Tarun Kumar</v>
          </cell>
          <cell r="E16" t="str">
            <v>Bachelor of Technology</v>
          </cell>
          <cell r="F16" t="str">
            <v>Computer Science</v>
          </cell>
          <cell r="H16" t="str">
            <v>2022007306.tarun@ug.sharda.ac.in</v>
          </cell>
          <cell r="I16" t="str">
            <v>2022007306.suresh@pt.sharda.ac.in</v>
          </cell>
          <cell r="J16" t="str">
            <v>8817200009</v>
          </cell>
          <cell r="K16" t="str">
            <v>Fast learning Mode</v>
          </cell>
        </row>
        <row r="17">
          <cell r="B17">
            <v>2022478036</v>
          </cell>
          <cell r="C17">
            <v>2201010605</v>
          </cell>
          <cell r="D17" t="str">
            <v>Rudra Pratap Tomar</v>
          </cell>
          <cell r="E17" t="str">
            <v>Bachelor of Technology</v>
          </cell>
          <cell r="F17" t="str">
            <v>Computer Science</v>
          </cell>
          <cell r="H17" t="str">
            <v>2022478036.rudra@ug.sharda.ac.in</v>
          </cell>
          <cell r="I17" t="str">
            <v>2022478036.ajay@pt.sharda.ac.in</v>
          </cell>
          <cell r="J17" t="str">
            <v>9358584820</v>
          </cell>
          <cell r="K17" t="str">
            <v>Fast learning Mode</v>
          </cell>
        </row>
        <row r="18">
          <cell r="B18">
            <v>2022834464</v>
          </cell>
          <cell r="C18">
            <v>2201010437</v>
          </cell>
          <cell r="D18" t="str">
            <v>Mr Amrit Raut</v>
          </cell>
          <cell r="E18" t="str">
            <v>Bachelor of Technology</v>
          </cell>
          <cell r="F18" t="str">
            <v>Computer Science</v>
          </cell>
          <cell r="H18" t="str">
            <v>2022834464.amrit@ug.sharda.ac.in</v>
          </cell>
          <cell r="I18" t="str">
            <v>2022834464.bhikhariya@pt.sharda.ac.in</v>
          </cell>
          <cell r="J18" t="str">
            <v>91 8757443219</v>
          </cell>
          <cell r="K18" t="str">
            <v>Fast learning Mode</v>
          </cell>
        </row>
        <row r="19">
          <cell r="B19">
            <v>2022577648</v>
          </cell>
          <cell r="C19">
            <v>2201010102</v>
          </cell>
          <cell r="D19" t="str">
            <v>Anshu Geetanjali</v>
          </cell>
          <cell r="E19" t="str">
            <v>Bachelor of Technology</v>
          </cell>
          <cell r="F19" t="str">
            <v>Computer Science</v>
          </cell>
          <cell r="H19" t="str">
            <v>2022577648.anshu@ug.sharda.ac.in</v>
          </cell>
          <cell r="I19" t="str">
            <v>2022577648.subhashchandra@pt.sharda.ac.in</v>
          </cell>
          <cell r="J19" t="str">
            <v>8825258063</v>
          </cell>
          <cell r="K19" t="str">
            <v>Fast learning Mode</v>
          </cell>
        </row>
        <row r="20">
          <cell r="B20">
            <v>2022561225</v>
          </cell>
          <cell r="C20">
            <v>2201010750</v>
          </cell>
          <cell r="D20" t="str">
            <v>Tarun Sirohi</v>
          </cell>
          <cell r="E20" t="str">
            <v>Bachelor of Technology</v>
          </cell>
          <cell r="F20" t="str">
            <v>Computer Science</v>
          </cell>
          <cell r="H20" t="str">
            <v>2022561225.tarun@ug.sharda.ac.in</v>
          </cell>
          <cell r="I20" t="str">
            <v>2022561225.navdeep@pt.sharda.ac.in</v>
          </cell>
          <cell r="J20" t="str">
            <v>8791477144</v>
          </cell>
          <cell r="K20" t="str">
            <v>Fast learning Mode</v>
          </cell>
        </row>
        <row r="21">
          <cell r="B21">
            <v>2022427832</v>
          </cell>
          <cell r="C21">
            <v>2201010809</v>
          </cell>
          <cell r="D21" t="str">
            <v>Yash Gupta</v>
          </cell>
          <cell r="E21" t="str">
            <v>Bachelor of Technology</v>
          </cell>
          <cell r="F21" t="str">
            <v>CS - AI&amp; Machine Learning</v>
          </cell>
          <cell r="H21" t="str">
            <v>2022427832.yash@ug.sharda.ac.in</v>
          </cell>
          <cell r="I21" t="str">
            <v>2022427832.sanjay@pt.sharda.ac.in</v>
          </cell>
          <cell r="J21" t="str">
            <v>9990980968</v>
          </cell>
          <cell r="K21" t="str">
            <v>Fast learning Mode</v>
          </cell>
        </row>
        <row r="22">
          <cell r="B22">
            <v>2022507071</v>
          </cell>
          <cell r="C22">
            <v>2201010461</v>
          </cell>
          <cell r="D22" t="str">
            <v>Navika Chauhan</v>
          </cell>
          <cell r="E22" t="str">
            <v>Bachelor of Technology</v>
          </cell>
          <cell r="F22" t="str">
            <v>CS - AI&amp; Machine Learning</v>
          </cell>
          <cell r="H22" t="str">
            <v>2022507071.navika@ug.sharda.ac.in</v>
          </cell>
          <cell r="I22" t="str">
            <v>2022507071.kaushalsingh@pt.sharda.ac.in</v>
          </cell>
          <cell r="J22" t="str">
            <v>7065568018</v>
          </cell>
          <cell r="K22" t="str">
            <v>Fast learning Mode</v>
          </cell>
        </row>
        <row r="23">
          <cell r="B23">
            <v>2022503936</v>
          </cell>
          <cell r="C23">
            <v>2201010368</v>
          </cell>
          <cell r="D23" t="str">
            <v>Manav Verma</v>
          </cell>
          <cell r="E23" t="str">
            <v>Bachelor of Technology</v>
          </cell>
          <cell r="F23" t="str">
            <v>CS - AI&amp; Machine Learning</v>
          </cell>
          <cell r="H23" t="str">
            <v>2022503936.manav@ug.sharda.ac.in</v>
          </cell>
          <cell r="I23" t="str">
            <v>2022503936.kamlesh@pt.sharda.ac.in</v>
          </cell>
          <cell r="J23" t="str">
            <v>8368158949</v>
          </cell>
          <cell r="K23" t="str">
            <v>Fast learning Mode</v>
          </cell>
        </row>
        <row r="24">
          <cell r="B24">
            <v>2022434098</v>
          </cell>
          <cell r="C24">
            <v>2201010727</v>
          </cell>
          <cell r="D24" t="str">
            <v>Suraj Belwal</v>
          </cell>
          <cell r="E24" t="str">
            <v>Bachelor of Technology</v>
          </cell>
          <cell r="F24" t="str">
            <v>CS - AI&amp; Machine Learning</v>
          </cell>
          <cell r="H24" t="str">
            <v>2022434098.suraj@ug.sharda.ac.in</v>
          </cell>
          <cell r="I24" t="str">
            <v>2022434098.vijaykumar@pt.sharda.ac.in</v>
          </cell>
          <cell r="J24" t="str">
            <v>9650937240</v>
          </cell>
          <cell r="K24" t="str">
            <v>Fast learning Mode</v>
          </cell>
        </row>
        <row r="25">
          <cell r="B25">
            <v>2022361106</v>
          </cell>
          <cell r="C25">
            <v>2201010482</v>
          </cell>
          <cell r="D25" t="str">
            <v>Nitesh Saxena</v>
          </cell>
          <cell r="E25" t="str">
            <v>Bachelor of Technology</v>
          </cell>
          <cell r="F25" t="str">
            <v>CS - AI&amp; Machine Learning</v>
          </cell>
          <cell r="H25" t="str">
            <v>2022361106.nitesh@ug.sharda.ac.in</v>
          </cell>
          <cell r="I25" t="str">
            <v>2022361106.yogendra@pt.sharda.ac.in</v>
          </cell>
          <cell r="J25" t="str">
            <v>9811284037</v>
          </cell>
          <cell r="K25" t="str">
            <v>Fast learning Mode</v>
          </cell>
        </row>
        <row r="26">
          <cell r="B26">
            <v>2022002243</v>
          </cell>
          <cell r="C26">
            <v>2201010462</v>
          </cell>
          <cell r="D26" t="str">
            <v>Navya John</v>
          </cell>
          <cell r="E26" t="str">
            <v>Bachelor of Technology</v>
          </cell>
          <cell r="F26" t="str">
            <v>CS - AI&amp; Machine Learning</v>
          </cell>
          <cell r="H26" t="str">
            <v>2022002243.navya@ug.sharda.ac.in</v>
          </cell>
          <cell r="I26" t="str">
            <v>2022002243.john@pt.sharda.ac.in</v>
          </cell>
          <cell r="J26" t="str">
            <v>7982100704</v>
          </cell>
          <cell r="K26" t="str">
            <v>Fast learning Mode</v>
          </cell>
        </row>
        <row r="27">
          <cell r="B27">
            <v>2022003160</v>
          </cell>
          <cell r="C27">
            <v>2201010002</v>
          </cell>
          <cell r="D27" t="str">
            <v>Aadesh Kumar</v>
          </cell>
          <cell r="E27" t="str">
            <v>Bachelor of Technology</v>
          </cell>
          <cell r="F27" t="str">
            <v>CS - AI&amp; Machine Learning</v>
          </cell>
          <cell r="H27" t="str">
            <v>2022003160.aadesh@ug.sharda.ac.in</v>
          </cell>
          <cell r="I27" t="str">
            <v>2022003160.ranjeet@pt.sharda.ac.in</v>
          </cell>
          <cell r="J27" t="str">
            <v>9599134513</v>
          </cell>
          <cell r="K27" t="str">
            <v>Fast learning Mode</v>
          </cell>
        </row>
        <row r="28">
          <cell r="B28">
            <v>2022544917</v>
          </cell>
          <cell r="C28">
            <v>2201010582</v>
          </cell>
          <cell r="D28" t="str">
            <v>Rishita Tehlan</v>
          </cell>
          <cell r="E28" t="str">
            <v>Bachelor of Technology</v>
          </cell>
          <cell r="F28" t="str">
            <v>CS - AI&amp; Machine Learning</v>
          </cell>
          <cell r="H28" t="str">
            <v>2022544917.rishita@ug.sharda.ac.in</v>
          </cell>
          <cell r="I28" t="str">
            <v>2022544917.kanwaramarjeet@pt.sharda.ac.in</v>
          </cell>
          <cell r="J28" t="str">
            <v>8708812293</v>
          </cell>
          <cell r="K28" t="str">
            <v>Fast learning Mode</v>
          </cell>
        </row>
        <row r="29">
          <cell r="B29">
            <v>2022520080</v>
          </cell>
          <cell r="C29">
            <v>2201010206</v>
          </cell>
          <cell r="D29" t="str">
            <v>Deepayan Thakur</v>
          </cell>
          <cell r="E29" t="str">
            <v>Bachelor of Technology</v>
          </cell>
          <cell r="F29" t="str">
            <v>CS - AI&amp; Machine Learning</v>
          </cell>
          <cell r="H29" t="str">
            <v>2022520080.deepayan@ug.sharda.ac.in</v>
          </cell>
          <cell r="I29" t="str">
            <v>2022520080.soumen@pt.sharda.ac.in</v>
          </cell>
          <cell r="J29" t="str">
            <v>8588016904</v>
          </cell>
          <cell r="K29" t="str">
            <v>Fast learning Mode</v>
          </cell>
        </row>
        <row r="30">
          <cell r="B30">
            <v>2022007789</v>
          </cell>
          <cell r="C30">
            <v>2022007789</v>
          </cell>
          <cell r="D30" t="str">
            <v>Kapil Gupta</v>
          </cell>
          <cell r="E30" t="str">
            <v>Bachelor of Technology</v>
          </cell>
          <cell r="F30" t="str">
            <v>CSE- Data Science</v>
          </cell>
          <cell r="H30" t="str">
            <v>2022007789.kapil@ug.sharda.ac.in</v>
          </cell>
          <cell r="I30" t="str">
            <v>2022007789.ashokkumar@pt.sharda.ac.in</v>
          </cell>
          <cell r="J30" t="str">
            <v>9654279733</v>
          </cell>
          <cell r="K30" t="str">
            <v>Fast learning Mode</v>
          </cell>
        </row>
        <row r="31">
          <cell r="B31">
            <v>2022006289</v>
          </cell>
          <cell r="C31">
            <v>2022006289</v>
          </cell>
          <cell r="D31" t="str">
            <v>Shubham Sharma</v>
          </cell>
          <cell r="E31" t="str">
            <v>Bachelor of Technology</v>
          </cell>
          <cell r="F31" t="str">
            <v>CSE- IOT &amp; Application</v>
          </cell>
          <cell r="H31" t="str">
            <v>2022006289.shubham@ug.sharda.ac.in</v>
          </cell>
          <cell r="I31" t="str">
            <v>2022006289.shyambir@pt.sharda.ac.in</v>
          </cell>
          <cell r="J31" t="str">
            <v>7982036498</v>
          </cell>
          <cell r="K31" t="str">
            <v>Fast learning Mode</v>
          </cell>
        </row>
        <row r="32">
          <cell r="B32">
            <v>2022601278</v>
          </cell>
          <cell r="C32">
            <v>2022601278</v>
          </cell>
          <cell r="D32" t="str">
            <v>Lokireddy Chakridharreddy</v>
          </cell>
          <cell r="E32" t="str">
            <v>Bachelor of Technology</v>
          </cell>
          <cell r="F32" t="str">
            <v>B.Tech (CSE - Block Chain)</v>
          </cell>
          <cell r="H32" t="str">
            <v>2022601278.lokireddy@ug.sharda.ac.in</v>
          </cell>
          <cell r="I32" t="str">
            <v>2022601278.lokireddy@pt.sharda.ac.in</v>
          </cell>
          <cell r="J32" t="str">
            <v>7995387683</v>
          </cell>
          <cell r="K32" t="str">
            <v>Fast learning Mode</v>
          </cell>
        </row>
        <row r="33">
          <cell r="B33">
            <v>2022007217</v>
          </cell>
          <cell r="C33">
            <v>2022007217</v>
          </cell>
          <cell r="D33" t="str">
            <v>Princi .</v>
          </cell>
          <cell r="E33" t="str">
            <v>Bachelor of Technology</v>
          </cell>
          <cell r="F33" t="str">
            <v>B.Tech (CSE - Block Chain)</v>
          </cell>
          <cell r="H33" t="str">
            <v>2022007217.princi@ug.sharda.ac.in</v>
          </cell>
          <cell r="I33" t="str">
            <v>2022007217.dalchand@pt.sharda.ac.in</v>
          </cell>
          <cell r="J33" t="str">
            <v>9045297509</v>
          </cell>
          <cell r="K33" t="str">
            <v>Fast learning Mode</v>
          </cell>
        </row>
        <row r="34">
          <cell r="B34">
            <v>2022594965</v>
          </cell>
          <cell r="C34">
            <v>2022594965</v>
          </cell>
          <cell r="D34" t="str">
            <v>Pratyush .</v>
          </cell>
          <cell r="E34" t="str">
            <v>Bachelor of Technology</v>
          </cell>
          <cell r="F34" t="str">
            <v>B.Tech (CSE - Block Chain)</v>
          </cell>
          <cell r="H34" t="str">
            <v>2022594965.pratyush@ug.sharda.ac.in</v>
          </cell>
          <cell r="I34" t="str">
            <v>2022594965.mahendra@pt.sharda.ac.in</v>
          </cell>
          <cell r="J34" t="str">
            <v>8709805044</v>
          </cell>
          <cell r="K34" t="str">
            <v>Fast learning Mode</v>
          </cell>
        </row>
        <row r="35">
          <cell r="B35">
            <v>2022006750</v>
          </cell>
          <cell r="C35">
            <v>2201010282</v>
          </cell>
          <cell r="D35" t="str">
            <v>Harshul Garg</v>
          </cell>
          <cell r="E35" t="str">
            <v>Bachelor of Technology</v>
          </cell>
          <cell r="F35" t="str">
            <v>CSE-Cloud Tech &amp; Virtualiz-AWS</v>
          </cell>
          <cell r="H35" t="str">
            <v>2022006750.harshul@ug.sharda.ac.in</v>
          </cell>
          <cell r="I35" t="str">
            <v>2022006750.arunkumar@pt.sharda.ac.in</v>
          </cell>
          <cell r="J35" t="str">
            <v>9354082061</v>
          </cell>
          <cell r="K35" t="str">
            <v>Fast learning Mode</v>
          </cell>
        </row>
        <row r="36">
          <cell r="B36">
            <v>2022316318</v>
          </cell>
          <cell r="C36">
            <v>2201010765</v>
          </cell>
          <cell r="D36" t="str">
            <v>Utkarsh Mishra</v>
          </cell>
          <cell r="E36" t="str">
            <v>Bachelor of Technology</v>
          </cell>
          <cell r="F36" t="str">
            <v>CSE-Cloud Tech &amp; Virtualiz-AWS</v>
          </cell>
          <cell r="H36" t="str">
            <v>2022316318.utkarsh@ug.sharda.ac.in</v>
          </cell>
          <cell r="I36" t="str">
            <v>2022316318.ajay@pt.sharda.ac.in</v>
          </cell>
          <cell r="J36" t="str">
            <v>8076065892</v>
          </cell>
          <cell r="K36" t="str">
            <v>Fast learning Mode</v>
          </cell>
        </row>
        <row r="37">
          <cell r="B37">
            <v>2022579523</v>
          </cell>
          <cell r="C37">
            <v>2022579523</v>
          </cell>
          <cell r="D37" t="str">
            <v>Gaurav Kumar</v>
          </cell>
          <cell r="E37" t="str">
            <v>Bachelor of Technology</v>
          </cell>
          <cell r="F37" t="str">
            <v>CSE-Cloud Tech &amp; Virtualiz-AWS</v>
          </cell>
          <cell r="H37" t="str">
            <v>2022579523.gaurav@ug.sharda.ac.in</v>
          </cell>
          <cell r="I37" t="str">
            <v>2022579523.dhananjaykumar@pt.sharda.ac.in</v>
          </cell>
          <cell r="J37" t="str">
            <v>9971013385</v>
          </cell>
          <cell r="K37" t="str">
            <v>Fast learning Mode</v>
          </cell>
        </row>
        <row r="38">
          <cell r="B38">
            <v>2022447868</v>
          </cell>
          <cell r="C38">
            <v>2201010637</v>
          </cell>
          <cell r="D38" t="str">
            <v>Saransh Aggarwal</v>
          </cell>
          <cell r="E38" t="str">
            <v>Bachelor of Technology</v>
          </cell>
          <cell r="F38" t="str">
            <v>CSE-Cloud Tech &amp; Virtualiz-AWS</v>
          </cell>
          <cell r="H38" t="str">
            <v>2022447868.saransh@ug.sharda.ac.in</v>
          </cell>
          <cell r="I38" t="str">
            <v>2022447868.amit@pt.sharda.ac.in</v>
          </cell>
          <cell r="J38" t="str">
            <v>8920237799</v>
          </cell>
          <cell r="K38" t="str">
            <v>Fast learning Mode</v>
          </cell>
        </row>
        <row r="39">
          <cell r="B39">
            <v>2022004439</v>
          </cell>
          <cell r="C39">
            <v>2201010221</v>
          </cell>
          <cell r="D39" t="str">
            <v>Diksha Sharma</v>
          </cell>
          <cell r="E39" t="str">
            <v>Bachelor of Technology</v>
          </cell>
          <cell r="F39" t="str">
            <v>CSE-Cloud Tech &amp; Virtualiz-AWS</v>
          </cell>
          <cell r="H39" t="str">
            <v>2022004439.diksha@ug.sharda.ac.in</v>
          </cell>
          <cell r="I39" t="str">
            <v>2022004439.dharmendra@pt.sharda.ac.in</v>
          </cell>
          <cell r="J39" t="str">
            <v>7827340464</v>
          </cell>
          <cell r="K39" t="str">
            <v>Fast learning Mode</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S (2)"/>
      <sheetName val="MIS_Status"/>
      <sheetName val="Promotion Status"/>
      <sheetName val="Sheet6"/>
      <sheetName val="Sheet7"/>
      <sheetName val="Applied for 4th year"/>
      <sheetName val="B.Pharm. &amp; M.Pharm."/>
      <sheetName val="All CGPA"/>
    </sheetNames>
    <sheetDataSet>
      <sheetData sheetId="0"/>
      <sheetData sheetId="1"/>
      <sheetData sheetId="2"/>
      <sheetData sheetId="3"/>
      <sheetData sheetId="4">
        <row r="1">
          <cell r="A1" t="str">
            <v>System ID</v>
          </cell>
          <cell r="B1" t="str">
            <v>Student Name</v>
          </cell>
          <cell r="C1" t="str">
            <v>Campus ID</v>
          </cell>
          <cell r="D1" t="str">
            <v>Promotion Status</v>
          </cell>
        </row>
        <row r="2">
          <cell r="A2">
            <v>2022314446</v>
          </cell>
          <cell r="B2" t="str">
            <v>Bilal Ansari</v>
          </cell>
          <cell r="C2">
            <v>2201010181</v>
          </cell>
          <cell r="D2" t="str">
            <v>Not Promoted</v>
          </cell>
        </row>
        <row r="3">
          <cell r="A3">
            <v>2022351697</v>
          </cell>
          <cell r="B3" t="str">
            <v>Manish Yadav</v>
          </cell>
          <cell r="C3">
            <v>2201010373</v>
          </cell>
          <cell r="D3" t="str">
            <v>Not Promoted</v>
          </cell>
        </row>
        <row r="4">
          <cell r="A4">
            <v>2019005675</v>
          </cell>
          <cell r="B4" t="str">
            <v>Tarun Patel</v>
          </cell>
          <cell r="C4">
            <v>190101319</v>
          </cell>
          <cell r="D4" t="str">
            <v>Not Promoted</v>
          </cell>
        </row>
        <row r="5">
          <cell r="A5">
            <v>2020516582</v>
          </cell>
          <cell r="B5" t="str">
            <v>Mohammad Aatif Quamre</v>
          </cell>
          <cell r="C5">
            <v>200101181</v>
          </cell>
          <cell r="D5" t="str">
            <v>Not Promoted</v>
          </cell>
        </row>
        <row r="6">
          <cell r="A6">
            <v>2021316862</v>
          </cell>
          <cell r="B6" t="str">
            <v>Aaron Moses</v>
          </cell>
          <cell r="C6">
            <v>210101007</v>
          </cell>
          <cell r="D6" t="str">
            <v>Not Promoted</v>
          </cell>
        </row>
        <row r="7">
          <cell r="A7">
            <v>2021479763</v>
          </cell>
          <cell r="B7" t="str">
            <v>Abhishek Chaudhary</v>
          </cell>
          <cell r="C7">
            <v>210101025</v>
          </cell>
          <cell r="D7" t="str">
            <v>Not Promoted</v>
          </cell>
        </row>
        <row r="8">
          <cell r="A8">
            <v>2021378869</v>
          </cell>
          <cell r="B8" t="str">
            <v>Aditi Tiwari</v>
          </cell>
          <cell r="C8">
            <v>210101036</v>
          </cell>
          <cell r="D8" t="str">
            <v>Not Promoted</v>
          </cell>
        </row>
        <row r="9">
          <cell r="A9">
            <v>2021301933</v>
          </cell>
          <cell r="B9" t="str">
            <v>Amaan Sajad Mir</v>
          </cell>
          <cell r="C9">
            <v>210101058</v>
          </cell>
          <cell r="D9" t="str">
            <v>Not Promoted</v>
          </cell>
        </row>
        <row r="10">
          <cell r="A10">
            <v>2021373068</v>
          </cell>
          <cell r="B10" t="str">
            <v>Anil .</v>
          </cell>
          <cell r="C10">
            <v>210101077</v>
          </cell>
          <cell r="D10" t="str">
            <v>Not Promoted</v>
          </cell>
        </row>
        <row r="11">
          <cell r="A11">
            <v>2021308861</v>
          </cell>
          <cell r="B11" t="str">
            <v>Anutosh Mishra</v>
          </cell>
          <cell r="C11">
            <v>210101102</v>
          </cell>
          <cell r="D11" t="str">
            <v>Not Promoted</v>
          </cell>
        </row>
        <row r="12">
          <cell r="A12">
            <v>2021369177</v>
          </cell>
          <cell r="B12" t="str">
            <v>Aryanshu Singh</v>
          </cell>
          <cell r="C12">
            <v>210101120</v>
          </cell>
          <cell r="D12" t="str">
            <v>Not Promoted</v>
          </cell>
        </row>
        <row r="13">
          <cell r="A13">
            <v>2021375907</v>
          </cell>
          <cell r="B13" t="str">
            <v>Chandan Kumar Singh</v>
          </cell>
          <cell r="C13">
            <v>210101149</v>
          </cell>
          <cell r="D13" t="str">
            <v>Not Promoted</v>
          </cell>
        </row>
        <row r="14">
          <cell r="A14">
            <v>2021396844</v>
          </cell>
          <cell r="B14" t="str">
            <v>Dharam Priya Gautam</v>
          </cell>
          <cell r="C14">
            <v>210101170</v>
          </cell>
          <cell r="D14" t="str">
            <v>Not Promoted</v>
          </cell>
        </row>
        <row r="15">
          <cell r="A15">
            <v>2021529806</v>
          </cell>
          <cell r="B15" t="str">
            <v>Garv Sharma</v>
          </cell>
          <cell r="C15">
            <v>210101190</v>
          </cell>
          <cell r="D15" t="str">
            <v>Not Promoted</v>
          </cell>
        </row>
        <row r="16">
          <cell r="A16">
            <v>2021447448</v>
          </cell>
          <cell r="B16" t="str">
            <v>Ishaan Bisht</v>
          </cell>
          <cell r="C16">
            <v>210101223</v>
          </cell>
          <cell r="D16" t="str">
            <v>Not Promoted</v>
          </cell>
        </row>
        <row r="17">
          <cell r="A17">
            <v>2021428834</v>
          </cell>
          <cell r="B17" t="str">
            <v>Kartik Aggarwal</v>
          </cell>
          <cell r="C17">
            <v>210101239</v>
          </cell>
          <cell r="D17" t="str">
            <v>Not Promoted</v>
          </cell>
        </row>
        <row r="18">
          <cell r="A18">
            <v>2021001342</v>
          </cell>
          <cell r="B18" t="str">
            <v>Param Prakash</v>
          </cell>
          <cell r="C18">
            <v>210101351</v>
          </cell>
          <cell r="D18" t="str">
            <v>Not Promoted</v>
          </cell>
        </row>
        <row r="19">
          <cell r="A19">
            <v>2021474998</v>
          </cell>
          <cell r="B19" t="str">
            <v>Preetish .</v>
          </cell>
          <cell r="C19">
            <v>210101366</v>
          </cell>
          <cell r="D19" t="str">
            <v>Not Promoted</v>
          </cell>
        </row>
        <row r="20">
          <cell r="A20">
            <v>2021482470</v>
          </cell>
          <cell r="B20" t="str">
            <v>Purushottam Murmu</v>
          </cell>
          <cell r="C20">
            <v>210101376</v>
          </cell>
          <cell r="D20" t="str">
            <v>Not Promoted</v>
          </cell>
        </row>
        <row r="21">
          <cell r="A21">
            <v>2021300643</v>
          </cell>
          <cell r="B21" t="str">
            <v>Rishabh Rathi</v>
          </cell>
          <cell r="C21">
            <v>210101393</v>
          </cell>
          <cell r="D21" t="str">
            <v>Not Promoted</v>
          </cell>
        </row>
        <row r="22">
          <cell r="A22">
            <v>2021361239</v>
          </cell>
          <cell r="B22" t="str">
            <v>Shubh Sahu</v>
          </cell>
          <cell r="C22">
            <v>210101480</v>
          </cell>
          <cell r="D22" t="str">
            <v>Not Promoted</v>
          </cell>
        </row>
        <row r="23">
          <cell r="A23">
            <v>2021828405</v>
          </cell>
          <cell r="B23" t="str">
            <v>Nandani Chaudhary</v>
          </cell>
          <cell r="C23">
            <v>210101591</v>
          </cell>
          <cell r="D23" t="str">
            <v>Not Promoted</v>
          </cell>
        </row>
        <row r="24">
          <cell r="A24">
            <v>2021000009</v>
          </cell>
          <cell r="B24" t="str">
            <v>Farheen Khan</v>
          </cell>
          <cell r="C24">
            <v>210121021</v>
          </cell>
          <cell r="D24" t="str">
            <v>Not Promoted</v>
          </cell>
        </row>
        <row r="25">
          <cell r="A25">
            <v>2022535159</v>
          </cell>
          <cell r="B25" t="str">
            <v>Daksh Pal</v>
          </cell>
          <cell r="C25">
            <v>2201010197</v>
          </cell>
          <cell r="D25" t="str">
            <v>Not Promoted</v>
          </cell>
        </row>
        <row r="26">
          <cell r="A26">
            <v>2022002822</v>
          </cell>
          <cell r="B26" t="str">
            <v>Harsh Sharma</v>
          </cell>
          <cell r="C26">
            <v>2201010272</v>
          </cell>
          <cell r="D26" t="str">
            <v>Not Promoted</v>
          </cell>
        </row>
        <row r="27">
          <cell r="A27">
            <v>2022004755</v>
          </cell>
          <cell r="B27" t="str">
            <v>Khushi Roria</v>
          </cell>
          <cell r="C27">
            <v>2201010332</v>
          </cell>
          <cell r="D27" t="str">
            <v>Not Promoted</v>
          </cell>
        </row>
        <row r="28">
          <cell r="A28">
            <v>2022505407</v>
          </cell>
          <cell r="B28" t="str">
            <v>Md Absarul Haque</v>
          </cell>
          <cell r="C28">
            <v>2201010387</v>
          </cell>
          <cell r="D28" t="str">
            <v>Not Promoted</v>
          </cell>
        </row>
        <row r="29">
          <cell r="A29">
            <v>2022811342</v>
          </cell>
          <cell r="B29" t="str">
            <v>Md Millat Hosen</v>
          </cell>
          <cell r="C29">
            <v>2201010391</v>
          </cell>
          <cell r="D29" t="str">
            <v>Not Promoted</v>
          </cell>
        </row>
        <row r="30">
          <cell r="A30">
            <v>2022832103</v>
          </cell>
          <cell r="B30" t="str">
            <v>Mohammad Shabab</v>
          </cell>
          <cell r="C30">
            <v>2201010413</v>
          </cell>
          <cell r="D30" t="str">
            <v>Not Promoted</v>
          </cell>
        </row>
        <row r="31">
          <cell r="A31">
            <v>2022393356</v>
          </cell>
          <cell r="B31" t="str">
            <v>Vaibhav Gupta</v>
          </cell>
          <cell r="C31">
            <v>2201010771</v>
          </cell>
          <cell r="D31" t="str">
            <v>Not Promoted</v>
          </cell>
        </row>
        <row r="32">
          <cell r="A32">
            <v>2022007661</v>
          </cell>
          <cell r="B32" t="str">
            <v>Aditya Raj</v>
          </cell>
          <cell r="C32">
            <v>2201010855</v>
          </cell>
          <cell r="D32" t="str">
            <v>Not Promoted</v>
          </cell>
        </row>
        <row r="33">
          <cell r="A33">
            <v>2022593768</v>
          </cell>
          <cell r="B33" t="str">
            <v>Alok Kumar</v>
          </cell>
          <cell r="C33">
            <v>2201010891</v>
          </cell>
          <cell r="D33" t="str">
            <v>Not Promoted</v>
          </cell>
        </row>
        <row r="34">
          <cell r="A34">
            <v>2023248088</v>
          </cell>
          <cell r="B34" t="str">
            <v>Andrew Chingthat Khaigoulen Mate</v>
          </cell>
          <cell r="C34">
            <v>2301017003</v>
          </cell>
          <cell r="D34" t="str">
            <v>Not Promoted</v>
          </cell>
        </row>
        <row r="35">
          <cell r="A35">
            <v>2023503067</v>
          </cell>
          <cell r="B35" t="str">
            <v>Chulbul S Pratyashrit</v>
          </cell>
          <cell r="C35">
            <v>2301017006</v>
          </cell>
          <cell r="D35" t="str">
            <v>Not Promoted</v>
          </cell>
        </row>
        <row r="36">
          <cell r="A36">
            <v>2024389953</v>
          </cell>
          <cell r="B36" t="str">
            <v>Ankit Kumar</v>
          </cell>
          <cell r="C36">
            <v>2401018501</v>
          </cell>
          <cell r="D36" t="str">
            <v>Not Promoted</v>
          </cell>
        </row>
        <row r="37">
          <cell r="A37">
            <v>2021476666</v>
          </cell>
          <cell r="B37" t="str">
            <v>Aaditya Patwal</v>
          </cell>
          <cell r="C37">
            <v>210101001</v>
          </cell>
          <cell r="D37" t="str">
            <v>Not Promoted</v>
          </cell>
        </row>
        <row r="38">
          <cell r="A38">
            <v>2021362606</v>
          </cell>
          <cell r="B38" t="str">
            <v>Aditya Subedi</v>
          </cell>
          <cell r="C38">
            <v>210101044</v>
          </cell>
          <cell r="D38" t="str">
            <v>Not Promoted</v>
          </cell>
        </row>
        <row r="39">
          <cell r="A39">
            <v>2021518169</v>
          </cell>
          <cell r="B39" t="str">
            <v>Aman Kumar</v>
          </cell>
          <cell r="C39">
            <v>210101063</v>
          </cell>
          <cell r="D39" t="str">
            <v>Not Promoted</v>
          </cell>
        </row>
        <row r="40">
          <cell r="A40">
            <v>2021455580</v>
          </cell>
          <cell r="B40" t="str">
            <v>Aryan .</v>
          </cell>
          <cell r="C40">
            <v>210101114</v>
          </cell>
          <cell r="D40" t="str">
            <v>Not Promoted</v>
          </cell>
        </row>
        <row r="41">
          <cell r="A41">
            <v>2021341739</v>
          </cell>
          <cell r="B41" t="str">
            <v>Chandra Prakash</v>
          </cell>
          <cell r="C41">
            <v>210101150</v>
          </cell>
          <cell r="D41" t="str">
            <v>Not Promoted</v>
          </cell>
        </row>
        <row r="42">
          <cell r="A42">
            <v>2021380904</v>
          </cell>
          <cell r="B42" t="str">
            <v>Devang Solanki</v>
          </cell>
          <cell r="C42">
            <v>210101166</v>
          </cell>
          <cell r="D42" t="str">
            <v>Not Promoted</v>
          </cell>
        </row>
        <row r="43">
          <cell r="A43">
            <v>2021399162</v>
          </cell>
          <cell r="B43" t="str">
            <v>Dhruv Misra</v>
          </cell>
          <cell r="C43">
            <v>210101172</v>
          </cell>
          <cell r="D43" t="str">
            <v>Not Promoted</v>
          </cell>
        </row>
        <row r="44">
          <cell r="A44">
            <v>2021411743</v>
          </cell>
          <cell r="B44" t="str">
            <v>Harshit Pandey</v>
          </cell>
          <cell r="C44">
            <v>210101211</v>
          </cell>
          <cell r="D44" t="str">
            <v>Not Promoted</v>
          </cell>
        </row>
        <row r="45">
          <cell r="A45">
            <v>2021344584</v>
          </cell>
          <cell r="B45" t="str">
            <v>Hasya Narula</v>
          </cell>
          <cell r="C45">
            <v>210101214</v>
          </cell>
          <cell r="D45" t="str">
            <v>Not Promoted</v>
          </cell>
        </row>
        <row r="46">
          <cell r="A46">
            <v>2021406215</v>
          </cell>
          <cell r="B46" t="str">
            <v>Lakshit Verma</v>
          </cell>
          <cell r="C46">
            <v>210101266</v>
          </cell>
          <cell r="D46" t="str">
            <v>Not Promoted</v>
          </cell>
        </row>
        <row r="47">
          <cell r="A47">
            <v>2021826104</v>
          </cell>
          <cell r="B47" t="str">
            <v>Mahmud Abubakar</v>
          </cell>
          <cell r="C47">
            <v>210101272</v>
          </cell>
          <cell r="D47" t="str">
            <v>Not Promoted</v>
          </cell>
        </row>
        <row r="48">
          <cell r="A48">
            <v>2021407901</v>
          </cell>
          <cell r="B48" t="str">
            <v>Prakhar Prakash Singh</v>
          </cell>
          <cell r="C48">
            <v>210101360</v>
          </cell>
          <cell r="D48" t="str">
            <v>Not Promoted</v>
          </cell>
        </row>
        <row r="49">
          <cell r="A49">
            <v>2021307894</v>
          </cell>
          <cell r="B49" t="str">
            <v>Rishav Singh</v>
          </cell>
          <cell r="C49">
            <v>210101395</v>
          </cell>
          <cell r="D49" t="str">
            <v>Not Promoted</v>
          </cell>
        </row>
        <row r="50">
          <cell r="A50">
            <v>2022398713</v>
          </cell>
          <cell r="B50" t="str">
            <v>Abhilasha Kalita</v>
          </cell>
          <cell r="C50">
            <v>2201010017</v>
          </cell>
          <cell r="D50" t="str">
            <v>Not Promoted</v>
          </cell>
        </row>
        <row r="51">
          <cell r="A51">
            <v>2022508386</v>
          </cell>
          <cell r="B51" t="str">
            <v>Abhishek Kumar Choudhary</v>
          </cell>
          <cell r="C51">
            <v>2201010025</v>
          </cell>
          <cell r="D51" t="str">
            <v>Not Promoted</v>
          </cell>
        </row>
        <row r="52">
          <cell r="A52">
            <v>2022007148</v>
          </cell>
          <cell r="B52" t="str">
            <v>Anurag Singh Bisht</v>
          </cell>
          <cell r="C52">
            <v>2201010114</v>
          </cell>
          <cell r="D52" t="str">
            <v>Not Promoted</v>
          </cell>
        </row>
        <row r="53">
          <cell r="A53">
            <v>2022459065</v>
          </cell>
          <cell r="B53" t="str">
            <v>Aryan Vashistha</v>
          </cell>
          <cell r="C53">
            <v>2201010149</v>
          </cell>
          <cell r="D53" t="str">
            <v>Not Promoted</v>
          </cell>
        </row>
        <row r="54">
          <cell r="A54">
            <v>2022340865</v>
          </cell>
          <cell r="B54" t="str">
            <v>Deependra Singh Shishodia</v>
          </cell>
          <cell r="C54">
            <v>2201010208</v>
          </cell>
          <cell r="D54" t="str">
            <v>Not Promoted</v>
          </cell>
        </row>
        <row r="55">
          <cell r="A55">
            <v>2022490456</v>
          </cell>
          <cell r="B55" t="str">
            <v>Devendra Singh</v>
          </cell>
          <cell r="C55">
            <v>2201010214</v>
          </cell>
          <cell r="D55" t="str">
            <v>Not Promoted</v>
          </cell>
        </row>
        <row r="56">
          <cell r="A56">
            <v>2022509576</v>
          </cell>
          <cell r="B56" t="str">
            <v>Harsh Dubey</v>
          </cell>
          <cell r="C56">
            <v>2201010264</v>
          </cell>
          <cell r="D56" t="str">
            <v>Not Promoted</v>
          </cell>
        </row>
        <row r="57">
          <cell r="A57">
            <v>2022527313</v>
          </cell>
          <cell r="B57" t="str">
            <v>Harsh Kumar</v>
          </cell>
          <cell r="C57">
            <v>2201010267</v>
          </cell>
          <cell r="D57" t="str">
            <v>Not Promoted</v>
          </cell>
        </row>
        <row r="58">
          <cell r="A58">
            <v>2022510361</v>
          </cell>
          <cell r="B58" t="str">
            <v>Mayank Singh</v>
          </cell>
          <cell r="C58">
            <v>2201010385</v>
          </cell>
          <cell r="D58" t="str">
            <v>Not Promoted</v>
          </cell>
        </row>
        <row r="59">
          <cell r="A59">
            <v>2022483967</v>
          </cell>
          <cell r="B59" t="str">
            <v>Rishabh Balodhi</v>
          </cell>
          <cell r="C59">
            <v>2201010573</v>
          </cell>
          <cell r="D59" t="str">
            <v>Not Promoted</v>
          </cell>
        </row>
        <row r="60">
          <cell r="A60">
            <v>2022354910</v>
          </cell>
          <cell r="B60" t="str">
            <v>Saud Zargar</v>
          </cell>
          <cell r="C60">
            <v>2201010644</v>
          </cell>
          <cell r="D60" t="str">
            <v>Not Promoted</v>
          </cell>
        </row>
        <row r="61">
          <cell r="A61">
            <v>2022005848</v>
          </cell>
          <cell r="B61" t="str">
            <v>Suraj Kumar Patel</v>
          </cell>
          <cell r="C61">
            <v>2201010922</v>
          </cell>
          <cell r="D61" t="str">
            <v>Not Promoted</v>
          </cell>
        </row>
        <row r="62">
          <cell r="A62">
            <v>2021365266</v>
          </cell>
          <cell r="B62" t="str">
            <v>Akshat Verma</v>
          </cell>
          <cell r="C62">
            <v>210101054</v>
          </cell>
          <cell r="D62" t="str">
            <v>Not Promoted</v>
          </cell>
        </row>
        <row r="63">
          <cell r="A63">
            <v>2021424420</v>
          </cell>
          <cell r="B63" t="str">
            <v>Chandra Shekhar Sati</v>
          </cell>
          <cell r="C63">
            <v>210101151</v>
          </cell>
          <cell r="D63" t="str">
            <v>Not Promoted</v>
          </cell>
        </row>
        <row r="64">
          <cell r="A64">
            <v>2021002535</v>
          </cell>
          <cell r="B64" t="str">
            <v>Chandra Prakash</v>
          </cell>
          <cell r="C64">
            <v>210101305</v>
          </cell>
          <cell r="D64" t="str">
            <v>Not Promoted</v>
          </cell>
        </row>
        <row r="65">
          <cell r="A65">
            <v>2021373851</v>
          </cell>
          <cell r="B65" t="str">
            <v>Nirupam Rabha</v>
          </cell>
          <cell r="C65">
            <v>210101339</v>
          </cell>
          <cell r="D65" t="str">
            <v>Not Promoted</v>
          </cell>
        </row>
        <row r="66">
          <cell r="A66">
            <v>2022004361</v>
          </cell>
          <cell r="B66" t="str">
            <v>Abhishek Kumar</v>
          </cell>
          <cell r="C66">
            <v>2201010024</v>
          </cell>
          <cell r="D66" t="str">
            <v>Not Promoted</v>
          </cell>
        </row>
        <row r="67">
          <cell r="A67">
            <v>2022573142</v>
          </cell>
          <cell r="B67" t="str">
            <v>Aditya Pandey</v>
          </cell>
          <cell r="C67">
            <v>2201010949</v>
          </cell>
          <cell r="D67" t="str">
            <v>Not Promoted</v>
          </cell>
        </row>
        <row r="68">
          <cell r="A68">
            <v>2022826376</v>
          </cell>
          <cell r="B68" t="str">
            <v>Akim Tartisio Ramdan</v>
          </cell>
          <cell r="C68">
            <v>2201010064</v>
          </cell>
          <cell r="D68" t="str">
            <v>Not Promoted</v>
          </cell>
        </row>
        <row r="69">
          <cell r="A69">
            <v>2022008160</v>
          </cell>
          <cell r="B69" t="str">
            <v>Nitin Chauhan</v>
          </cell>
          <cell r="C69">
            <v>2201010970</v>
          </cell>
          <cell r="D69" t="str">
            <v>Not Promoted</v>
          </cell>
        </row>
        <row r="70">
          <cell r="A70">
            <v>2022006280</v>
          </cell>
          <cell r="B70" t="str">
            <v>Rishav .</v>
          </cell>
          <cell r="C70">
            <v>2201010577</v>
          </cell>
          <cell r="D70" t="str">
            <v>Not Promoted</v>
          </cell>
        </row>
        <row r="71">
          <cell r="A71">
            <v>2021455216</v>
          </cell>
          <cell r="B71" t="str">
            <v>Anurag Nishad</v>
          </cell>
          <cell r="C71">
            <v>210101098</v>
          </cell>
          <cell r="D71" t="str">
            <v>Not Promoted</v>
          </cell>
        </row>
        <row r="72">
          <cell r="A72">
            <v>2022498160</v>
          </cell>
          <cell r="B72" t="str">
            <v>Gagandeep Singh Sindhu</v>
          </cell>
          <cell r="C72">
            <v>2201010240</v>
          </cell>
          <cell r="D72" t="str">
            <v>Not Promoted</v>
          </cell>
        </row>
        <row r="73">
          <cell r="A73">
            <v>2022509145</v>
          </cell>
          <cell r="B73" t="str">
            <v>Sameer Singh</v>
          </cell>
          <cell r="C73">
            <v>2201010627</v>
          </cell>
          <cell r="D73" t="str">
            <v>Not Promoted</v>
          </cell>
        </row>
        <row r="74">
          <cell r="A74">
            <v>2022003490</v>
          </cell>
          <cell r="B74" t="str">
            <v>Vedhanshu Singh</v>
          </cell>
          <cell r="C74">
            <v>2201010783</v>
          </cell>
          <cell r="D74" t="str">
            <v>Not Promoted</v>
          </cell>
        </row>
        <row r="75">
          <cell r="A75">
            <v>2022007457</v>
          </cell>
          <cell r="B75" t="str">
            <v>Gaurav .</v>
          </cell>
          <cell r="C75">
            <v>2201010980</v>
          </cell>
          <cell r="D75" t="str">
            <v>Not Promoted</v>
          </cell>
        </row>
        <row r="76">
          <cell r="A76">
            <v>2022570125</v>
          </cell>
          <cell r="B76" t="str">
            <v>Khevender Singh</v>
          </cell>
          <cell r="C76">
            <v>2201010983</v>
          </cell>
          <cell r="D76" t="str">
            <v>Not Promoted</v>
          </cell>
        </row>
        <row r="77">
          <cell r="A77">
            <v>2022003323</v>
          </cell>
          <cell r="B77" t="str">
            <v>Aklavya .</v>
          </cell>
          <cell r="C77">
            <v>2201010065</v>
          </cell>
          <cell r="D77" t="str">
            <v>Promoted</v>
          </cell>
        </row>
        <row r="78">
          <cell r="A78">
            <v>2022006824</v>
          </cell>
          <cell r="B78" t="str">
            <v>Ankit .</v>
          </cell>
          <cell r="C78">
            <v>2201010093</v>
          </cell>
          <cell r="D78" t="str">
            <v>Promoted</v>
          </cell>
        </row>
        <row r="79">
          <cell r="A79">
            <v>2022435623</v>
          </cell>
          <cell r="B79" t="str">
            <v>Anubhav .</v>
          </cell>
          <cell r="C79">
            <v>2201010108</v>
          </cell>
          <cell r="D79" t="str">
            <v>Promoted</v>
          </cell>
        </row>
        <row r="80">
          <cell r="A80">
            <v>2022343833</v>
          </cell>
          <cell r="B80" t="str">
            <v>Arnav Singh</v>
          </cell>
          <cell r="C80">
            <v>2201010129</v>
          </cell>
          <cell r="D80" t="str">
            <v>Promoted</v>
          </cell>
        </row>
        <row r="81">
          <cell r="A81">
            <v>2022523814</v>
          </cell>
          <cell r="B81" t="str">
            <v>Arpan Garg</v>
          </cell>
          <cell r="C81">
            <v>2201010130</v>
          </cell>
          <cell r="D81" t="str">
            <v>Promoted</v>
          </cell>
        </row>
        <row r="82">
          <cell r="A82">
            <v>2022342643</v>
          </cell>
          <cell r="B82" t="str">
            <v>Divyanshu Bisht</v>
          </cell>
          <cell r="C82">
            <v>2201010228</v>
          </cell>
          <cell r="D82" t="str">
            <v>Promoted</v>
          </cell>
        </row>
        <row r="83">
          <cell r="A83">
            <v>2022007077</v>
          </cell>
          <cell r="B83" t="str">
            <v>Kuldeep Pal</v>
          </cell>
          <cell r="C83">
            <v>2201010343</v>
          </cell>
          <cell r="D83" t="str">
            <v>Promoted</v>
          </cell>
        </row>
        <row r="84">
          <cell r="A84">
            <v>2022006247</v>
          </cell>
          <cell r="B84" t="str">
            <v>Lovish Jain</v>
          </cell>
          <cell r="C84">
            <v>2201010359</v>
          </cell>
          <cell r="D84" t="str">
            <v>Promoted</v>
          </cell>
        </row>
        <row r="85">
          <cell r="A85">
            <v>2022431018</v>
          </cell>
          <cell r="B85" t="str">
            <v>Mohd Kaif</v>
          </cell>
          <cell r="C85">
            <v>2201010421</v>
          </cell>
          <cell r="D85" t="str">
            <v>Promoted</v>
          </cell>
        </row>
        <row r="86">
          <cell r="A86">
            <v>2022006233</v>
          </cell>
          <cell r="B86" t="str">
            <v>Mohd Saim</v>
          </cell>
          <cell r="C86">
            <v>2201010425</v>
          </cell>
          <cell r="D86" t="str">
            <v>Promoted</v>
          </cell>
        </row>
        <row r="87">
          <cell r="A87">
            <v>2022817981</v>
          </cell>
          <cell r="B87" t="str">
            <v>Pramish Bhandari</v>
          </cell>
          <cell r="C87">
            <v>2201010442</v>
          </cell>
          <cell r="D87" t="str">
            <v>Promoted</v>
          </cell>
        </row>
        <row r="88">
          <cell r="A88">
            <v>2022833430</v>
          </cell>
          <cell r="B88" t="str">
            <v>Nishchal KC</v>
          </cell>
          <cell r="C88">
            <v>2201010479</v>
          </cell>
          <cell r="D88" t="str">
            <v>Promoted</v>
          </cell>
        </row>
        <row r="89">
          <cell r="A89">
            <v>2022434137</v>
          </cell>
          <cell r="B89" t="str">
            <v>Piyush .</v>
          </cell>
          <cell r="C89">
            <v>2201010501</v>
          </cell>
          <cell r="D89" t="str">
            <v>Promoted</v>
          </cell>
        </row>
        <row r="90">
          <cell r="A90">
            <v>2022003325</v>
          </cell>
          <cell r="B90" t="str">
            <v>Priyanshu Singh</v>
          </cell>
          <cell r="C90">
            <v>2201010535</v>
          </cell>
          <cell r="D90" t="str">
            <v>Promoted</v>
          </cell>
        </row>
        <row r="91">
          <cell r="A91">
            <v>2022360934</v>
          </cell>
          <cell r="B91" t="str">
            <v>Veeragoni Chandu</v>
          </cell>
          <cell r="C91">
            <v>2201010784</v>
          </cell>
          <cell r="D91" t="str">
            <v>Promoted</v>
          </cell>
        </row>
        <row r="92">
          <cell r="A92">
            <v>2022007217</v>
          </cell>
          <cell r="B92" t="str">
            <v>Princi .</v>
          </cell>
          <cell r="C92">
            <v>2201010916</v>
          </cell>
          <cell r="D92" t="str">
            <v>Promoted</v>
          </cell>
        </row>
        <row r="93">
          <cell r="A93">
            <v>2022543882</v>
          </cell>
          <cell r="B93" t="str">
            <v>Yusuf Mushtaque</v>
          </cell>
          <cell r="C93">
            <v>2201010918</v>
          </cell>
          <cell r="D93" t="str">
            <v>Promoted</v>
          </cell>
        </row>
        <row r="94">
          <cell r="A94">
            <v>2022594965</v>
          </cell>
          <cell r="B94" t="str">
            <v>Pratyush .</v>
          </cell>
          <cell r="C94">
            <v>2201010919</v>
          </cell>
          <cell r="D94" t="str">
            <v>Promoted</v>
          </cell>
        </row>
        <row r="95">
          <cell r="A95">
            <v>2022597147</v>
          </cell>
          <cell r="B95" t="str">
            <v>Ashish Kumar Yadav</v>
          </cell>
          <cell r="C95">
            <v>2201010920</v>
          </cell>
          <cell r="D95" t="str">
            <v>Promoted</v>
          </cell>
        </row>
        <row r="96">
          <cell r="A96">
            <v>2022601278</v>
          </cell>
          <cell r="B96" t="str">
            <v>Lokireddy Chakridharreddy</v>
          </cell>
          <cell r="C96">
            <v>2201010921</v>
          </cell>
          <cell r="D96" t="str">
            <v>Promoted</v>
          </cell>
        </row>
        <row r="97">
          <cell r="A97">
            <v>2022003741</v>
          </cell>
          <cell r="B97" t="str">
            <v>Felix Sikukutu Hausiku</v>
          </cell>
          <cell r="C97">
            <v>2201070028</v>
          </cell>
          <cell r="D97" t="str">
            <v>Promoted</v>
          </cell>
        </row>
        <row r="98">
          <cell r="A98">
            <v>2022537278</v>
          </cell>
          <cell r="B98" t="str">
            <v>Charu Yadav</v>
          </cell>
          <cell r="C98">
            <v>2201070020</v>
          </cell>
          <cell r="D98" t="str">
            <v>Promoted</v>
          </cell>
        </row>
        <row r="99">
          <cell r="A99">
            <v>2022498127</v>
          </cell>
          <cell r="B99" t="str">
            <v>Gohil Darshan Manharlal</v>
          </cell>
          <cell r="C99">
            <v>2201070023</v>
          </cell>
          <cell r="D99" t="str">
            <v>Promoted</v>
          </cell>
        </row>
        <row r="100">
          <cell r="A100">
            <v>2022394673</v>
          </cell>
          <cell r="B100" t="str">
            <v>Deepti .</v>
          </cell>
          <cell r="C100">
            <v>2201070024</v>
          </cell>
          <cell r="D100" t="str">
            <v>Promoted</v>
          </cell>
        </row>
        <row r="101">
          <cell r="A101">
            <v>2022469452</v>
          </cell>
          <cell r="B101" t="str">
            <v>Kritvi Kumari</v>
          </cell>
          <cell r="C101">
            <v>2201070047</v>
          </cell>
          <cell r="D101" t="str">
            <v>Promoted</v>
          </cell>
        </row>
        <row r="102">
          <cell r="A102">
            <v>2022468862</v>
          </cell>
          <cell r="B102" t="str">
            <v>Manasvi .</v>
          </cell>
          <cell r="C102">
            <v>2201070050</v>
          </cell>
          <cell r="D102" t="str">
            <v>Promoted</v>
          </cell>
        </row>
        <row r="103">
          <cell r="A103">
            <v>2022817321</v>
          </cell>
          <cell r="B103" t="str">
            <v>Salviya Tiwari</v>
          </cell>
          <cell r="C103">
            <v>2201070075</v>
          </cell>
          <cell r="D103" t="str">
            <v>Promoted</v>
          </cell>
        </row>
        <row r="104">
          <cell r="A104">
            <v>2022821798</v>
          </cell>
          <cell r="B104" t="str">
            <v>Samriddhi Gautam</v>
          </cell>
          <cell r="C104">
            <v>2201070076</v>
          </cell>
          <cell r="D104" t="str">
            <v>Promoted</v>
          </cell>
        </row>
        <row r="105">
          <cell r="A105">
            <v>2022550851</v>
          </cell>
          <cell r="B105" t="str">
            <v>Suzoang Enan Targain</v>
          </cell>
          <cell r="C105">
            <v>2201070098</v>
          </cell>
          <cell r="D105" t="str">
            <v>Promoted</v>
          </cell>
        </row>
        <row r="106">
          <cell r="A106">
            <v>2022304030</v>
          </cell>
          <cell r="B106" t="str">
            <v>Zainab .</v>
          </cell>
          <cell r="C106">
            <v>2201070108</v>
          </cell>
          <cell r="D106" t="str">
            <v>Promoted</v>
          </cell>
        </row>
        <row r="107">
          <cell r="A107">
            <v>2021446146</v>
          </cell>
          <cell r="B107" t="str">
            <v>Kavi Sharma</v>
          </cell>
          <cell r="C107">
            <v>210101241</v>
          </cell>
          <cell r="D107" t="str">
            <v>Promoted</v>
          </cell>
        </row>
        <row r="108">
          <cell r="A108">
            <v>2021463218</v>
          </cell>
          <cell r="B108" t="str">
            <v>Siddharth Kundu</v>
          </cell>
          <cell r="C108">
            <v>210101493</v>
          </cell>
          <cell r="D108" t="str">
            <v>Promoted</v>
          </cell>
        </row>
        <row r="109">
          <cell r="A109">
            <v>2021003785</v>
          </cell>
          <cell r="B109" t="str">
            <v>Rinjal Sagar</v>
          </cell>
          <cell r="C109">
            <v>210101586</v>
          </cell>
          <cell r="D109" t="str">
            <v>Promoted</v>
          </cell>
        </row>
        <row r="110">
          <cell r="A110">
            <v>2022003574</v>
          </cell>
          <cell r="B110" t="str">
            <v>A. Vishwam Rao</v>
          </cell>
          <cell r="C110">
            <v>2201010001</v>
          </cell>
          <cell r="D110" t="str">
            <v>Promoted</v>
          </cell>
        </row>
        <row r="111">
          <cell r="A111">
            <v>2022508346</v>
          </cell>
          <cell r="B111" t="str">
            <v>Aaditya Singhal</v>
          </cell>
          <cell r="C111">
            <v>2201010003</v>
          </cell>
          <cell r="D111" t="str">
            <v>Promoted</v>
          </cell>
        </row>
        <row r="112">
          <cell r="A112">
            <v>2022552819</v>
          </cell>
          <cell r="B112" t="str">
            <v>Aakriti Bansal</v>
          </cell>
          <cell r="C112">
            <v>2201010005</v>
          </cell>
          <cell r="D112" t="str">
            <v>Promoted</v>
          </cell>
        </row>
        <row r="113">
          <cell r="A113">
            <v>2022578067</v>
          </cell>
          <cell r="B113" t="str">
            <v>Aashika Singh</v>
          </cell>
          <cell r="C113">
            <v>2201010007</v>
          </cell>
          <cell r="D113" t="str">
            <v>Promoted</v>
          </cell>
        </row>
        <row r="114">
          <cell r="A114">
            <v>2022469915</v>
          </cell>
          <cell r="B114" t="str">
            <v>Aashna Sharma</v>
          </cell>
          <cell r="C114">
            <v>2201010008</v>
          </cell>
          <cell r="D114" t="str">
            <v>Promoted</v>
          </cell>
        </row>
        <row r="115">
          <cell r="A115">
            <v>2022007029</v>
          </cell>
          <cell r="B115" t="str">
            <v>Aayush Sharma</v>
          </cell>
          <cell r="C115">
            <v>2201010009</v>
          </cell>
          <cell r="D115" t="str">
            <v>Promoted</v>
          </cell>
        </row>
        <row r="116">
          <cell r="A116">
            <v>2022438394</v>
          </cell>
          <cell r="B116" t="str">
            <v>Abdul Wazid Bashar</v>
          </cell>
          <cell r="C116">
            <v>2201010012</v>
          </cell>
          <cell r="D116" t="str">
            <v>Promoted</v>
          </cell>
        </row>
        <row r="117">
          <cell r="A117">
            <v>2022433132</v>
          </cell>
          <cell r="B117" t="str">
            <v>Abesh Biswas</v>
          </cell>
          <cell r="C117">
            <v>2201010015</v>
          </cell>
          <cell r="D117" t="str">
            <v>Promoted</v>
          </cell>
        </row>
        <row r="118">
          <cell r="A118">
            <v>2022509625</v>
          </cell>
          <cell r="B118" t="str">
            <v>Abhinav Pandey</v>
          </cell>
          <cell r="C118">
            <v>2201010018</v>
          </cell>
          <cell r="D118" t="str">
            <v>Promoted</v>
          </cell>
        </row>
        <row r="119">
          <cell r="A119">
            <v>2022360529</v>
          </cell>
          <cell r="B119" t="str">
            <v>Abhinay Singh Rawat</v>
          </cell>
          <cell r="C119">
            <v>2201010022</v>
          </cell>
          <cell r="D119" t="str">
            <v>Promoted</v>
          </cell>
        </row>
        <row r="120">
          <cell r="A120">
            <v>2022579515</v>
          </cell>
          <cell r="B120" t="str">
            <v>Abhiraj Singh</v>
          </cell>
          <cell r="C120">
            <v>2201010023</v>
          </cell>
          <cell r="D120" t="str">
            <v>Promoted</v>
          </cell>
        </row>
        <row r="121">
          <cell r="A121">
            <v>2022539291</v>
          </cell>
          <cell r="B121" t="str">
            <v>Adarsh .</v>
          </cell>
          <cell r="C121">
            <v>2201010030</v>
          </cell>
          <cell r="D121" t="str">
            <v>Promoted</v>
          </cell>
        </row>
        <row r="122">
          <cell r="A122">
            <v>2022508626</v>
          </cell>
          <cell r="B122" t="str">
            <v>Adarsh Kumar Singh</v>
          </cell>
          <cell r="C122">
            <v>2201010032</v>
          </cell>
          <cell r="D122" t="str">
            <v>Promoted</v>
          </cell>
        </row>
        <row r="123">
          <cell r="A123">
            <v>2022525962</v>
          </cell>
          <cell r="B123" t="str">
            <v>Adarsh Raj</v>
          </cell>
          <cell r="C123">
            <v>2201010034</v>
          </cell>
          <cell r="D123" t="str">
            <v>Promoted</v>
          </cell>
        </row>
        <row r="124">
          <cell r="A124">
            <v>2022004546</v>
          </cell>
          <cell r="B124" t="str">
            <v>Aditya Jha</v>
          </cell>
          <cell r="C124">
            <v>2201010038</v>
          </cell>
          <cell r="D124" t="str">
            <v>Promoted</v>
          </cell>
        </row>
        <row r="125">
          <cell r="A125">
            <v>2022410342</v>
          </cell>
          <cell r="B125" t="str">
            <v>Aditya Kartik</v>
          </cell>
          <cell r="C125">
            <v>2201010039</v>
          </cell>
          <cell r="D125" t="str">
            <v>Promoted</v>
          </cell>
        </row>
        <row r="126">
          <cell r="A126">
            <v>2022002562</v>
          </cell>
          <cell r="B126" t="str">
            <v>Aditya Keshri</v>
          </cell>
          <cell r="C126">
            <v>2201010041</v>
          </cell>
          <cell r="D126" t="str">
            <v>Promoted</v>
          </cell>
        </row>
        <row r="127">
          <cell r="A127">
            <v>2022535859</v>
          </cell>
          <cell r="B127" t="str">
            <v>Aditya Pratap Singh</v>
          </cell>
          <cell r="C127">
            <v>2201010043</v>
          </cell>
          <cell r="D127" t="str">
            <v>Promoted</v>
          </cell>
        </row>
        <row r="128">
          <cell r="A128">
            <v>2022374295</v>
          </cell>
          <cell r="B128" t="str">
            <v>Aditya Raj</v>
          </cell>
          <cell r="C128">
            <v>2201010045</v>
          </cell>
          <cell r="D128" t="str">
            <v>Promoted</v>
          </cell>
        </row>
        <row r="129">
          <cell r="A129">
            <v>2022439077</v>
          </cell>
          <cell r="B129" t="str">
            <v>Aditya Raj Singh</v>
          </cell>
          <cell r="C129">
            <v>2201010048</v>
          </cell>
          <cell r="D129" t="str">
            <v>Promoted</v>
          </cell>
        </row>
        <row r="130">
          <cell r="A130">
            <v>2022536473</v>
          </cell>
          <cell r="B130" t="str">
            <v>Aditya Sharma</v>
          </cell>
          <cell r="C130">
            <v>2201010049</v>
          </cell>
          <cell r="D130" t="str">
            <v>Promoted</v>
          </cell>
        </row>
        <row r="131">
          <cell r="A131">
            <v>2022558776</v>
          </cell>
          <cell r="B131" t="str">
            <v>Aditya Sharma</v>
          </cell>
          <cell r="C131">
            <v>2201010050</v>
          </cell>
          <cell r="D131" t="str">
            <v>Promoted</v>
          </cell>
        </row>
        <row r="132">
          <cell r="A132">
            <v>2022005321</v>
          </cell>
          <cell r="B132" t="str">
            <v>Aditya Singh</v>
          </cell>
          <cell r="C132">
            <v>2201010051</v>
          </cell>
          <cell r="D132" t="str">
            <v>Promoted</v>
          </cell>
        </row>
        <row r="133">
          <cell r="A133">
            <v>2022526282</v>
          </cell>
          <cell r="B133" t="str">
            <v>Aditya Tiwari</v>
          </cell>
          <cell r="C133">
            <v>2201010053</v>
          </cell>
          <cell r="D133" t="str">
            <v>Promoted</v>
          </cell>
        </row>
        <row r="134">
          <cell r="A134">
            <v>2022001884</v>
          </cell>
          <cell r="B134" t="str">
            <v>Agrim Gupta</v>
          </cell>
          <cell r="C134">
            <v>2201010055</v>
          </cell>
          <cell r="D134" t="str">
            <v>Promoted</v>
          </cell>
        </row>
        <row r="135">
          <cell r="A135">
            <v>2022484684</v>
          </cell>
          <cell r="B135" t="str">
            <v>Aiyaan Qaiser</v>
          </cell>
          <cell r="C135">
            <v>2201010056</v>
          </cell>
          <cell r="D135" t="str">
            <v>Promoted</v>
          </cell>
        </row>
        <row r="136">
          <cell r="A136">
            <v>2022476104</v>
          </cell>
          <cell r="B136" t="str">
            <v>Ajay Singh</v>
          </cell>
          <cell r="C136">
            <v>2201010058</v>
          </cell>
          <cell r="D136" t="str">
            <v>Promoted</v>
          </cell>
        </row>
        <row r="137">
          <cell r="A137">
            <v>2022805717</v>
          </cell>
          <cell r="B137" t="str">
            <v>Ajib Astani Magar</v>
          </cell>
          <cell r="C137">
            <v>2201010059</v>
          </cell>
          <cell r="D137" t="str">
            <v>Promoted</v>
          </cell>
        </row>
        <row r="138">
          <cell r="A138">
            <v>2022405479</v>
          </cell>
          <cell r="B138" t="str">
            <v>Akash Rattan</v>
          </cell>
          <cell r="C138">
            <v>2201010062</v>
          </cell>
          <cell r="D138" t="str">
            <v>Promoted</v>
          </cell>
        </row>
        <row r="139">
          <cell r="A139">
            <v>2022559297</v>
          </cell>
          <cell r="B139" t="str">
            <v>Akshat Singh</v>
          </cell>
          <cell r="C139">
            <v>2201010066</v>
          </cell>
          <cell r="D139" t="str">
            <v>Promoted</v>
          </cell>
        </row>
        <row r="140">
          <cell r="A140">
            <v>2022344459</v>
          </cell>
          <cell r="B140" t="str">
            <v>Al Zabir</v>
          </cell>
          <cell r="C140">
            <v>2201010069</v>
          </cell>
          <cell r="D140" t="str">
            <v>Promoted</v>
          </cell>
        </row>
        <row r="141">
          <cell r="A141">
            <v>2022473379</v>
          </cell>
          <cell r="B141" t="str">
            <v>Alfi Khan</v>
          </cell>
          <cell r="C141">
            <v>2201010070</v>
          </cell>
          <cell r="D141" t="str">
            <v>Promoted</v>
          </cell>
        </row>
        <row r="142">
          <cell r="A142">
            <v>2022567112</v>
          </cell>
          <cell r="B142" t="str">
            <v>Alok Kumar Mishra</v>
          </cell>
          <cell r="C142">
            <v>2201010071</v>
          </cell>
          <cell r="D142" t="str">
            <v>Promoted</v>
          </cell>
        </row>
        <row r="143">
          <cell r="A143">
            <v>2022516167</v>
          </cell>
          <cell r="B143" t="str">
            <v>Aman Aswal</v>
          </cell>
          <cell r="C143">
            <v>2201010073</v>
          </cell>
          <cell r="D143" t="str">
            <v>Promoted</v>
          </cell>
        </row>
        <row r="144">
          <cell r="A144">
            <v>2022006152</v>
          </cell>
          <cell r="B144" t="str">
            <v>Aman Dogra</v>
          </cell>
          <cell r="C144">
            <v>2201010075</v>
          </cell>
          <cell r="D144" t="str">
            <v>Promoted</v>
          </cell>
        </row>
        <row r="145">
          <cell r="A145">
            <v>2022005223</v>
          </cell>
          <cell r="B145" t="str">
            <v>Aman Kumar</v>
          </cell>
          <cell r="C145">
            <v>2201010076</v>
          </cell>
          <cell r="D145" t="str">
            <v>Promoted</v>
          </cell>
        </row>
        <row r="146">
          <cell r="A146">
            <v>2022467293</v>
          </cell>
          <cell r="B146" t="str">
            <v>Aman Kumar</v>
          </cell>
          <cell r="C146">
            <v>2201010077</v>
          </cell>
          <cell r="D146" t="str">
            <v>Promoted</v>
          </cell>
        </row>
        <row r="147">
          <cell r="A147">
            <v>2022534811</v>
          </cell>
          <cell r="B147" t="str">
            <v>Aman Sinha</v>
          </cell>
          <cell r="C147">
            <v>2201010078</v>
          </cell>
          <cell r="D147" t="str">
            <v>Promoted</v>
          </cell>
        </row>
        <row r="148">
          <cell r="A148">
            <v>2022004659</v>
          </cell>
          <cell r="B148" t="str">
            <v>Amit Raj</v>
          </cell>
          <cell r="C148">
            <v>2201010079</v>
          </cell>
          <cell r="D148" t="str">
            <v>Promoted</v>
          </cell>
        </row>
        <row r="149">
          <cell r="A149">
            <v>2022448964</v>
          </cell>
          <cell r="B149" t="str">
            <v>Amritanshu Ranjan</v>
          </cell>
          <cell r="C149">
            <v>2201010080</v>
          </cell>
          <cell r="D149" t="str">
            <v>Promoted</v>
          </cell>
        </row>
        <row r="150">
          <cell r="A150">
            <v>2022516410</v>
          </cell>
          <cell r="B150" t="str">
            <v>Anand Raj</v>
          </cell>
          <cell r="C150">
            <v>2201010082</v>
          </cell>
          <cell r="D150" t="str">
            <v>Promoted</v>
          </cell>
        </row>
        <row r="151">
          <cell r="A151">
            <v>2022433429</v>
          </cell>
          <cell r="B151" t="str">
            <v>Ananya Tyagi</v>
          </cell>
          <cell r="C151">
            <v>2201010083</v>
          </cell>
          <cell r="D151" t="str">
            <v>Promoted</v>
          </cell>
        </row>
        <row r="152">
          <cell r="A152">
            <v>2022003597</v>
          </cell>
          <cell r="B152" t="str">
            <v>Aniruddh Singh</v>
          </cell>
          <cell r="C152">
            <v>2201010086</v>
          </cell>
          <cell r="D152" t="str">
            <v>Promoted</v>
          </cell>
        </row>
        <row r="153">
          <cell r="A153">
            <v>2022006654</v>
          </cell>
          <cell r="B153" t="str">
            <v>Anish Kumar Rai</v>
          </cell>
          <cell r="C153">
            <v>2201010088</v>
          </cell>
          <cell r="D153" t="str">
            <v>Promoted</v>
          </cell>
        </row>
        <row r="154">
          <cell r="A154">
            <v>2022511918</v>
          </cell>
          <cell r="B154" t="str">
            <v>Anjali Singh</v>
          </cell>
          <cell r="C154">
            <v>2201010090</v>
          </cell>
          <cell r="D154" t="str">
            <v>Promoted</v>
          </cell>
        </row>
        <row r="155">
          <cell r="A155">
            <v>2022434676</v>
          </cell>
          <cell r="B155" t="str">
            <v>Anjani Kumar</v>
          </cell>
          <cell r="C155">
            <v>2201010091</v>
          </cell>
          <cell r="D155" t="str">
            <v>Promoted</v>
          </cell>
        </row>
        <row r="156">
          <cell r="A156">
            <v>2022538932</v>
          </cell>
          <cell r="B156" t="str">
            <v>Ankit Yadav</v>
          </cell>
          <cell r="C156">
            <v>2201010096</v>
          </cell>
          <cell r="D156" t="str">
            <v>Promoted</v>
          </cell>
        </row>
        <row r="157">
          <cell r="A157">
            <v>2022407716</v>
          </cell>
          <cell r="B157" t="str">
            <v>Ankita Kumari</v>
          </cell>
          <cell r="C157">
            <v>2201010097</v>
          </cell>
          <cell r="D157" t="str">
            <v>Promoted</v>
          </cell>
        </row>
        <row r="158">
          <cell r="A158">
            <v>2022000245</v>
          </cell>
          <cell r="B158" t="str">
            <v>Ankush Kumar</v>
          </cell>
          <cell r="C158">
            <v>2201010098</v>
          </cell>
          <cell r="D158" t="str">
            <v>Promoted</v>
          </cell>
        </row>
        <row r="159">
          <cell r="A159">
            <v>2022475156</v>
          </cell>
          <cell r="B159" t="str">
            <v>Ansh Shrivastav</v>
          </cell>
          <cell r="C159">
            <v>2201010099</v>
          </cell>
          <cell r="D159" t="str">
            <v>Promoted</v>
          </cell>
        </row>
        <row r="160">
          <cell r="A160">
            <v>2022006171</v>
          </cell>
          <cell r="B160" t="str">
            <v>Anshika Tyagi</v>
          </cell>
          <cell r="C160">
            <v>2201010101</v>
          </cell>
          <cell r="D160" t="str">
            <v>Promoted</v>
          </cell>
        </row>
        <row r="161">
          <cell r="A161">
            <v>2022577648</v>
          </cell>
          <cell r="B161" t="str">
            <v>Anshu Geetanjali</v>
          </cell>
          <cell r="C161">
            <v>2201010102</v>
          </cell>
          <cell r="D161" t="str">
            <v>Promoted</v>
          </cell>
        </row>
        <row r="162">
          <cell r="A162">
            <v>2022577356</v>
          </cell>
          <cell r="B162" t="str">
            <v>Anshu Kumar</v>
          </cell>
          <cell r="C162">
            <v>2201010103</v>
          </cell>
          <cell r="D162" t="str">
            <v>Promoted</v>
          </cell>
        </row>
        <row r="163">
          <cell r="A163">
            <v>2022002787</v>
          </cell>
          <cell r="B163" t="str">
            <v>Anshuman Singh</v>
          </cell>
          <cell r="C163">
            <v>2201010105</v>
          </cell>
          <cell r="D163" t="str">
            <v>Promoted</v>
          </cell>
        </row>
        <row r="164">
          <cell r="A164">
            <v>2022006210</v>
          </cell>
          <cell r="B164" t="str">
            <v>Anubhav Choudhary</v>
          </cell>
          <cell r="C164">
            <v>2201010109</v>
          </cell>
          <cell r="D164" t="str">
            <v>Promoted</v>
          </cell>
        </row>
        <row r="165">
          <cell r="A165">
            <v>2022004609</v>
          </cell>
          <cell r="B165" t="str">
            <v>Anuj Naruka</v>
          </cell>
          <cell r="C165">
            <v>2201010110</v>
          </cell>
          <cell r="D165" t="str">
            <v>Promoted</v>
          </cell>
        </row>
        <row r="166">
          <cell r="A166">
            <v>2022394343</v>
          </cell>
          <cell r="B166" t="str">
            <v>Anuj Rawat</v>
          </cell>
          <cell r="C166">
            <v>2201010111</v>
          </cell>
          <cell r="D166" t="str">
            <v>Promoted</v>
          </cell>
        </row>
        <row r="167">
          <cell r="A167">
            <v>2022005229</v>
          </cell>
          <cell r="B167" t="str">
            <v>Anushka Kashyap</v>
          </cell>
          <cell r="C167">
            <v>2201010115</v>
          </cell>
          <cell r="D167" t="str">
            <v>Promoted</v>
          </cell>
        </row>
        <row r="168">
          <cell r="A168">
            <v>2022508678</v>
          </cell>
          <cell r="B168" t="str">
            <v>Anushka Panwar</v>
          </cell>
          <cell r="C168">
            <v>2201010116</v>
          </cell>
          <cell r="D168" t="str">
            <v>Promoted</v>
          </cell>
        </row>
        <row r="169">
          <cell r="A169">
            <v>2022448509</v>
          </cell>
          <cell r="B169" t="str">
            <v>Apoorv Vikram Singh</v>
          </cell>
          <cell r="C169">
            <v>2201010118</v>
          </cell>
          <cell r="D169" t="str">
            <v>Promoted</v>
          </cell>
        </row>
        <row r="170">
          <cell r="A170">
            <v>2022480934</v>
          </cell>
          <cell r="B170" t="str">
            <v>Aradhya Mittal</v>
          </cell>
          <cell r="C170">
            <v>2201010119</v>
          </cell>
          <cell r="D170" t="str">
            <v>Promoted</v>
          </cell>
        </row>
        <row r="171">
          <cell r="A171">
            <v>2022006308</v>
          </cell>
          <cell r="B171" t="str">
            <v>Arbaz Ahmed</v>
          </cell>
          <cell r="C171">
            <v>2201010121</v>
          </cell>
          <cell r="D171" t="str">
            <v>Promoted</v>
          </cell>
        </row>
        <row r="172">
          <cell r="A172">
            <v>2022000982</v>
          </cell>
          <cell r="B172" t="str">
            <v>Arfat Khan</v>
          </cell>
          <cell r="C172">
            <v>2201010125</v>
          </cell>
          <cell r="D172" t="str">
            <v>Promoted</v>
          </cell>
        </row>
        <row r="173">
          <cell r="A173">
            <v>2022006318</v>
          </cell>
          <cell r="B173" t="str">
            <v>Arman Ahmed</v>
          </cell>
          <cell r="C173">
            <v>2201010126</v>
          </cell>
          <cell r="D173" t="str">
            <v>Promoted</v>
          </cell>
        </row>
        <row r="174">
          <cell r="A174">
            <v>2022544781</v>
          </cell>
          <cell r="B174" t="str">
            <v>Arpit Arya</v>
          </cell>
          <cell r="C174">
            <v>2201010131</v>
          </cell>
          <cell r="D174" t="str">
            <v>Promoted</v>
          </cell>
        </row>
        <row r="175">
          <cell r="A175">
            <v>2022502414</v>
          </cell>
          <cell r="B175" t="str">
            <v>Arun Kumar Pal</v>
          </cell>
          <cell r="C175">
            <v>2201010132</v>
          </cell>
          <cell r="D175" t="str">
            <v>Promoted</v>
          </cell>
        </row>
        <row r="176">
          <cell r="A176">
            <v>2022540466</v>
          </cell>
          <cell r="B176" t="str">
            <v>Arvind Patel</v>
          </cell>
          <cell r="C176">
            <v>2201010135</v>
          </cell>
          <cell r="D176" t="str">
            <v>Promoted</v>
          </cell>
        </row>
        <row r="177">
          <cell r="A177">
            <v>2022329124</v>
          </cell>
          <cell r="B177" t="str">
            <v>Aryan .</v>
          </cell>
          <cell r="C177">
            <v>2201010138</v>
          </cell>
          <cell r="D177" t="str">
            <v>Promoted</v>
          </cell>
        </row>
        <row r="178">
          <cell r="A178">
            <v>2022395305</v>
          </cell>
          <cell r="B178" t="str">
            <v>Aryan Kumar</v>
          </cell>
          <cell r="C178">
            <v>2201010140</v>
          </cell>
          <cell r="D178" t="str">
            <v>Promoted</v>
          </cell>
        </row>
        <row r="179">
          <cell r="A179">
            <v>2022386541</v>
          </cell>
          <cell r="B179" t="str">
            <v>Aryan Kumar Pandey</v>
          </cell>
          <cell r="C179">
            <v>2201010141</v>
          </cell>
          <cell r="D179" t="str">
            <v>Promoted</v>
          </cell>
        </row>
        <row r="180">
          <cell r="A180">
            <v>2022419571</v>
          </cell>
          <cell r="B180" t="str">
            <v>Aryan Rattan Trakroo</v>
          </cell>
          <cell r="C180">
            <v>2201010146</v>
          </cell>
          <cell r="D180" t="str">
            <v>Promoted</v>
          </cell>
        </row>
        <row r="181">
          <cell r="A181">
            <v>2022506074</v>
          </cell>
          <cell r="B181" t="str">
            <v>Aryan Verma</v>
          </cell>
          <cell r="C181">
            <v>2201010150</v>
          </cell>
          <cell r="D181" t="str">
            <v>Promoted</v>
          </cell>
        </row>
        <row r="182">
          <cell r="A182">
            <v>2022413603</v>
          </cell>
          <cell r="B182" t="str">
            <v>Ashutosh Gola</v>
          </cell>
          <cell r="C182">
            <v>2201010153</v>
          </cell>
          <cell r="D182" t="str">
            <v>Promoted</v>
          </cell>
        </row>
        <row r="183">
          <cell r="A183">
            <v>2022484200</v>
          </cell>
          <cell r="B183" t="str">
            <v>Ashutosh Sharma</v>
          </cell>
          <cell r="C183">
            <v>2201010156</v>
          </cell>
          <cell r="D183" t="str">
            <v>Promoted</v>
          </cell>
        </row>
        <row r="184">
          <cell r="A184">
            <v>2022334212</v>
          </cell>
          <cell r="B184" t="str">
            <v>Ashutosh Tyagi</v>
          </cell>
          <cell r="C184">
            <v>2201010157</v>
          </cell>
          <cell r="D184" t="str">
            <v>Promoted</v>
          </cell>
        </row>
        <row r="185">
          <cell r="A185">
            <v>2022434340</v>
          </cell>
          <cell r="B185" t="str">
            <v>Asmit Aditya</v>
          </cell>
          <cell r="C185">
            <v>2201010159</v>
          </cell>
          <cell r="D185" t="str">
            <v>Promoted</v>
          </cell>
        </row>
        <row r="186">
          <cell r="A186">
            <v>2022446378</v>
          </cell>
          <cell r="B186" t="str">
            <v>Asmit Kumar</v>
          </cell>
          <cell r="C186">
            <v>2201010160</v>
          </cell>
          <cell r="D186" t="str">
            <v>Promoted</v>
          </cell>
        </row>
        <row r="187">
          <cell r="A187">
            <v>2022438604</v>
          </cell>
          <cell r="B187" t="str">
            <v>Atithi Negi</v>
          </cell>
          <cell r="C187">
            <v>2201010162</v>
          </cell>
          <cell r="D187" t="str">
            <v>Promoted</v>
          </cell>
        </row>
        <row r="188">
          <cell r="A188">
            <v>2022531916</v>
          </cell>
          <cell r="B188" t="str">
            <v>Atul Anand</v>
          </cell>
          <cell r="C188">
            <v>2201010163</v>
          </cell>
          <cell r="D188" t="str">
            <v>Promoted</v>
          </cell>
        </row>
        <row r="189">
          <cell r="A189">
            <v>2022416656</v>
          </cell>
          <cell r="B189" t="str">
            <v>Ayush Garg</v>
          </cell>
          <cell r="C189">
            <v>2201010169</v>
          </cell>
          <cell r="D189" t="str">
            <v>Promoted</v>
          </cell>
        </row>
        <row r="190">
          <cell r="A190">
            <v>2022521926</v>
          </cell>
          <cell r="B190" t="str">
            <v>Basharat Hassan</v>
          </cell>
          <cell r="C190">
            <v>2201010175</v>
          </cell>
          <cell r="D190" t="str">
            <v>Promoted</v>
          </cell>
        </row>
        <row r="191">
          <cell r="A191">
            <v>2022557408</v>
          </cell>
          <cell r="B191" t="str">
            <v>Bharat Nagar</v>
          </cell>
          <cell r="C191">
            <v>2201010176</v>
          </cell>
          <cell r="D191" t="str">
            <v>Promoted</v>
          </cell>
        </row>
        <row r="192">
          <cell r="A192">
            <v>2022325232</v>
          </cell>
          <cell r="B192" t="str">
            <v>Bhoomi Sharma</v>
          </cell>
          <cell r="C192">
            <v>2201010178</v>
          </cell>
          <cell r="D192" t="str">
            <v>Promoted</v>
          </cell>
        </row>
        <row r="193">
          <cell r="A193">
            <v>2022820872</v>
          </cell>
          <cell r="B193" t="str">
            <v>Bishal Jha</v>
          </cell>
          <cell r="C193">
            <v>2201010182</v>
          </cell>
          <cell r="D193" t="str">
            <v>Promoted</v>
          </cell>
        </row>
        <row r="194">
          <cell r="A194">
            <v>2022433389</v>
          </cell>
          <cell r="B194" t="str">
            <v>Bolla Manoj Sai</v>
          </cell>
          <cell r="C194">
            <v>2201010183</v>
          </cell>
          <cell r="D194" t="str">
            <v>Promoted</v>
          </cell>
        </row>
        <row r="195">
          <cell r="A195">
            <v>2022002578</v>
          </cell>
          <cell r="B195" t="str">
            <v>Brahmtej Mohanty</v>
          </cell>
          <cell r="C195">
            <v>2201010184</v>
          </cell>
          <cell r="D195" t="str">
            <v>Promoted</v>
          </cell>
        </row>
        <row r="196">
          <cell r="A196">
            <v>2022519020</v>
          </cell>
          <cell r="B196" t="str">
            <v>Brijesh Yadav</v>
          </cell>
          <cell r="C196">
            <v>2201010185</v>
          </cell>
          <cell r="D196" t="str">
            <v>Promoted</v>
          </cell>
        </row>
        <row r="197">
          <cell r="A197">
            <v>2022007055</v>
          </cell>
          <cell r="B197" t="str">
            <v>Chandan Kumar Tiwari</v>
          </cell>
          <cell r="C197">
            <v>2201010187</v>
          </cell>
          <cell r="D197" t="str">
            <v>Promoted</v>
          </cell>
        </row>
        <row r="198">
          <cell r="A198">
            <v>2022528415</v>
          </cell>
          <cell r="B198" t="str">
            <v>Chandni Tyagi</v>
          </cell>
          <cell r="C198">
            <v>2201010188</v>
          </cell>
          <cell r="D198" t="str">
            <v>Promoted</v>
          </cell>
        </row>
        <row r="199">
          <cell r="A199">
            <v>2022345566</v>
          </cell>
          <cell r="B199" t="str">
            <v>Chetan Kumar</v>
          </cell>
          <cell r="C199">
            <v>2201010189</v>
          </cell>
          <cell r="D199" t="str">
            <v>Promoted</v>
          </cell>
        </row>
        <row r="200">
          <cell r="A200">
            <v>2022003287</v>
          </cell>
          <cell r="B200" t="str">
            <v>Chetan Raj Singh</v>
          </cell>
          <cell r="C200">
            <v>2201010190</v>
          </cell>
          <cell r="D200" t="str">
            <v>Promoted</v>
          </cell>
        </row>
        <row r="201">
          <cell r="A201">
            <v>2022305905</v>
          </cell>
          <cell r="B201" t="str">
            <v>Chirag Nirwan</v>
          </cell>
          <cell r="C201">
            <v>2201010193</v>
          </cell>
          <cell r="D201" t="str">
            <v>Promoted</v>
          </cell>
        </row>
        <row r="202">
          <cell r="A202">
            <v>2022005228</v>
          </cell>
          <cell r="B202" t="str">
            <v>Chirag Pathak</v>
          </cell>
          <cell r="C202">
            <v>2201010194</v>
          </cell>
          <cell r="D202" t="str">
            <v>Promoted</v>
          </cell>
        </row>
        <row r="203">
          <cell r="A203">
            <v>2022007141</v>
          </cell>
          <cell r="B203" t="str">
            <v>Chitransh Shrivastava</v>
          </cell>
          <cell r="C203">
            <v>2201010196</v>
          </cell>
          <cell r="D203" t="str">
            <v>Promoted</v>
          </cell>
        </row>
        <row r="204">
          <cell r="A204">
            <v>2022833385</v>
          </cell>
          <cell r="B204" t="str">
            <v>Katleho Mantsi Daniel Kholumo</v>
          </cell>
          <cell r="C204">
            <v>2201010199</v>
          </cell>
          <cell r="D204" t="str">
            <v>Promoted</v>
          </cell>
        </row>
        <row r="205">
          <cell r="A205">
            <v>2022349970</v>
          </cell>
          <cell r="B205" t="str">
            <v>Danish Kamal</v>
          </cell>
          <cell r="C205">
            <v>2201010201</v>
          </cell>
          <cell r="D205" t="str">
            <v>Promoted</v>
          </cell>
        </row>
        <row r="206">
          <cell r="A206">
            <v>2022514536</v>
          </cell>
          <cell r="B206" t="str">
            <v>Deepak Kumar Yadav</v>
          </cell>
          <cell r="C206">
            <v>2201010203</v>
          </cell>
          <cell r="D206" t="str">
            <v>Promoted</v>
          </cell>
        </row>
        <row r="207">
          <cell r="A207">
            <v>2022462663</v>
          </cell>
          <cell r="B207" t="str">
            <v>Deepali Singh</v>
          </cell>
          <cell r="C207">
            <v>2201010204</v>
          </cell>
          <cell r="D207" t="str">
            <v>Promoted</v>
          </cell>
        </row>
        <row r="208">
          <cell r="A208">
            <v>2022429052</v>
          </cell>
          <cell r="B208" t="str">
            <v>Deependra Singh</v>
          </cell>
          <cell r="C208">
            <v>2201010207</v>
          </cell>
          <cell r="D208" t="str">
            <v>Promoted</v>
          </cell>
        </row>
        <row r="209">
          <cell r="A209">
            <v>2022003043</v>
          </cell>
          <cell r="B209" t="str">
            <v>Devansh Jha</v>
          </cell>
          <cell r="C209">
            <v>2201010209</v>
          </cell>
          <cell r="D209" t="str">
            <v>Promoted</v>
          </cell>
        </row>
        <row r="210">
          <cell r="A210">
            <v>2022481431</v>
          </cell>
          <cell r="B210" t="str">
            <v>Devashish Raj</v>
          </cell>
          <cell r="C210">
            <v>2201010213</v>
          </cell>
          <cell r="D210" t="str">
            <v>Promoted</v>
          </cell>
        </row>
        <row r="211">
          <cell r="A211">
            <v>2022004342</v>
          </cell>
          <cell r="B211" t="str">
            <v>Dheerendra Pratap</v>
          </cell>
          <cell r="C211">
            <v>2201010217</v>
          </cell>
          <cell r="D211" t="str">
            <v>Promoted</v>
          </cell>
        </row>
        <row r="212">
          <cell r="A212">
            <v>2022330872</v>
          </cell>
          <cell r="B212" t="str">
            <v>Dibyanshu Mohanty</v>
          </cell>
          <cell r="C212">
            <v>2201010220</v>
          </cell>
          <cell r="D212" t="str">
            <v>Promoted</v>
          </cell>
        </row>
        <row r="213">
          <cell r="A213">
            <v>2022511372</v>
          </cell>
          <cell r="B213" t="str">
            <v>Divyani Patel</v>
          </cell>
          <cell r="C213">
            <v>2201010225</v>
          </cell>
          <cell r="D213" t="str">
            <v>Promoted</v>
          </cell>
        </row>
        <row r="214">
          <cell r="A214">
            <v>2022487133</v>
          </cell>
          <cell r="B214" t="str">
            <v>Divyansh Singh</v>
          </cell>
          <cell r="C214">
            <v>2201010227</v>
          </cell>
          <cell r="D214" t="str">
            <v>Promoted</v>
          </cell>
        </row>
        <row r="215">
          <cell r="A215">
            <v>2022006402</v>
          </cell>
          <cell r="B215" t="str">
            <v>Divyesh Singh Bisht</v>
          </cell>
          <cell r="C215">
            <v>2201010229</v>
          </cell>
          <cell r="D215" t="str">
            <v>Promoted</v>
          </cell>
        </row>
        <row r="216">
          <cell r="A216">
            <v>2022470752</v>
          </cell>
          <cell r="B216" t="str">
            <v>Fahad Najmi</v>
          </cell>
          <cell r="C216">
            <v>2201010235</v>
          </cell>
          <cell r="D216" t="str">
            <v>Promoted</v>
          </cell>
        </row>
        <row r="217">
          <cell r="A217">
            <v>2022411800</v>
          </cell>
          <cell r="B217" t="str">
            <v>Faiyaz Azim</v>
          </cell>
          <cell r="C217">
            <v>2201010236</v>
          </cell>
          <cell r="D217" t="str">
            <v>Promoted</v>
          </cell>
        </row>
        <row r="218">
          <cell r="A218">
            <v>2022497244</v>
          </cell>
          <cell r="B218" t="str">
            <v>Faiz Anwar</v>
          </cell>
          <cell r="C218">
            <v>2201010237</v>
          </cell>
          <cell r="D218" t="str">
            <v>Promoted</v>
          </cell>
        </row>
        <row r="219">
          <cell r="A219">
            <v>2022307961</v>
          </cell>
          <cell r="B219" t="str">
            <v>Faizan Alam</v>
          </cell>
          <cell r="C219">
            <v>2201010238</v>
          </cell>
          <cell r="D219" t="str">
            <v>Promoted</v>
          </cell>
        </row>
        <row r="220">
          <cell r="A220">
            <v>2022000239</v>
          </cell>
          <cell r="B220" t="str">
            <v>Fardeen Mansoori</v>
          </cell>
          <cell r="C220">
            <v>2201010239</v>
          </cell>
          <cell r="D220" t="str">
            <v>Promoted</v>
          </cell>
        </row>
        <row r="221">
          <cell r="A221">
            <v>2022003691</v>
          </cell>
          <cell r="B221" t="str">
            <v>Gaurav Kumar Pal</v>
          </cell>
          <cell r="C221">
            <v>2201010245</v>
          </cell>
          <cell r="D221" t="str">
            <v>Promoted</v>
          </cell>
        </row>
        <row r="222">
          <cell r="A222">
            <v>2022540214</v>
          </cell>
          <cell r="B222" t="str">
            <v>Gaurav Singh</v>
          </cell>
          <cell r="C222">
            <v>2201010246</v>
          </cell>
          <cell r="D222" t="str">
            <v>Promoted</v>
          </cell>
        </row>
        <row r="223">
          <cell r="A223">
            <v>2022506998</v>
          </cell>
          <cell r="B223" t="str">
            <v>Gauri Jakhmola</v>
          </cell>
          <cell r="C223">
            <v>2201010247</v>
          </cell>
          <cell r="D223" t="str">
            <v>Promoted</v>
          </cell>
        </row>
        <row r="224">
          <cell r="A224">
            <v>2022816874</v>
          </cell>
          <cell r="B224" t="str">
            <v>Govind Ray</v>
          </cell>
          <cell r="C224">
            <v>2201010252</v>
          </cell>
          <cell r="D224" t="str">
            <v>Promoted</v>
          </cell>
        </row>
        <row r="225">
          <cell r="A225">
            <v>2022007202</v>
          </cell>
          <cell r="B225" t="str">
            <v>Gracy Chauhan</v>
          </cell>
          <cell r="C225">
            <v>2201010254</v>
          </cell>
          <cell r="D225" t="str">
            <v>Promoted</v>
          </cell>
        </row>
        <row r="226">
          <cell r="A226">
            <v>2022565603</v>
          </cell>
          <cell r="B226" t="str">
            <v>Hameem Yaseen</v>
          </cell>
          <cell r="C226">
            <v>2201010257</v>
          </cell>
          <cell r="D226" t="str">
            <v>Promoted</v>
          </cell>
        </row>
        <row r="227">
          <cell r="A227">
            <v>2022476992</v>
          </cell>
          <cell r="B227" t="str">
            <v>Harsh Chaudhary</v>
          </cell>
          <cell r="C227">
            <v>2201010263</v>
          </cell>
          <cell r="D227" t="str">
            <v>Promoted</v>
          </cell>
        </row>
        <row r="228">
          <cell r="A228">
            <v>2022574196</v>
          </cell>
          <cell r="B228" t="str">
            <v>Harsh Kumar</v>
          </cell>
          <cell r="C228">
            <v>2201010266</v>
          </cell>
          <cell r="D228" t="str">
            <v>Promoted</v>
          </cell>
        </row>
        <row r="229">
          <cell r="A229">
            <v>2022006272</v>
          </cell>
          <cell r="B229" t="str">
            <v>Harsh Raj Singh</v>
          </cell>
          <cell r="C229">
            <v>2201010269</v>
          </cell>
          <cell r="D229" t="str">
            <v>Promoted</v>
          </cell>
        </row>
        <row r="230">
          <cell r="A230">
            <v>2022482951</v>
          </cell>
          <cell r="B230" t="str">
            <v>Harsh Rastogi</v>
          </cell>
          <cell r="C230">
            <v>2201010270</v>
          </cell>
          <cell r="D230" t="str">
            <v>Promoted</v>
          </cell>
        </row>
        <row r="231">
          <cell r="A231">
            <v>2022413331</v>
          </cell>
          <cell r="B231" t="str">
            <v>Harsh Saini</v>
          </cell>
          <cell r="C231">
            <v>2201010271</v>
          </cell>
          <cell r="D231" t="str">
            <v>Promoted</v>
          </cell>
        </row>
        <row r="232">
          <cell r="A232">
            <v>2022530377</v>
          </cell>
          <cell r="B232" t="str">
            <v>Harsh Sharma</v>
          </cell>
          <cell r="C232">
            <v>2201010273</v>
          </cell>
          <cell r="D232" t="str">
            <v>Promoted</v>
          </cell>
        </row>
        <row r="233">
          <cell r="A233">
            <v>2022506880</v>
          </cell>
          <cell r="B233" t="str">
            <v>Harshada Negi</v>
          </cell>
          <cell r="C233">
            <v>2201010275</v>
          </cell>
          <cell r="D233" t="str">
            <v>Promoted</v>
          </cell>
        </row>
        <row r="234">
          <cell r="A234">
            <v>2022005252</v>
          </cell>
          <cell r="B234" t="str">
            <v>Harshit Arora</v>
          </cell>
          <cell r="C234">
            <v>2201010278</v>
          </cell>
          <cell r="D234" t="str">
            <v>Promoted</v>
          </cell>
        </row>
        <row r="235">
          <cell r="A235">
            <v>2022006162</v>
          </cell>
          <cell r="B235" t="str">
            <v>Harshit Chaudhary</v>
          </cell>
          <cell r="C235">
            <v>2201010279</v>
          </cell>
          <cell r="D235" t="str">
            <v>Promoted</v>
          </cell>
        </row>
        <row r="236">
          <cell r="A236">
            <v>2022006470</v>
          </cell>
          <cell r="B236" t="str">
            <v>Harshita Narayan</v>
          </cell>
          <cell r="C236">
            <v>2201010281</v>
          </cell>
          <cell r="D236" t="str">
            <v>Promoted</v>
          </cell>
        </row>
        <row r="237">
          <cell r="A237">
            <v>2022505448</v>
          </cell>
          <cell r="B237" t="str">
            <v>Harshvardhan Sinha</v>
          </cell>
          <cell r="C237">
            <v>2201010283</v>
          </cell>
          <cell r="D237" t="str">
            <v>Promoted</v>
          </cell>
        </row>
        <row r="238">
          <cell r="A238">
            <v>2022441875</v>
          </cell>
          <cell r="B238" t="str">
            <v>Hemant Kumar</v>
          </cell>
          <cell r="C238">
            <v>2201010284</v>
          </cell>
          <cell r="D238" t="str">
            <v>Promoted</v>
          </cell>
        </row>
        <row r="239">
          <cell r="A239">
            <v>2022484179</v>
          </cell>
          <cell r="B239" t="str">
            <v>Hemant Kumar</v>
          </cell>
          <cell r="C239">
            <v>2201010285</v>
          </cell>
          <cell r="D239" t="str">
            <v>Promoted</v>
          </cell>
        </row>
        <row r="240">
          <cell r="A240">
            <v>2022002383</v>
          </cell>
          <cell r="B240" t="str">
            <v>Isha Jakhad</v>
          </cell>
          <cell r="C240">
            <v>2201010292</v>
          </cell>
          <cell r="D240" t="str">
            <v>Promoted</v>
          </cell>
        </row>
        <row r="241">
          <cell r="A241">
            <v>2022570019</v>
          </cell>
          <cell r="B241" t="str">
            <v>Isha Sakhuja</v>
          </cell>
          <cell r="C241">
            <v>2201010293</v>
          </cell>
          <cell r="D241" t="str">
            <v>Promoted</v>
          </cell>
        </row>
        <row r="242">
          <cell r="A242">
            <v>2022472005</v>
          </cell>
          <cell r="B242" t="str">
            <v>Ishita Roy</v>
          </cell>
          <cell r="C242">
            <v>2201010296</v>
          </cell>
          <cell r="D242" t="str">
            <v>Promoted</v>
          </cell>
        </row>
        <row r="243">
          <cell r="A243">
            <v>2022804425</v>
          </cell>
          <cell r="B243" t="str">
            <v>Jabir Luqman Ismail</v>
          </cell>
          <cell r="C243">
            <v>2201010297</v>
          </cell>
          <cell r="D243" t="str">
            <v>Promoted</v>
          </cell>
        </row>
        <row r="244">
          <cell r="A244">
            <v>2022552969</v>
          </cell>
          <cell r="B244" t="str">
            <v>Jasim Ansari</v>
          </cell>
          <cell r="C244">
            <v>2201010299</v>
          </cell>
          <cell r="D244" t="str">
            <v>Promoted</v>
          </cell>
        </row>
        <row r="245">
          <cell r="A245">
            <v>2022561995</v>
          </cell>
          <cell r="B245" t="str">
            <v>Jasjot Singh Walia</v>
          </cell>
          <cell r="C245">
            <v>2201010300</v>
          </cell>
          <cell r="D245" t="str">
            <v>Promoted</v>
          </cell>
        </row>
        <row r="246">
          <cell r="A246">
            <v>2022582150</v>
          </cell>
          <cell r="B246" t="str">
            <v>Jatin Kumar</v>
          </cell>
          <cell r="C246">
            <v>2201010304</v>
          </cell>
          <cell r="D246" t="str">
            <v>Promoted</v>
          </cell>
        </row>
        <row r="247">
          <cell r="A247">
            <v>2022469745</v>
          </cell>
          <cell r="B247" t="str">
            <v>Jay .</v>
          </cell>
          <cell r="C247">
            <v>2201010306</v>
          </cell>
          <cell r="D247" t="str">
            <v>Promoted</v>
          </cell>
        </row>
        <row r="248">
          <cell r="A248">
            <v>2022819221</v>
          </cell>
          <cell r="B248" t="str">
            <v>Jayanti Kumari</v>
          </cell>
          <cell r="C248">
            <v>2201010307</v>
          </cell>
          <cell r="D248" t="str">
            <v>Promoted</v>
          </cell>
        </row>
        <row r="249">
          <cell r="A249">
            <v>2022503298</v>
          </cell>
          <cell r="B249" t="str">
            <v>Jigar Kumar</v>
          </cell>
          <cell r="C249">
            <v>2201010308</v>
          </cell>
          <cell r="D249" t="str">
            <v>Promoted</v>
          </cell>
        </row>
        <row r="250">
          <cell r="A250">
            <v>2022006870</v>
          </cell>
          <cell r="B250" t="str">
            <v>Jigyashu Raj</v>
          </cell>
          <cell r="C250">
            <v>2201010310</v>
          </cell>
          <cell r="D250" t="str">
            <v>Promoted</v>
          </cell>
        </row>
        <row r="251">
          <cell r="A251">
            <v>2022458909</v>
          </cell>
          <cell r="B251" t="str">
            <v>Junaid Basaad</v>
          </cell>
          <cell r="C251">
            <v>2201010311</v>
          </cell>
          <cell r="D251" t="str">
            <v>Promoted</v>
          </cell>
        </row>
        <row r="252">
          <cell r="A252">
            <v>2022003231</v>
          </cell>
          <cell r="B252" t="str">
            <v>Kadam Pathak</v>
          </cell>
          <cell r="C252">
            <v>2201010312</v>
          </cell>
          <cell r="D252" t="str">
            <v>Promoted</v>
          </cell>
        </row>
        <row r="253">
          <cell r="A253">
            <v>2022004703</v>
          </cell>
          <cell r="B253" t="str">
            <v>Kalpana Mishra</v>
          </cell>
          <cell r="C253">
            <v>2201010314</v>
          </cell>
          <cell r="D253" t="str">
            <v>Promoted</v>
          </cell>
        </row>
        <row r="254">
          <cell r="A254">
            <v>2022548161</v>
          </cell>
          <cell r="B254" t="str">
            <v>Karan Kumar</v>
          </cell>
          <cell r="C254">
            <v>2201010317</v>
          </cell>
          <cell r="D254" t="str">
            <v>Promoted</v>
          </cell>
        </row>
        <row r="255">
          <cell r="A255">
            <v>2022301943</v>
          </cell>
          <cell r="B255" t="str">
            <v>Karan Kumar Das</v>
          </cell>
          <cell r="C255">
            <v>2201010318</v>
          </cell>
          <cell r="D255" t="str">
            <v>Promoted</v>
          </cell>
        </row>
        <row r="256">
          <cell r="A256">
            <v>2022521021</v>
          </cell>
          <cell r="B256" t="str">
            <v>Kashish Mishra</v>
          </cell>
          <cell r="C256">
            <v>2201010323</v>
          </cell>
          <cell r="D256" t="str">
            <v>Promoted</v>
          </cell>
        </row>
        <row r="257">
          <cell r="A257">
            <v>2022476255</v>
          </cell>
          <cell r="B257" t="str">
            <v>Keshav Bisht</v>
          </cell>
          <cell r="C257">
            <v>2201010325</v>
          </cell>
          <cell r="D257" t="str">
            <v>Promoted</v>
          </cell>
        </row>
        <row r="258">
          <cell r="A258">
            <v>2022455176</v>
          </cell>
          <cell r="B258" t="str">
            <v>Keshav Goyal</v>
          </cell>
          <cell r="C258">
            <v>2201010326</v>
          </cell>
          <cell r="D258" t="str">
            <v>Promoted</v>
          </cell>
        </row>
        <row r="259">
          <cell r="A259">
            <v>2022002824</v>
          </cell>
          <cell r="B259" t="str">
            <v>Keshav Sharma</v>
          </cell>
          <cell r="C259">
            <v>2201010327</v>
          </cell>
          <cell r="D259" t="str">
            <v>Promoted</v>
          </cell>
        </row>
        <row r="260">
          <cell r="A260">
            <v>2022005495</v>
          </cell>
          <cell r="B260" t="str">
            <v>Khushi Chauhan</v>
          </cell>
          <cell r="C260">
            <v>2201010329</v>
          </cell>
          <cell r="D260" t="str">
            <v>Promoted</v>
          </cell>
        </row>
        <row r="261">
          <cell r="A261">
            <v>2022435738</v>
          </cell>
          <cell r="B261" t="str">
            <v>Khushi Jaiswal</v>
          </cell>
          <cell r="C261">
            <v>2201010330</v>
          </cell>
          <cell r="D261" t="str">
            <v>Promoted</v>
          </cell>
        </row>
        <row r="262">
          <cell r="A262">
            <v>2022006140</v>
          </cell>
          <cell r="B262" t="str">
            <v>Khushi Raghav</v>
          </cell>
          <cell r="C262">
            <v>2201010331</v>
          </cell>
          <cell r="D262" t="str">
            <v>Promoted</v>
          </cell>
        </row>
        <row r="263">
          <cell r="A263">
            <v>2022567867</v>
          </cell>
          <cell r="B263" t="str">
            <v>Kirtiman Singh</v>
          </cell>
          <cell r="C263">
            <v>2201010333</v>
          </cell>
          <cell r="D263" t="str">
            <v>Promoted</v>
          </cell>
        </row>
        <row r="264">
          <cell r="A264">
            <v>2022444658</v>
          </cell>
          <cell r="B264" t="str">
            <v>Kishan Yadav</v>
          </cell>
          <cell r="C264">
            <v>2201010334</v>
          </cell>
          <cell r="D264" t="str">
            <v>Promoted</v>
          </cell>
        </row>
        <row r="265">
          <cell r="A265">
            <v>2022507069</v>
          </cell>
          <cell r="B265" t="str">
            <v>Krishna Kumar</v>
          </cell>
          <cell r="C265">
            <v>2201010337</v>
          </cell>
          <cell r="D265" t="str">
            <v>Promoted</v>
          </cell>
        </row>
        <row r="266">
          <cell r="A266">
            <v>2022004681</v>
          </cell>
          <cell r="B266" t="str">
            <v>Kritika Rawat</v>
          </cell>
          <cell r="C266">
            <v>2201010339</v>
          </cell>
          <cell r="D266" t="str">
            <v>Promoted</v>
          </cell>
        </row>
        <row r="267">
          <cell r="A267">
            <v>2022359778</v>
          </cell>
          <cell r="B267" t="str">
            <v>Kritika Sharma</v>
          </cell>
          <cell r="C267">
            <v>2201010340</v>
          </cell>
          <cell r="D267" t="str">
            <v>Promoted</v>
          </cell>
        </row>
        <row r="268">
          <cell r="A268">
            <v>2022331708</v>
          </cell>
          <cell r="B268" t="str">
            <v>Kumari Monisha</v>
          </cell>
          <cell r="C268">
            <v>2201010345</v>
          </cell>
          <cell r="D268" t="str">
            <v>Promoted</v>
          </cell>
        </row>
        <row r="269">
          <cell r="A269">
            <v>2022395723</v>
          </cell>
          <cell r="B269" t="str">
            <v>Kunal Chauhan</v>
          </cell>
          <cell r="C269">
            <v>2201010346</v>
          </cell>
          <cell r="D269" t="str">
            <v>Promoted</v>
          </cell>
        </row>
        <row r="270">
          <cell r="A270">
            <v>2022455169</v>
          </cell>
          <cell r="B270" t="str">
            <v>Kunal Singh Yadav</v>
          </cell>
          <cell r="C270">
            <v>2201010348</v>
          </cell>
          <cell r="D270" t="str">
            <v>Promoted</v>
          </cell>
        </row>
        <row r="271">
          <cell r="A271">
            <v>2022515249</v>
          </cell>
          <cell r="B271" t="str">
            <v>Lakshay Bhardwaj</v>
          </cell>
          <cell r="C271">
            <v>2201010352</v>
          </cell>
          <cell r="D271" t="str">
            <v>Promoted</v>
          </cell>
        </row>
        <row r="272">
          <cell r="A272">
            <v>2022507647</v>
          </cell>
          <cell r="B272" t="str">
            <v>Lakshay Bhatnagar</v>
          </cell>
          <cell r="C272">
            <v>2201010353</v>
          </cell>
          <cell r="D272" t="str">
            <v>Promoted</v>
          </cell>
        </row>
        <row r="273">
          <cell r="A273">
            <v>2022006582</v>
          </cell>
          <cell r="B273" t="str">
            <v>Lakshay Khandelwal</v>
          </cell>
          <cell r="C273">
            <v>2201010354</v>
          </cell>
          <cell r="D273" t="str">
            <v>Promoted</v>
          </cell>
        </row>
        <row r="274">
          <cell r="A274">
            <v>2022501762</v>
          </cell>
          <cell r="B274" t="str">
            <v>Lakshay Rekhi</v>
          </cell>
          <cell r="C274">
            <v>2201010355</v>
          </cell>
          <cell r="D274" t="str">
            <v>Promoted</v>
          </cell>
        </row>
        <row r="275">
          <cell r="A275">
            <v>2022436300</v>
          </cell>
          <cell r="B275" t="str">
            <v>Lakshya Jaiswal</v>
          </cell>
          <cell r="C275">
            <v>2201010356</v>
          </cell>
          <cell r="D275" t="str">
            <v>Promoted</v>
          </cell>
        </row>
        <row r="276">
          <cell r="A276">
            <v>2022384000</v>
          </cell>
          <cell r="B276" t="str">
            <v>Lavanya Jain</v>
          </cell>
          <cell r="C276">
            <v>2201010357</v>
          </cell>
          <cell r="D276" t="str">
            <v>Promoted</v>
          </cell>
        </row>
        <row r="277">
          <cell r="A277">
            <v>2022002689</v>
          </cell>
          <cell r="B277" t="str">
            <v>Lokender Singh</v>
          </cell>
          <cell r="C277">
            <v>2201010358</v>
          </cell>
          <cell r="D277" t="str">
            <v>Promoted</v>
          </cell>
        </row>
        <row r="278">
          <cell r="A278">
            <v>2022004161</v>
          </cell>
          <cell r="B278" t="str">
            <v>Maaz Ul Hasan</v>
          </cell>
          <cell r="C278">
            <v>2201010362</v>
          </cell>
          <cell r="D278" t="str">
            <v>Promoted</v>
          </cell>
        </row>
        <row r="279">
          <cell r="A279">
            <v>2022506809</v>
          </cell>
          <cell r="B279" t="str">
            <v>Manas Thakur</v>
          </cell>
          <cell r="C279">
            <v>2201010364</v>
          </cell>
          <cell r="D279" t="str">
            <v>Promoted</v>
          </cell>
        </row>
        <row r="280">
          <cell r="A280">
            <v>2022369814</v>
          </cell>
          <cell r="B280" t="str">
            <v>Manav Prakash</v>
          </cell>
          <cell r="C280">
            <v>2201010367</v>
          </cell>
          <cell r="D280" t="str">
            <v>Promoted</v>
          </cell>
        </row>
        <row r="281">
          <cell r="A281">
            <v>2022004863</v>
          </cell>
          <cell r="B281" t="str">
            <v>Manish Kumar</v>
          </cell>
          <cell r="C281">
            <v>2201010370</v>
          </cell>
          <cell r="D281" t="str">
            <v>Promoted</v>
          </cell>
        </row>
        <row r="282">
          <cell r="A282">
            <v>2022308623</v>
          </cell>
          <cell r="B282" t="str">
            <v>Manish Kumar Ray</v>
          </cell>
          <cell r="C282">
            <v>2201010372</v>
          </cell>
          <cell r="D282" t="str">
            <v>Promoted</v>
          </cell>
        </row>
        <row r="283">
          <cell r="A283">
            <v>2022310930</v>
          </cell>
          <cell r="B283" t="str">
            <v>Manjeet Saini</v>
          </cell>
          <cell r="C283">
            <v>2201010376</v>
          </cell>
          <cell r="D283" t="str">
            <v>Promoted</v>
          </cell>
        </row>
        <row r="284">
          <cell r="A284">
            <v>2022516793</v>
          </cell>
          <cell r="B284" t="str">
            <v>Manoj Kumar Singh</v>
          </cell>
          <cell r="C284">
            <v>2201010377</v>
          </cell>
          <cell r="D284" t="str">
            <v>Promoted</v>
          </cell>
        </row>
        <row r="285">
          <cell r="A285">
            <v>2022532088</v>
          </cell>
          <cell r="B285" t="str">
            <v>Mansi Singh</v>
          </cell>
          <cell r="C285">
            <v>2201010378</v>
          </cell>
          <cell r="D285" t="str">
            <v>Promoted</v>
          </cell>
        </row>
        <row r="286">
          <cell r="A286">
            <v>2022004442</v>
          </cell>
          <cell r="B286" t="str">
            <v>Mantasha Imran</v>
          </cell>
          <cell r="C286">
            <v>2201010379</v>
          </cell>
          <cell r="D286" t="str">
            <v>Promoted</v>
          </cell>
        </row>
        <row r="287">
          <cell r="A287">
            <v>2022540866</v>
          </cell>
          <cell r="B287" t="str">
            <v>Matanut Md Kamran</v>
          </cell>
          <cell r="C287">
            <v>2201010382</v>
          </cell>
          <cell r="D287" t="str">
            <v>Promoted</v>
          </cell>
        </row>
        <row r="288">
          <cell r="A288">
            <v>2022309654</v>
          </cell>
          <cell r="B288" t="str">
            <v>Mayank Kumar</v>
          </cell>
          <cell r="C288">
            <v>2201010383</v>
          </cell>
          <cell r="D288" t="str">
            <v>Promoted</v>
          </cell>
        </row>
        <row r="289">
          <cell r="A289">
            <v>2022480728</v>
          </cell>
          <cell r="B289" t="str">
            <v>MD Atif</v>
          </cell>
          <cell r="C289">
            <v>2201010389</v>
          </cell>
          <cell r="D289" t="str">
            <v>Promoted</v>
          </cell>
        </row>
        <row r="290">
          <cell r="A290">
            <v>2022499099</v>
          </cell>
          <cell r="B290" t="str">
            <v>Md Motiur Rahman</v>
          </cell>
          <cell r="C290">
            <v>2201010392</v>
          </cell>
          <cell r="D290" t="str">
            <v>Promoted</v>
          </cell>
        </row>
        <row r="291">
          <cell r="A291">
            <v>2022829153</v>
          </cell>
          <cell r="B291" t="str">
            <v>Md Yushuf Reja</v>
          </cell>
          <cell r="C291">
            <v>2201010397</v>
          </cell>
          <cell r="D291" t="str">
            <v>Promoted</v>
          </cell>
        </row>
        <row r="292">
          <cell r="A292">
            <v>2022512176</v>
          </cell>
          <cell r="B292" t="str">
            <v>Megha Singh</v>
          </cell>
          <cell r="C292">
            <v>2201010399</v>
          </cell>
          <cell r="D292" t="str">
            <v>Promoted</v>
          </cell>
        </row>
        <row r="293">
          <cell r="A293">
            <v>2022517877</v>
          </cell>
          <cell r="B293" t="str">
            <v>Mehran Arsh Hussain</v>
          </cell>
          <cell r="C293">
            <v>2201010401</v>
          </cell>
          <cell r="D293" t="str">
            <v>Promoted</v>
          </cell>
        </row>
        <row r="294">
          <cell r="A294">
            <v>2022831935</v>
          </cell>
          <cell r="B294" t="str">
            <v>Pratibha Dhungel</v>
          </cell>
          <cell r="C294">
            <v>2201010404</v>
          </cell>
          <cell r="D294" t="str">
            <v>Promoted</v>
          </cell>
        </row>
        <row r="295">
          <cell r="A295">
            <v>2022836012</v>
          </cell>
          <cell r="B295" t="str">
            <v>Ruhi Mahaseth</v>
          </cell>
          <cell r="C295">
            <v>2201010405</v>
          </cell>
          <cell r="D295" t="str">
            <v>Promoted</v>
          </cell>
        </row>
        <row r="296">
          <cell r="A296">
            <v>2022832635</v>
          </cell>
          <cell r="B296" t="str">
            <v>Saraswati Kumari</v>
          </cell>
          <cell r="C296">
            <v>2201010406</v>
          </cell>
          <cell r="D296" t="str">
            <v>Promoted</v>
          </cell>
        </row>
        <row r="297">
          <cell r="A297">
            <v>2022497340</v>
          </cell>
          <cell r="B297" t="str">
            <v>Mohammad Faisal Faizan</v>
          </cell>
          <cell r="C297">
            <v>2201010409</v>
          </cell>
          <cell r="D297" t="str">
            <v>Promoted</v>
          </cell>
        </row>
        <row r="298">
          <cell r="A298">
            <v>2022366848</v>
          </cell>
          <cell r="B298" t="str">
            <v>Mohammad Zubair</v>
          </cell>
          <cell r="C298">
            <v>2201010414</v>
          </cell>
          <cell r="D298" t="str">
            <v>Promoted</v>
          </cell>
        </row>
        <row r="299">
          <cell r="A299">
            <v>2022526514</v>
          </cell>
          <cell r="B299" t="str">
            <v>Mohammed Mikael Rashid</v>
          </cell>
          <cell r="C299">
            <v>2201010415</v>
          </cell>
          <cell r="D299" t="str">
            <v>Promoted</v>
          </cell>
        </row>
        <row r="300">
          <cell r="A300">
            <v>2022815775</v>
          </cell>
          <cell r="B300" t="str">
            <v>Mohammed Saim Khan</v>
          </cell>
          <cell r="C300">
            <v>2201010416</v>
          </cell>
          <cell r="D300" t="str">
            <v>Promoted</v>
          </cell>
        </row>
        <row r="301">
          <cell r="A301">
            <v>2022429026</v>
          </cell>
          <cell r="B301" t="str">
            <v>Mohammed Shaquib Khan</v>
          </cell>
          <cell r="C301">
            <v>2201010417</v>
          </cell>
          <cell r="D301" t="str">
            <v>Promoted</v>
          </cell>
        </row>
        <row r="302">
          <cell r="A302">
            <v>2022003834</v>
          </cell>
          <cell r="B302" t="str">
            <v>Mohd Aahiluddin Shaikh</v>
          </cell>
          <cell r="C302">
            <v>2201010418</v>
          </cell>
          <cell r="D302" t="str">
            <v>Promoted</v>
          </cell>
        </row>
        <row r="303">
          <cell r="A303">
            <v>2022355780</v>
          </cell>
          <cell r="B303" t="str">
            <v>Mohd Adeeb Siddiqui</v>
          </cell>
          <cell r="C303">
            <v>2201010419</v>
          </cell>
          <cell r="D303" t="str">
            <v>Promoted</v>
          </cell>
        </row>
        <row r="304">
          <cell r="A304">
            <v>2022005063</v>
          </cell>
          <cell r="B304" t="str">
            <v>Mohd Kaif</v>
          </cell>
          <cell r="C304">
            <v>2201010420</v>
          </cell>
          <cell r="D304" t="str">
            <v>Promoted</v>
          </cell>
        </row>
        <row r="305">
          <cell r="A305">
            <v>2022408542</v>
          </cell>
          <cell r="B305" t="str">
            <v>Mohd Kaif Ul Haq</v>
          </cell>
          <cell r="C305">
            <v>2201010422</v>
          </cell>
          <cell r="D305" t="str">
            <v>Promoted</v>
          </cell>
        </row>
        <row r="306">
          <cell r="A306">
            <v>2022486143</v>
          </cell>
          <cell r="B306" t="str">
            <v>Mohd Tabish Mahmood</v>
          </cell>
          <cell r="C306">
            <v>2201010427</v>
          </cell>
          <cell r="D306" t="str">
            <v>Promoted</v>
          </cell>
        </row>
        <row r="307">
          <cell r="A307">
            <v>2022001475</v>
          </cell>
          <cell r="B307" t="str">
            <v>Mohd Zaid</v>
          </cell>
          <cell r="C307">
            <v>2201010429</v>
          </cell>
          <cell r="D307" t="str">
            <v>Promoted</v>
          </cell>
        </row>
        <row r="308">
          <cell r="A308">
            <v>2022506408</v>
          </cell>
          <cell r="B308" t="str">
            <v>Mohit Kumar</v>
          </cell>
          <cell r="C308">
            <v>2201010430</v>
          </cell>
          <cell r="D308" t="str">
            <v>Promoted</v>
          </cell>
        </row>
        <row r="309">
          <cell r="A309">
            <v>2022400915</v>
          </cell>
          <cell r="B309" t="str">
            <v>Mohit Purohit</v>
          </cell>
          <cell r="C309">
            <v>2201010431</v>
          </cell>
          <cell r="D309" t="str">
            <v>Promoted</v>
          </cell>
        </row>
        <row r="310">
          <cell r="A310">
            <v>2022447440</v>
          </cell>
          <cell r="B310" t="str">
            <v>Mohit Sharma</v>
          </cell>
          <cell r="C310">
            <v>2201010432</v>
          </cell>
          <cell r="D310" t="str">
            <v>Promoted</v>
          </cell>
        </row>
        <row r="311">
          <cell r="A311">
            <v>2022482796</v>
          </cell>
          <cell r="B311" t="str">
            <v>Mohit Singh Bisht</v>
          </cell>
          <cell r="C311">
            <v>2201010433</v>
          </cell>
          <cell r="D311" t="str">
            <v>Promoted</v>
          </cell>
        </row>
        <row r="312">
          <cell r="A312">
            <v>2022824586</v>
          </cell>
          <cell r="B312" t="str">
            <v>Moses Clement Msumi</v>
          </cell>
          <cell r="C312">
            <v>2201010435</v>
          </cell>
          <cell r="D312" t="str">
            <v>Promoted</v>
          </cell>
        </row>
        <row r="313">
          <cell r="A313">
            <v>2022834464</v>
          </cell>
          <cell r="B313" t="str">
            <v>Amrit Raut</v>
          </cell>
          <cell r="C313">
            <v>2201010437</v>
          </cell>
          <cell r="D313" t="str">
            <v>Promoted</v>
          </cell>
        </row>
        <row r="314">
          <cell r="A314">
            <v>2022832236</v>
          </cell>
          <cell r="B314" t="str">
            <v>Priyanshu Karn</v>
          </cell>
          <cell r="C314">
            <v>2201010443</v>
          </cell>
          <cell r="D314" t="str">
            <v>Promoted</v>
          </cell>
        </row>
        <row r="315">
          <cell r="A315">
            <v>2022834589</v>
          </cell>
          <cell r="B315" t="str">
            <v>Shekhar  Kumar Purbe</v>
          </cell>
          <cell r="C315">
            <v>2201010444</v>
          </cell>
          <cell r="D315" t="str">
            <v>Promoted</v>
          </cell>
        </row>
        <row r="316">
          <cell r="A316">
            <v>2022808929</v>
          </cell>
          <cell r="B316" t="str">
            <v>Sonali Dass</v>
          </cell>
          <cell r="C316">
            <v>2201010445</v>
          </cell>
          <cell r="D316" t="str">
            <v>Promoted</v>
          </cell>
        </row>
        <row r="317">
          <cell r="A317">
            <v>2022443535</v>
          </cell>
          <cell r="B317" t="str">
            <v>Muskan Babele</v>
          </cell>
          <cell r="C317">
            <v>2201010451</v>
          </cell>
          <cell r="D317" t="str">
            <v>Promoted</v>
          </cell>
        </row>
        <row r="318">
          <cell r="A318">
            <v>2022503208</v>
          </cell>
          <cell r="B318" t="str">
            <v>Nakul Sharma</v>
          </cell>
          <cell r="C318">
            <v>2201010453</v>
          </cell>
          <cell r="D318" t="str">
            <v>Promoted</v>
          </cell>
        </row>
        <row r="319">
          <cell r="A319">
            <v>2022368285</v>
          </cell>
          <cell r="B319" t="str">
            <v>Naman Oli</v>
          </cell>
          <cell r="C319">
            <v>2201010454</v>
          </cell>
          <cell r="D319" t="str">
            <v>Promoted</v>
          </cell>
        </row>
        <row r="320">
          <cell r="A320">
            <v>2022006799</v>
          </cell>
          <cell r="B320" t="str">
            <v>Namrata Singh</v>
          </cell>
          <cell r="C320">
            <v>2201010456</v>
          </cell>
          <cell r="D320" t="str">
            <v>Promoted</v>
          </cell>
        </row>
        <row r="321">
          <cell r="A321">
            <v>2022005715</v>
          </cell>
          <cell r="B321" t="str">
            <v>Navdisha .</v>
          </cell>
          <cell r="C321">
            <v>2201010458</v>
          </cell>
          <cell r="D321" t="str">
            <v>Promoted</v>
          </cell>
        </row>
        <row r="322">
          <cell r="A322">
            <v>2022518370</v>
          </cell>
          <cell r="B322" t="str">
            <v>Naveen Kumar Jha</v>
          </cell>
          <cell r="C322">
            <v>2201010459</v>
          </cell>
          <cell r="D322" t="str">
            <v>Promoted</v>
          </cell>
        </row>
        <row r="323">
          <cell r="A323">
            <v>2022504837</v>
          </cell>
          <cell r="B323" t="str">
            <v>Nayan Nayak</v>
          </cell>
          <cell r="C323">
            <v>2201010464</v>
          </cell>
          <cell r="D323" t="str">
            <v>Promoted</v>
          </cell>
        </row>
        <row r="324">
          <cell r="A324">
            <v>2022541296</v>
          </cell>
          <cell r="B324" t="str">
            <v>Nehal Najmi</v>
          </cell>
          <cell r="C324">
            <v>2201010466</v>
          </cell>
          <cell r="D324" t="str">
            <v>Promoted</v>
          </cell>
        </row>
        <row r="325">
          <cell r="A325">
            <v>2022437668</v>
          </cell>
          <cell r="B325" t="str">
            <v>Nidhi Pandey</v>
          </cell>
          <cell r="C325">
            <v>2201010467</v>
          </cell>
          <cell r="D325" t="str">
            <v>Promoted</v>
          </cell>
        </row>
        <row r="326">
          <cell r="A326">
            <v>2022303213</v>
          </cell>
          <cell r="B326" t="str">
            <v>Nikhil Sinha</v>
          </cell>
          <cell r="C326">
            <v>2201010472</v>
          </cell>
          <cell r="D326" t="str">
            <v>Promoted</v>
          </cell>
        </row>
        <row r="327">
          <cell r="A327">
            <v>2022472832</v>
          </cell>
          <cell r="B327" t="str">
            <v>Nikita Kanwar</v>
          </cell>
          <cell r="C327">
            <v>2201010474</v>
          </cell>
          <cell r="D327" t="str">
            <v>Promoted</v>
          </cell>
        </row>
        <row r="328">
          <cell r="A328">
            <v>2022504261</v>
          </cell>
          <cell r="B328" t="str">
            <v>Nikita Roy</v>
          </cell>
          <cell r="C328">
            <v>2201010475</v>
          </cell>
          <cell r="D328" t="str">
            <v>Promoted</v>
          </cell>
        </row>
        <row r="329">
          <cell r="A329">
            <v>2022414180</v>
          </cell>
          <cell r="B329" t="str">
            <v>Nishant Jadon</v>
          </cell>
          <cell r="C329">
            <v>2201010476</v>
          </cell>
          <cell r="D329" t="str">
            <v>Promoted</v>
          </cell>
        </row>
        <row r="330">
          <cell r="A330">
            <v>2022472932</v>
          </cell>
          <cell r="B330" t="str">
            <v>Nishant Kumar</v>
          </cell>
          <cell r="C330">
            <v>2201010477</v>
          </cell>
          <cell r="D330" t="str">
            <v>Promoted</v>
          </cell>
        </row>
        <row r="331">
          <cell r="A331">
            <v>2022413491</v>
          </cell>
          <cell r="B331" t="str">
            <v>Nistha Diwedi</v>
          </cell>
          <cell r="C331">
            <v>2201010480</v>
          </cell>
          <cell r="D331" t="str">
            <v>Promoted</v>
          </cell>
        </row>
        <row r="332">
          <cell r="A332">
            <v>2022544783</v>
          </cell>
          <cell r="B332" t="str">
            <v>Nitesh Kumar</v>
          </cell>
          <cell r="C332">
            <v>2201010481</v>
          </cell>
          <cell r="D332" t="str">
            <v>Promoted</v>
          </cell>
        </row>
        <row r="333">
          <cell r="A333">
            <v>2022550696</v>
          </cell>
          <cell r="B333" t="str">
            <v>Nitish Kumar</v>
          </cell>
          <cell r="C333">
            <v>2201010483</v>
          </cell>
          <cell r="D333" t="str">
            <v>Promoted</v>
          </cell>
        </row>
        <row r="334">
          <cell r="A334">
            <v>2022807476</v>
          </cell>
          <cell r="B334" t="str">
            <v>Nkenglefack Anyike Megan Williams</v>
          </cell>
          <cell r="C334">
            <v>2201010485</v>
          </cell>
          <cell r="D334" t="str">
            <v>Promoted</v>
          </cell>
        </row>
        <row r="335">
          <cell r="A335">
            <v>2022492018</v>
          </cell>
          <cell r="B335" t="str">
            <v>Omit Kumar</v>
          </cell>
          <cell r="C335">
            <v>2201010489</v>
          </cell>
          <cell r="D335" t="str">
            <v>Promoted</v>
          </cell>
        </row>
        <row r="336">
          <cell r="A336">
            <v>2022006143</v>
          </cell>
          <cell r="B336" t="str">
            <v>Paarth Lal</v>
          </cell>
          <cell r="C336">
            <v>2201010490</v>
          </cell>
          <cell r="D336" t="str">
            <v>Promoted</v>
          </cell>
        </row>
        <row r="337">
          <cell r="A337">
            <v>2022559563</v>
          </cell>
          <cell r="B337" t="str">
            <v>Paritosh Rawat</v>
          </cell>
          <cell r="C337">
            <v>2201010495</v>
          </cell>
          <cell r="D337" t="str">
            <v>Promoted</v>
          </cell>
        </row>
        <row r="338">
          <cell r="A338">
            <v>2022003474</v>
          </cell>
          <cell r="B338" t="str">
            <v>Pawan .</v>
          </cell>
          <cell r="C338">
            <v>2201010499</v>
          </cell>
          <cell r="D338" t="str">
            <v>Promoted</v>
          </cell>
        </row>
        <row r="339">
          <cell r="A339">
            <v>2022520753</v>
          </cell>
          <cell r="B339" t="str">
            <v>Piyush Agnihotri</v>
          </cell>
          <cell r="C339">
            <v>2201010502</v>
          </cell>
          <cell r="D339" t="str">
            <v>Promoted</v>
          </cell>
        </row>
        <row r="340">
          <cell r="A340">
            <v>2022005582</v>
          </cell>
          <cell r="B340" t="str">
            <v>Pooja Mishra</v>
          </cell>
          <cell r="C340">
            <v>2201010505</v>
          </cell>
          <cell r="D340" t="str">
            <v>Promoted</v>
          </cell>
        </row>
        <row r="341">
          <cell r="A341">
            <v>2022536903</v>
          </cell>
          <cell r="B341" t="str">
            <v>Poorab Agrawal</v>
          </cell>
          <cell r="C341">
            <v>2201010506</v>
          </cell>
          <cell r="D341" t="str">
            <v>Promoted</v>
          </cell>
        </row>
        <row r="342">
          <cell r="A342">
            <v>2022506240</v>
          </cell>
          <cell r="B342" t="str">
            <v>Pracchi Gupta</v>
          </cell>
          <cell r="C342">
            <v>2201010509</v>
          </cell>
          <cell r="D342" t="str">
            <v>Promoted</v>
          </cell>
        </row>
        <row r="343">
          <cell r="A343">
            <v>2022453096</v>
          </cell>
          <cell r="B343" t="str">
            <v>Prakhar .</v>
          </cell>
          <cell r="C343">
            <v>2201010510</v>
          </cell>
          <cell r="D343" t="str">
            <v>Promoted</v>
          </cell>
        </row>
        <row r="344">
          <cell r="A344">
            <v>2022505917</v>
          </cell>
          <cell r="B344" t="str">
            <v>Prasoon Bhatt</v>
          </cell>
          <cell r="C344">
            <v>2201010514</v>
          </cell>
          <cell r="D344" t="str">
            <v>Promoted</v>
          </cell>
        </row>
        <row r="345">
          <cell r="A345">
            <v>2022003695</v>
          </cell>
          <cell r="B345" t="str">
            <v>Prateek Kumar</v>
          </cell>
          <cell r="C345">
            <v>2201010515</v>
          </cell>
          <cell r="D345" t="str">
            <v>Promoted</v>
          </cell>
        </row>
        <row r="346">
          <cell r="A346">
            <v>2022490152</v>
          </cell>
          <cell r="B346" t="str">
            <v>Pratham Grewal</v>
          </cell>
          <cell r="C346">
            <v>2201010517</v>
          </cell>
          <cell r="D346" t="str">
            <v>Promoted</v>
          </cell>
        </row>
        <row r="347">
          <cell r="A347">
            <v>2022372515</v>
          </cell>
          <cell r="B347" t="str">
            <v>Pratham Kumar</v>
          </cell>
          <cell r="C347">
            <v>2201010518</v>
          </cell>
          <cell r="D347" t="str">
            <v>Promoted</v>
          </cell>
        </row>
        <row r="348">
          <cell r="A348">
            <v>2022506127</v>
          </cell>
          <cell r="B348" t="str">
            <v>Pratyush Kanungo</v>
          </cell>
          <cell r="C348">
            <v>2201010521</v>
          </cell>
          <cell r="D348" t="str">
            <v>Promoted</v>
          </cell>
        </row>
        <row r="349">
          <cell r="A349">
            <v>2022472521</v>
          </cell>
          <cell r="B349" t="str">
            <v>Prinsvil Yadav</v>
          </cell>
          <cell r="C349">
            <v>2201010526</v>
          </cell>
          <cell r="D349" t="str">
            <v>Promoted</v>
          </cell>
        </row>
        <row r="350">
          <cell r="A350">
            <v>2022441764</v>
          </cell>
          <cell r="B350" t="str">
            <v>Priyanshi .</v>
          </cell>
          <cell r="C350">
            <v>2201010529</v>
          </cell>
          <cell r="D350" t="str">
            <v>Promoted</v>
          </cell>
        </row>
        <row r="351">
          <cell r="A351">
            <v>2022559558</v>
          </cell>
          <cell r="B351" t="str">
            <v>Priyanshu Chauhan</v>
          </cell>
          <cell r="C351">
            <v>2201010530</v>
          </cell>
          <cell r="D351" t="str">
            <v>Promoted</v>
          </cell>
        </row>
        <row r="352">
          <cell r="A352">
            <v>2022005818</v>
          </cell>
          <cell r="B352" t="str">
            <v>Priyanshu Dimri</v>
          </cell>
          <cell r="C352">
            <v>2201010531</v>
          </cell>
          <cell r="D352" t="str">
            <v>Promoted</v>
          </cell>
        </row>
        <row r="353">
          <cell r="A353">
            <v>2022304804</v>
          </cell>
          <cell r="B353" t="str">
            <v>Priyanshu Mishra</v>
          </cell>
          <cell r="C353">
            <v>2201010534</v>
          </cell>
          <cell r="D353" t="str">
            <v>Promoted</v>
          </cell>
        </row>
        <row r="354">
          <cell r="A354">
            <v>2022006437</v>
          </cell>
          <cell r="B354" t="str">
            <v>Priyanshu Tyagi</v>
          </cell>
          <cell r="C354">
            <v>2201010536</v>
          </cell>
          <cell r="D354" t="str">
            <v>Promoted</v>
          </cell>
        </row>
        <row r="355">
          <cell r="A355">
            <v>2022346624</v>
          </cell>
          <cell r="B355" t="str">
            <v>Priyesh Mishra</v>
          </cell>
          <cell r="C355">
            <v>2201010537</v>
          </cell>
          <cell r="D355" t="str">
            <v>Promoted</v>
          </cell>
        </row>
        <row r="356">
          <cell r="A356">
            <v>2022513603</v>
          </cell>
          <cell r="B356" t="str">
            <v>Pulle Thirupathi</v>
          </cell>
          <cell r="C356">
            <v>2201010538</v>
          </cell>
          <cell r="D356" t="str">
            <v>Promoted</v>
          </cell>
        </row>
        <row r="357">
          <cell r="A357">
            <v>2022344698</v>
          </cell>
          <cell r="B357" t="str">
            <v>Purushottam Kumar</v>
          </cell>
          <cell r="C357">
            <v>2201010539</v>
          </cell>
          <cell r="D357" t="str">
            <v>Promoted</v>
          </cell>
        </row>
        <row r="358">
          <cell r="A358">
            <v>2022492019</v>
          </cell>
          <cell r="B358" t="str">
            <v>Pushkar Dangwal</v>
          </cell>
          <cell r="C358">
            <v>2201010540</v>
          </cell>
          <cell r="D358" t="str">
            <v>Promoted</v>
          </cell>
        </row>
        <row r="359">
          <cell r="A359">
            <v>2022502123</v>
          </cell>
          <cell r="B359" t="str">
            <v>Pushkar Kumar Jha</v>
          </cell>
          <cell r="C359">
            <v>2201010541</v>
          </cell>
          <cell r="D359" t="str">
            <v>Promoted</v>
          </cell>
        </row>
        <row r="360">
          <cell r="A360">
            <v>2022805251</v>
          </cell>
          <cell r="B360" t="str">
            <v>Rahul Bhai Patel</v>
          </cell>
          <cell r="C360">
            <v>2201010543</v>
          </cell>
          <cell r="D360" t="str">
            <v>Promoted</v>
          </cell>
        </row>
        <row r="361">
          <cell r="A361">
            <v>2022443216</v>
          </cell>
          <cell r="B361" t="str">
            <v>Rahul Kumar</v>
          </cell>
          <cell r="C361">
            <v>2201010545</v>
          </cell>
          <cell r="D361" t="str">
            <v>Promoted</v>
          </cell>
        </row>
        <row r="362">
          <cell r="A362">
            <v>2022459779</v>
          </cell>
          <cell r="B362" t="str">
            <v>Rahul Kumar</v>
          </cell>
          <cell r="C362">
            <v>2201010546</v>
          </cell>
          <cell r="D362" t="str">
            <v>Promoted</v>
          </cell>
        </row>
        <row r="363">
          <cell r="A363">
            <v>2022528691</v>
          </cell>
          <cell r="B363" t="str">
            <v>Rahul Yadav</v>
          </cell>
          <cell r="C363">
            <v>2201010547</v>
          </cell>
          <cell r="D363" t="str">
            <v>Promoted</v>
          </cell>
        </row>
        <row r="364">
          <cell r="A364">
            <v>2022523416</v>
          </cell>
          <cell r="B364" t="str">
            <v>Raj Laxmi</v>
          </cell>
          <cell r="C364">
            <v>2201010550</v>
          </cell>
          <cell r="D364" t="str">
            <v>Promoted</v>
          </cell>
        </row>
        <row r="365">
          <cell r="A365">
            <v>2022473330</v>
          </cell>
          <cell r="B365" t="str">
            <v>Raj Tiwari</v>
          </cell>
          <cell r="C365">
            <v>2201010551</v>
          </cell>
          <cell r="D365" t="str">
            <v>Promoted</v>
          </cell>
        </row>
        <row r="366">
          <cell r="A366">
            <v>2022497991</v>
          </cell>
          <cell r="B366" t="str">
            <v>Rajan Sharma</v>
          </cell>
          <cell r="C366">
            <v>2201010552</v>
          </cell>
          <cell r="D366" t="str">
            <v>Promoted</v>
          </cell>
        </row>
        <row r="367">
          <cell r="A367">
            <v>2022474990</v>
          </cell>
          <cell r="B367" t="str">
            <v>Rajat Singhal</v>
          </cell>
          <cell r="C367">
            <v>2201010553</v>
          </cell>
          <cell r="D367" t="str">
            <v>Promoted</v>
          </cell>
        </row>
        <row r="368">
          <cell r="A368">
            <v>2022506580</v>
          </cell>
          <cell r="B368" t="str">
            <v>Rajesh Ranjan</v>
          </cell>
          <cell r="C368">
            <v>2201010556</v>
          </cell>
          <cell r="D368" t="str">
            <v>Promoted</v>
          </cell>
        </row>
        <row r="369">
          <cell r="A369">
            <v>2022464792</v>
          </cell>
          <cell r="B369" t="str">
            <v>Rajshree Dhoundiyal</v>
          </cell>
          <cell r="C369">
            <v>2201010557</v>
          </cell>
          <cell r="D369" t="str">
            <v>Promoted</v>
          </cell>
        </row>
        <row r="370">
          <cell r="A370">
            <v>2022563106</v>
          </cell>
          <cell r="B370" t="str">
            <v>Rakshit Garg</v>
          </cell>
          <cell r="C370">
            <v>2201010558</v>
          </cell>
          <cell r="D370" t="str">
            <v>Promoted</v>
          </cell>
        </row>
        <row r="371">
          <cell r="A371">
            <v>2022004614</v>
          </cell>
          <cell r="B371" t="str">
            <v>Rao Rudra Pratap</v>
          </cell>
          <cell r="C371">
            <v>2201010561</v>
          </cell>
          <cell r="D371" t="str">
            <v>Promoted</v>
          </cell>
        </row>
        <row r="372">
          <cell r="A372">
            <v>2022554897</v>
          </cell>
          <cell r="B372" t="str">
            <v>Raushan Kumar</v>
          </cell>
          <cell r="C372">
            <v>2201010562</v>
          </cell>
          <cell r="D372" t="str">
            <v>Promoted</v>
          </cell>
        </row>
        <row r="373">
          <cell r="A373">
            <v>2022006859</v>
          </cell>
          <cell r="B373" t="str">
            <v>Ravi Kumar Sharma</v>
          </cell>
          <cell r="C373">
            <v>2201010563</v>
          </cell>
          <cell r="D373" t="str">
            <v>Promoted</v>
          </cell>
        </row>
        <row r="374">
          <cell r="A374">
            <v>2022306733</v>
          </cell>
          <cell r="B374" t="str">
            <v>Rayyaan Tasaduq Wani</v>
          </cell>
          <cell r="C374">
            <v>2201010564</v>
          </cell>
          <cell r="D374" t="str">
            <v>Promoted</v>
          </cell>
        </row>
        <row r="375">
          <cell r="A375">
            <v>2022446209</v>
          </cell>
          <cell r="B375" t="str">
            <v>Mohd Raza Khan</v>
          </cell>
          <cell r="C375">
            <v>2201010565</v>
          </cell>
          <cell r="D375" t="str">
            <v>Promoted</v>
          </cell>
        </row>
        <row r="376">
          <cell r="A376">
            <v>2022829568</v>
          </cell>
          <cell r="B376" t="str">
            <v>Renuka Chaudhary</v>
          </cell>
          <cell r="C376">
            <v>2201010568</v>
          </cell>
          <cell r="D376" t="str">
            <v>Promoted</v>
          </cell>
        </row>
        <row r="377">
          <cell r="A377">
            <v>2022312023</v>
          </cell>
          <cell r="B377" t="str">
            <v>Reshma Swain</v>
          </cell>
          <cell r="C377">
            <v>2201010569</v>
          </cell>
          <cell r="D377" t="str">
            <v>Promoted</v>
          </cell>
        </row>
        <row r="378">
          <cell r="A378">
            <v>2022463682</v>
          </cell>
          <cell r="B378" t="str">
            <v>Richa Pandey</v>
          </cell>
          <cell r="C378">
            <v>2201010570</v>
          </cell>
          <cell r="D378" t="str">
            <v>Promoted</v>
          </cell>
        </row>
        <row r="379">
          <cell r="A379">
            <v>2022428593</v>
          </cell>
          <cell r="B379" t="str">
            <v>Richan Dutta</v>
          </cell>
          <cell r="C379">
            <v>2201010571</v>
          </cell>
          <cell r="D379" t="str">
            <v>Promoted</v>
          </cell>
        </row>
        <row r="380">
          <cell r="A380">
            <v>2022512387</v>
          </cell>
          <cell r="B380" t="str">
            <v>Rimjhim Jha</v>
          </cell>
          <cell r="C380">
            <v>2201010572</v>
          </cell>
          <cell r="D380" t="str">
            <v>Promoted</v>
          </cell>
        </row>
        <row r="381">
          <cell r="A381">
            <v>2022448095</v>
          </cell>
          <cell r="B381" t="str">
            <v>Rishabh Kushwaha</v>
          </cell>
          <cell r="C381">
            <v>2201010575</v>
          </cell>
          <cell r="D381" t="str">
            <v>Promoted</v>
          </cell>
        </row>
        <row r="382">
          <cell r="A382">
            <v>2022526985</v>
          </cell>
          <cell r="B382" t="str">
            <v>Rishita .</v>
          </cell>
          <cell r="C382">
            <v>2201010581</v>
          </cell>
          <cell r="D382" t="str">
            <v>Promoted</v>
          </cell>
        </row>
        <row r="383">
          <cell r="A383">
            <v>2022404040</v>
          </cell>
          <cell r="B383" t="str">
            <v>Ritanshu .</v>
          </cell>
          <cell r="C383">
            <v>2201010583</v>
          </cell>
          <cell r="D383" t="str">
            <v>Promoted</v>
          </cell>
        </row>
        <row r="384">
          <cell r="A384">
            <v>2022306401</v>
          </cell>
          <cell r="B384" t="str">
            <v>Riti Kumari</v>
          </cell>
          <cell r="C384">
            <v>2201010585</v>
          </cell>
          <cell r="D384" t="str">
            <v>Promoted</v>
          </cell>
        </row>
        <row r="385">
          <cell r="A385">
            <v>2022359008</v>
          </cell>
          <cell r="B385" t="str">
            <v>Ritika Rajput</v>
          </cell>
          <cell r="C385">
            <v>2201010586</v>
          </cell>
          <cell r="D385" t="str">
            <v>Promoted</v>
          </cell>
        </row>
        <row r="386">
          <cell r="A386">
            <v>2022317952</v>
          </cell>
          <cell r="B386" t="str">
            <v>Ritika Ruhal</v>
          </cell>
          <cell r="C386">
            <v>2201010587</v>
          </cell>
          <cell r="D386" t="str">
            <v>Promoted</v>
          </cell>
        </row>
        <row r="387">
          <cell r="A387">
            <v>2022004280</v>
          </cell>
          <cell r="B387" t="str">
            <v>Riya Chauhan</v>
          </cell>
          <cell r="C387">
            <v>2201010591</v>
          </cell>
          <cell r="D387" t="str">
            <v>Promoted</v>
          </cell>
        </row>
        <row r="388">
          <cell r="A388">
            <v>2022004737</v>
          </cell>
          <cell r="B388" t="str">
            <v>Riya Singh</v>
          </cell>
          <cell r="C388">
            <v>2201010594</v>
          </cell>
          <cell r="D388" t="str">
            <v>Promoted</v>
          </cell>
        </row>
        <row r="389">
          <cell r="A389">
            <v>2022483390</v>
          </cell>
          <cell r="B389" t="str">
            <v>Rockey Kumar</v>
          </cell>
          <cell r="C389">
            <v>2201010595</v>
          </cell>
          <cell r="D389" t="str">
            <v>Promoted</v>
          </cell>
        </row>
        <row r="390">
          <cell r="A390">
            <v>2022004675</v>
          </cell>
          <cell r="B390" t="str">
            <v>Rohan Kumar</v>
          </cell>
          <cell r="C390">
            <v>2201010596</v>
          </cell>
          <cell r="D390" t="str">
            <v>Promoted</v>
          </cell>
        </row>
        <row r="391">
          <cell r="A391">
            <v>2022506102</v>
          </cell>
          <cell r="B391" t="str">
            <v>Rohan Srivastava</v>
          </cell>
          <cell r="C391">
            <v>2201010597</v>
          </cell>
          <cell r="D391" t="str">
            <v>Promoted</v>
          </cell>
        </row>
        <row r="392">
          <cell r="A392">
            <v>2022576883</v>
          </cell>
          <cell r="B392" t="str">
            <v>Rohit Kumar Sah</v>
          </cell>
          <cell r="C392">
            <v>2201010599</v>
          </cell>
          <cell r="D392" t="str">
            <v>Promoted</v>
          </cell>
        </row>
        <row r="393">
          <cell r="A393">
            <v>2022811446</v>
          </cell>
          <cell r="B393" t="str">
            <v>Rohit Kumar Thakur</v>
          </cell>
          <cell r="C393">
            <v>2201010600</v>
          </cell>
          <cell r="D393" t="str">
            <v>Promoted</v>
          </cell>
        </row>
        <row r="394">
          <cell r="A394">
            <v>2022501361</v>
          </cell>
          <cell r="B394" t="str">
            <v>Rohit Ranjan</v>
          </cell>
          <cell r="C394">
            <v>2201010601</v>
          </cell>
          <cell r="D394" t="str">
            <v>Promoted</v>
          </cell>
        </row>
        <row r="395">
          <cell r="A395">
            <v>2022478479</v>
          </cell>
          <cell r="B395" t="str">
            <v>Rohit Rawat</v>
          </cell>
          <cell r="C395">
            <v>2201010602</v>
          </cell>
          <cell r="D395" t="str">
            <v>Promoted</v>
          </cell>
        </row>
        <row r="396">
          <cell r="A396">
            <v>2022452725</v>
          </cell>
          <cell r="B396" t="str">
            <v>Rohit Singh</v>
          </cell>
          <cell r="C396">
            <v>2201010603</v>
          </cell>
          <cell r="D396" t="str">
            <v>Promoted</v>
          </cell>
        </row>
        <row r="397">
          <cell r="A397">
            <v>2022478036</v>
          </cell>
          <cell r="B397" t="str">
            <v>Rudra Pratap Tomar</v>
          </cell>
          <cell r="C397">
            <v>2201010605</v>
          </cell>
          <cell r="D397" t="str">
            <v>Promoted</v>
          </cell>
        </row>
        <row r="398">
          <cell r="A398">
            <v>2022006609</v>
          </cell>
          <cell r="B398" t="str">
            <v>Sachin Kumar</v>
          </cell>
          <cell r="C398">
            <v>2201010606</v>
          </cell>
          <cell r="D398" t="str">
            <v>Promoted</v>
          </cell>
        </row>
        <row r="399">
          <cell r="A399">
            <v>2022467393</v>
          </cell>
          <cell r="B399" t="str">
            <v>Sachin Kumar</v>
          </cell>
          <cell r="C399">
            <v>2201010607</v>
          </cell>
          <cell r="D399" t="str">
            <v>Promoted</v>
          </cell>
        </row>
        <row r="400">
          <cell r="A400">
            <v>2022582528</v>
          </cell>
          <cell r="B400" t="str">
            <v>Sachin Kumar</v>
          </cell>
          <cell r="C400">
            <v>2201010608</v>
          </cell>
          <cell r="D400" t="str">
            <v>Promoted</v>
          </cell>
        </row>
        <row r="401">
          <cell r="A401">
            <v>2022427336</v>
          </cell>
          <cell r="B401" t="str">
            <v>Sahil Chauhan</v>
          </cell>
          <cell r="C401">
            <v>2201010611</v>
          </cell>
          <cell r="D401" t="str">
            <v>Promoted</v>
          </cell>
        </row>
        <row r="402">
          <cell r="A402">
            <v>2022818891</v>
          </cell>
          <cell r="B402" t="str">
            <v>Saksham Pokhrel</v>
          </cell>
          <cell r="C402">
            <v>2201010617</v>
          </cell>
          <cell r="D402" t="str">
            <v>Promoted</v>
          </cell>
        </row>
        <row r="403">
          <cell r="A403">
            <v>2022000799</v>
          </cell>
          <cell r="B403" t="str">
            <v>Salman Alam</v>
          </cell>
          <cell r="C403">
            <v>2201010619</v>
          </cell>
          <cell r="D403" t="str">
            <v>Promoted</v>
          </cell>
        </row>
        <row r="404">
          <cell r="A404">
            <v>2022001198</v>
          </cell>
          <cell r="B404" t="str">
            <v>Salman Gazi</v>
          </cell>
          <cell r="C404">
            <v>2201010620</v>
          </cell>
          <cell r="D404" t="str">
            <v>Promoted</v>
          </cell>
        </row>
        <row r="405">
          <cell r="A405">
            <v>2022558819</v>
          </cell>
          <cell r="B405" t="str">
            <v>Saloni Kumari</v>
          </cell>
          <cell r="C405">
            <v>2201010621</v>
          </cell>
          <cell r="D405" t="str">
            <v>Promoted</v>
          </cell>
        </row>
        <row r="406">
          <cell r="A406">
            <v>2022502729</v>
          </cell>
          <cell r="B406" t="str">
            <v>Saloni Sikriwal</v>
          </cell>
          <cell r="C406">
            <v>2201010622</v>
          </cell>
          <cell r="D406" t="str">
            <v>Promoted</v>
          </cell>
        </row>
        <row r="407">
          <cell r="A407">
            <v>2022005613</v>
          </cell>
          <cell r="B407" t="str">
            <v>Samyak Katiyar</v>
          </cell>
          <cell r="C407">
            <v>2201010628</v>
          </cell>
          <cell r="D407" t="str">
            <v>Promoted</v>
          </cell>
        </row>
        <row r="408">
          <cell r="A408">
            <v>2022004682</v>
          </cell>
          <cell r="B408" t="str">
            <v>Sanchit .</v>
          </cell>
          <cell r="C408">
            <v>2201010630</v>
          </cell>
          <cell r="D408" t="str">
            <v>Promoted</v>
          </cell>
        </row>
        <row r="409">
          <cell r="A409">
            <v>2022002703</v>
          </cell>
          <cell r="B409" t="str">
            <v>Sandali Sinha</v>
          </cell>
          <cell r="C409">
            <v>2201010631</v>
          </cell>
          <cell r="D409" t="str">
            <v>Promoted</v>
          </cell>
        </row>
        <row r="410">
          <cell r="A410">
            <v>2022523724</v>
          </cell>
          <cell r="B410" t="str">
            <v>Saniya .</v>
          </cell>
          <cell r="C410">
            <v>2201010632</v>
          </cell>
          <cell r="D410" t="str">
            <v>Promoted</v>
          </cell>
        </row>
        <row r="411">
          <cell r="A411">
            <v>2022344264</v>
          </cell>
          <cell r="B411" t="str">
            <v>Sanket Sharma</v>
          </cell>
          <cell r="C411">
            <v>2201010634</v>
          </cell>
          <cell r="D411" t="str">
            <v>Promoted</v>
          </cell>
        </row>
        <row r="412">
          <cell r="A412">
            <v>2022004547</v>
          </cell>
          <cell r="B412" t="str">
            <v>Sanskriti Verma</v>
          </cell>
          <cell r="C412">
            <v>2201010635</v>
          </cell>
          <cell r="D412" t="str">
            <v>Promoted</v>
          </cell>
        </row>
        <row r="413">
          <cell r="A413">
            <v>2022001775</v>
          </cell>
          <cell r="B413" t="str">
            <v>Satyam Kumar</v>
          </cell>
          <cell r="C413">
            <v>2201010641</v>
          </cell>
          <cell r="D413" t="str">
            <v>Promoted</v>
          </cell>
        </row>
        <row r="414">
          <cell r="A414">
            <v>2022502747</v>
          </cell>
          <cell r="B414" t="str">
            <v>Satyam Singh</v>
          </cell>
          <cell r="C414">
            <v>2201010642</v>
          </cell>
          <cell r="D414" t="str">
            <v>Promoted</v>
          </cell>
        </row>
        <row r="415">
          <cell r="A415">
            <v>2022001659</v>
          </cell>
          <cell r="B415" t="str">
            <v>Satyendra Negi</v>
          </cell>
          <cell r="C415">
            <v>2201010643</v>
          </cell>
          <cell r="D415" t="str">
            <v>Promoted</v>
          </cell>
        </row>
        <row r="416">
          <cell r="A416">
            <v>2022475752</v>
          </cell>
          <cell r="B416" t="str">
            <v>Saumya Singh</v>
          </cell>
          <cell r="C416">
            <v>2201010645</v>
          </cell>
          <cell r="D416" t="str">
            <v>Promoted</v>
          </cell>
        </row>
        <row r="417">
          <cell r="A417">
            <v>2022438521</v>
          </cell>
          <cell r="B417" t="str">
            <v>Saumya Suman</v>
          </cell>
          <cell r="C417">
            <v>2201010646</v>
          </cell>
          <cell r="D417" t="str">
            <v>Promoted</v>
          </cell>
        </row>
        <row r="418">
          <cell r="A418">
            <v>2022820996</v>
          </cell>
          <cell r="B418" t="str">
            <v>Saurab Gurung</v>
          </cell>
          <cell r="C418">
            <v>2201010647</v>
          </cell>
          <cell r="D418" t="str">
            <v>Promoted</v>
          </cell>
        </row>
        <row r="419">
          <cell r="A419">
            <v>2022501073</v>
          </cell>
          <cell r="B419" t="str">
            <v>Saurabh Patel</v>
          </cell>
          <cell r="C419">
            <v>2201010650</v>
          </cell>
          <cell r="D419" t="str">
            <v>Promoted</v>
          </cell>
        </row>
        <row r="420">
          <cell r="A420">
            <v>2022526278</v>
          </cell>
          <cell r="B420" t="str">
            <v>Sehaj Bral</v>
          </cell>
          <cell r="C420">
            <v>2201010651</v>
          </cell>
          <cell r="D420" t="str">
            <v>Promoted</v>
          </cell>
        </row>
        <row r="421">
          <cell r="A421">
            <v>2022481225</v>
          </cell>
          <cell r="B421" t="str">
            <v>Shailesh Kumar Yadav</v>
          </cell>
          <cell r="C421">
            <v>2201010652</v>
          </cell>
          <cell r="D421" t="str">
            <v>Promoted</v>
          </cell>
        </row>
        <row r="422">
          <cell r="A422">
            <v>2022514886</v>
          </cell>
          <cell r="B422" t="str">
            <v>Shashank Shekhar</v>
          </cell>
          <cell r="C422">
            <v>2201010656</v>
          </cell>
          <cell r="D422" t="str">
            <v>Promoted</v>
          </cell>
        </row>
        <row r="423">
          <cell r="A423">
            <v>2022378413</v>
          </cell>
          <cell r="B423" t="str">
            <v>Shashwat Raj</v>
          </cell>
          <cell r="C423">
            <v>2201010659</v>
          </cell>
          <cell r="D423" t="str">
            <v>Promoted</v>
          </cell>
        </row>
        <row r="424">
          <cell r="A424">
            <v>2022006694</v>
          </cell>
          <cell r="B424" t="str">
            <v>Shashwat Singh</v>
          </cell>
          <cell r="C424">
            <v>2201010660</v>
          </cell>
          <cell r="D424" t="str">
            <v>Promoted</v>
          </cell>
        </row>
        <row r="425">
          <cell r="A425">
            <v>2022006789</v>
          </cell>
          <cell r="B425" t="str">
            <v>Shaurya Singh</v>
          </cell>
          <cell r="C425">
            <v>2201010661</v>
          </cell>
          <cell r="D425" t="str">
            <v>Promoted</v>
          </cell>
        </row>
        <row r="426">
          <cell r="A426">
            <v>2022000791</v>
          </cell>
          <cell r="B426" t="str">
            <v>Shikha Kumari</v>
          </cell>
          <cell r="C426">
            <v>2201010664</v>
          </cell>
          <cell r="D426" t="str">
            <v>Promoted</v>
          </cell>
        </row>
        <row r="427">
          <cell r="A427">
            <v>2022487397</v>
          </cell>
          <cell r="B427" t="str">
            <v>Shikhar Singh</v>
          </cell>
          <cell r="C427">
            <v>2201010665</v>
          </cell>
          <cell r="D427" t="str">
            <v>Promoted</v>
          </cell>
        </row>
        <row r="428">
          <cell r="A428">
            <v>2022002786</v>
          </cell>
          <cell r="B428" t="str">
            <v>Shiva Srivastava</v>
          </cell>
          <cell r="C428">
            <v>2201010667</v>
          </cell>
          <cell r="D428" t="str">
            <v>Promoted</v>
          </cell>
        </row>
        <row r="429">
          <cell r="A429">
            <v>2022472720</v>
          </cell>
          <cell r="B429" t="str">
            <v>Shivam Kaintyura</v>
          </cell>
          <cell r="C429">
            <v>2201010668</v>
          </cell>
          <cell r="D429" t="str">
            <v>Promoted</v>
          </cell>
        </row>
        <row r="430">
          <cell r="A430">
            <v>2022437807</v>
          </cell>
          <cell r="B430" t="str">
            <v>Shivam Kumar</v>
          </cell>
          <cell r="C430">
            <v>2201010669</v>
          </cell>
          <cell r="D430" t="str">
            <v>Promoted</v>
          </cell>
        </row>
        <row r="431">
          <cell r="A431">
            <v>2022468330</v>
          </cell>
          <cell r="B431" t="str">
            <v>Shivam Kumar</v>
          </cell>
          <cell r="C431">
            <v>2201010670</v>
          </cell>
          <cell r="D431" t="str">
            <v>Promoted</v>
          </cell>
        </row>
        <row r="432">
          <cell r="A432">
            <v>2022577110</v>
          </cell>
          <cell r="B432" t="str">
            <v>Shivam Kumar</v>
          </cell>
          <cell r="C432">
            <v>2201010671</v>
          </cell>
          <cell r="D432" t="str">
            <v>Promoted</v>
          </cell>
        </row>
        <row r="433">
          <cell r="A433">
            <v>2022006868</v>
          </cell>
          <cell r="B433" t="str">
            <v>Shivam Nayak</v>
          </cell>
          <cell r="C433">
            <v>2201010673</v>
          </cell>
          <cell r="D433" t="str">
            <v>Promoted</v>
          </cell>
        </row>
        <row r="434">
          <cell r="A434">
            <v>2022005275</v>
          </cell>
          <cell r="B434" t="str">
            <v>Shivam Tripathi</v>
          </cell>
          <cell r="C434">
            <v>2201010675</v>
          </cell>
          <cell r="D434" t="str">
            <v>Promoted</v>
          </cell>
        </row>
        <row r="435">
          <cell r="A435">
            <v>2022432518</v>
          </cell>
          <cell r="B435" t="str">
            <v>Shivam Yadav</v>
          </cell>
          <cell r="C435">
            <v>2201010676</v>
          </cell>
          <cell r="D435" t="str">
            <v>Promoted</v>
          </cell>
        </row>
        <row r="436">
          <cell r="A436">
            <v>2022404783</v>
          </cell>
          <cell r="B436" t="str">
            <v>Shivansh Tiwari</v>
          </cell>
          <cell r="C436">
            <v>2201010679</v>
          </cell>
          <cell r="D436" t="str">
            <v>Promoted</v>
          </cell>
        </row>
        <row r="437">
          <cell r="A437">
            <v>2022506607</v>
          </cell>
          <cell r="B437" t="str">
            <v>Shiwangi .</v>
          </cell>
          <cell r="C437">
            <v>2201010680</v>
          </cell>
          <cell r="D437" t="str">
            <v>Promoted</v>
          </cell>
        </row>
        <row r="438">
          <cell r="A438">
            <v>2022512360</v>
          </cell>
          <cell r="B438" t="str">
            <v>Shobhit Agrawal</v>
          </cell>
          <cell r="C438">
            <v>2201010681</v>
          </cell>
          <cell r="D438" t="str">
            <v>Promoted</v>
          </cell>
        </row>
        <row r="439">
          <cell r="A439">
            <v>2022414495</v>
          </cell>
          <cell r="B439" t="str">
            <v>Shourya Sharma</v>
          </cell>
          <cell r="C439">
            <v>2201010682</v>
          </cell>
          <cell r="D439" t="str">
            <v>Promoted</v>
          </cell>
        </row>
        <row r="440">
          <cell r="A440">
            <v>2022004756</v>
          </cell>
          <cell r="B440" t="str">
            <v>Shreyal Gupta</v>
          </cell>
          <cell r="C440">
            <v>2201010684</v>
          </cell>
          <cell r="D440" t="str">
            <v>Promoted</v>
          </cell>
        </row>
        <row r="441">
          <cell r="A441">
            <v>2022495153</v>
          </cell>
          <cell r="B441" t="str">
            <v>Shreyansh Dixit</v>
          </cell>
          <cell r="C441">
            <v>2201010685</v>
          </cell>
          <cell r="D441" t="str">
            <v>Promoted</v>
          </cell>
        </row>
        <row r="442">
          <cell r="A442">
            <v>2022006890</v>
          </cell>
          <cell r="B442" t="str">
            <v>Shristi Jain</v>
          </cell>
          <cell r="C442">
            <v>2201010686</v>
          </cell>
          <cell r="D442" t="str">
            <v>Promoted</v>
          </cell>
        </row>
        <row r="443">
          <cell r="A443">
            <v>2022508269</v>
          </cell>
          <cell r="B443" t="str">
            <v>Shristy Jaiswal</v>
          </cell>
          <cell r="C443">
            <v>2201010687</v>
          </cell>
          <cell r="D443" t="str">
            <v>Promoted</v>
          </cell>
        </row>
        <row r="444">
          <cell r="A444">
            <v>2022559432</v>
          </cell>
          <cell r="B444" t="str">
            <v>Shubham Harbola</v>
          </cell>
          <cell r="C444">
            <v>2201010689</v>
          </cell>
          <cell r="D444" t="str">
            <v>Promoted</v>
          </cell>
        </row>
        <row r="445">
          <cell r="A445">
            <v>2022531964</v>
          </cell>
          <cell r="B445" t="str">
            <v>Shubham Mishra</v>
          </cell>
          <cell r="C445">
            <v>2201010692</v>
          </cell>
          <cell r="D445" t="str">
            <v>Promoted</v>
          </cell>
        </row>
        <row r="446">
          <cell r="A446">
            <v>2022520978</v>
          </cell>
          <cell r="B446" t="str">
            <v>Shubhojit Sen</v>
          </cell>
          <cell r="C446">
            <v>2201010693</v>
          </cell>
          <cell r="D446" t="str">
            <v>Promoted</v>
          </cell>
        </row>
        <row r="447">
          <cell r="A447">
            <v>2022003069</v>
          </cell>
          <cell r="B447" t="str">
            <v>Siddharth Kumar</v>
          </cell>
          <cell r="C447">
            <v>2201010694</v>
          </cell>
          <cell r="D447" t="str">
            <v>Promoted</v>
          </cell>
        </row>
        <row r="448">
          <cell r="A448">
            <v>2022338616</v>
          </cell>
          <cell r="B448" t="str">
            <v>Simran Kumari</v>
          </cell>
          <cell r="C448">
            <v>2201010695</v>
          </cell>
          <cell r="D448" t="str">
            <v>Promoted</v>
          </cell>
        </row>
        <row r="449">
          <cell r="A449">
            <v>2022502947</v>
          </cell>
          <cell r="B449" t="str">
            <v>Sneha .</v>
          </cell>
          <cell r="C449">
            <v>2201010698</v>
          </cell>
          <cell r="D449" t="str">
            <v>Promoted</v>
          </cell>
        </row>
        <row r="450">
          <cell r="A450">
            <v>2022521244</v>
          </cell>
          <cell r="B450" t="str">
            <v>Sneha Bansal</v>
          </cell>
          <cell r="C450">
            <v>2201010700</v>
          </cell>
          <cell r="D450" t="str">
            <v>Promoted</v>
          </cell>
        </row>
        <row r="451">
          <cell r="A451">
            <v>2022511567</v>
          </cell>
          <cell r="B451" t="str">
            <v>Sneha Kumari</v>
          </cell>
          <cell r="C451">
            <v>2201010701</v>
          </cell>
          <cell r="D451" t="str">
            <v>Promoted</v>
          </cell>
        </row>
        <row r="452">
          <cell r="A452">
            <v>2022437700</v>
          </cell>
          <cell r="B452" t="str">
            <v>Somil Modi</v>
          </cell>
          <cell r="C452">
            <v>2201010706</v>
          </cell>
          <cell r="D452" t="str">
            <v>Promoted</v>
          </cell>
        </row>
        <row r="453">
          <cell r="A453">
            <v>2022363290</v>
          </cell>
          <cell r="B453" t="str">
            <v>Soubhik Roy</v>
          </cell>
          <cell r="C453">
            <v>2201010711</v>
          </cell>
          <cell r="D453" t="str">
            <v>Promoted</v>
          </cell>
        </row>
        <row r="454">
          <cell r="A454">
            <v>2022387392</v>
          </cell>
          <cell r="B454" t="str">
            <v>Souptik Giri</v>
          </cell>
          <cell r="C454">
            <v>2201010713</v>
          </cell>
          <cell r="D454" t="str">
            <v>Promoted</v>
          </cell>
        </row>
        <row r="455">
          <cell r="A455">
            <v>2022001846</v>
          </cell>
          <cell r="B455" t="str">
            <v>Sparsh Singh</v>
          </cell>
          <cell r="C455">
            <v>2201010715</v>
          </cell>
          <cell r="D455" t="str">
            <v>Promoted</v>
          </cell>
        </row>
        <row r="456">
          <cell r="A456">
            <v>2022503088</v>
          </cell>
          <cell r="B456" t="str">
            <v>Srishti Shukla</v>
          </cell>
          <cell r="C456">
            <v>2201010716</v>
          </cell>
          <cell r="D456" t="str">
            <v>Promoted</v>
          </cell>
        </row>
        <row r="457">
          <cell r="A457">
            <v>2022003913</v>
          </cell>
          <cell r="B457" t="str">
            <v>Suhail Nazir Taili</v>
          </cell>
          <cell r="C457">
            <v>2201010718</v>
          </cell>
          <cell r="D457" t="str">
            <v>Promoted</v>
          </cell>
        </row>
        <row r="458">
          <cell r="A458">
            <v>2022508695</v>
          </cell>
          <cell r="B458" t="str">
            <v>Sumit .</v>
          </cell>
          <cell r="C458">
            <v>2201010720</v>
          </cell>
          <cell r="D458" t="str">
            <v>Promoted</v>
          </cell>
        </row>
        <row r="459">
          <cell r="A459">
            <v>2022498440</v>
          </cell>
          <cell r="B459" t="str">
            <v>Sumit Gupta</v>
          </cell>
          <cell r="C459">
            <v>2201010721</v>
          </cell>
          <cell r="D459" t="str">
            <v>Promoted</v>
          </cell>
        </row>
        <row r="460">
          <cell r="A460">
            <v>2022408033</v>
          </cell>
          <cell r="B460" t="str">
            <v>Sumit Pathak</v>
          </cell>
          <cell r="C460">
            <v>2201010723</v>
          </cell>
          <cell r="D460" t="str">
            <v>Promoted</v>
          </cell>
        </row>
        <row r="461">
          <cell r="A461">
            <v>2022498602</v>
          </cell>
          <cell r="B461" t="str">
            <v>Sumit Yadav</v>
          </cell>
          <cell r="C461">
            <v>2201010724</v>
          </cell>
          <cell r="D461" t="str">
            <v>Promoted</v>
          </cell>
        </row>
        <row r="462">
          <cell r="A462">
            <v>2022403475</v>
          </cell>
          <cell r="B462" t="str">
            <v>Surabhi Singh</v>
          </cell>
          <cell r="C462">
            <v>2201010726</v>
          </cell>
          <cell r="D462" t="str">
            <v>Promoted</v>
          </cell>
        </row>
        <row r="463">
          <cell r="A463">
            <v>2022006898</v>
          </cell>
          <cell r="B463" t="str">
            <v>Surbhi Rana</v>
          </cell>
          <cell r="C463">
            <v>2201010729</v>
          </cell>
          <cell r="D463" t="str">
            <v>Promoted</v>
          </cell>
        </row>
        <row r="464">
          <cell r="A464">
            <v>2022517301</v>
          </cell>
          <cell r="B464" t="str">
            <v>Suruchi Kumari</v>
          </cell>
          <cell r="C464">
            <v>2201010730</v>
          </cell>
          <cell r="D464" t="str">
            <v>Promoted</v>
          </cell>
        </row>
        <row r="465">
          <cell r="A465">
            <v>2022484252</v>
          </cell>
          <cell r="B465" t="str">
            <v>Surya Raj</v>
          </cell>
          <cell r="C465">
            <v>2201010731</v>
          </cell>
          <cell r="D465" t="str">
            <v>Promoted</v>
          </cell>
        </row>
        <row r="466">
          <cell r="A466">
            <v>2022413369</v>
          </cell>
          <cell r="B466" t="str">
            <v>Sushant Raj</v>
          </cell>
          <cell r="C466">
            <v>2201010732</v>
          </cell>
          <cell r="D466" t="str">
            <v>Promoted</v>
          </cell>
        </row>
        <row r="467">
          <cell r="A467">
            <v>2022005992</v>
          </cell>
          <cell r="B467" t="str">
            <v>Swaraj Upreti</v>
          </cell>
          <cell r="C467">
            <v>2201010733</v>
          </cell>
          <cell r="D467" t="str">
            <v>Promoted</v>
          </cell>
        </row>
        <row r="468">
          <cell r="A468">
            <v>2022461609</v>
          </cell>
          <cell r="B468" t="str">
            <v>Swarn Pratap Singh</v>
          </cell>
          <cell r="C468">
            <v>2201010734</v>
          </cell>
          <cell r="D468" t="str">
            <v>Promoted</v>
          </cell>
        </row>
        <row r="469">
          <cell r="A469">
            <v>2022543079</v>
          </cell>
          <cell r="B469" t="str">
            <v>Swati Kumari</v>
          </cell>
          <cell r="C469">
            <v>2201010735</v>
          </cell>
          <cell r="D469" t="str">
            <v>Promoted</v>
          </cell>
        </row>
        <row r="470">
          <cell r="A470">
            <v>2022360071</v>
          </cell>
          <cell r="B470" t="str">
            <v>Takmeel Fatima</v>
          </cell>
          <cell r="C470">
            <v>2201010737</v>
          </cell>
          <cell r="D470" t="str">
            <v>Promoted</v>
          </cell>
        </row>
        <row r="471">
          <cell r="A471">
            <v>2022005800</v>
          </cell>
          <cell r="B471" t="str">
            <v>Tanishqa Singh</v>
          </cell>
          <cell r="C471">
            <v>2201010740</v>
          </cell>
          <cell r="D471" t="str">
            <v>Promoted</v>
          </cell>
        </row>
        <row r="472">
          <cell r="A472">
            <v>2022457752</v>
          </cell>
          <cell r="B472" t="str">
            <v>Taniya Chaudhary</v>
          </cell>
          <cell r="C472">
            <v>2201010741</v>
          </cell>
          <cell r="D472" t="str">
            <v>Promoted</v>
          </cell>
        </row>
        <row r="473">
          <cell r="A473">
            <v>2022002431</v>
          </cell>
          <cell r="B473" t="str">
            <v>Tanvee Vashist</v>
          </cell>
          <cell r="C473">
            <v>2201010745</v>
          </cell>
          <cell r="D473" t="str">
            <v>Promoted</v>
          </cell>
        </row>
        <row r="474">
          <cell r="A474">
            <v>2022005567</v>
          </cell>
          <cell r="B474" t="str">
            <v>Tanya Mall</v>
          </cell>
          <cell r="C474">
            <v>2201010747</v>
          </cell>
          <cell r="D474" t="str">
            <v>Promoted</v>
          </cell>
        </row>
        <row r="475">
          <cell r="A475">
            <v>2022561225</v>
          </cell>
          <cell r="B475" t="str">
            <v>Tarun Sirohi</v>
          </cell>
          <cell r="C475">
            <v>2201010750</v>
          </cell>
          <cell r="D475" t="str">
            <v>Promoted</v>
          </cell>
        </row>
        <row r="476">
          <cell r="A476">
            <v>2022534653</v>
          </cell>
          <cell r="B476" t="str">
            <v>Taukir Alam</v>
          </cell>
          <cell r="C476">
            <v>2201010751</v>
          </cell>
          <cell r="D476" t="str">
            <v>Promoted</v>
          </cell>
        </row>
        <row r="477">
          <cell r="A477">
            <v>2022005697</v>
          </cell>
          <cell r="B477" t="str">
            <v>Tripathi Kartik Umashanker</v>
          </cell>
          <cell r="C477">
            <v>2201010754</v>
          </cell>
          <cell r="D477" t="str">
            <v>Promoted</v>
          </cell>
        </row>
        <row r="478">
          <cell r="A478">
            <v>2022418998</v>
          </cell>
          <cell r="B478" t="str">
            <v>Uday B Thakur</v>
          </cell>
          <cell r="C478">
            <v>2201010756</v>
          </cell>
          <cell r="D478" t="str">
            <v>Promoted</v>
          </cell>
        </row>
        <row r="479">
          <cell r="A479">
            <v>2022006787</v>
          </cell>
          <cell r="B479" t="str">
            <v>Ujjwal Kumar</v>
          </cell>
          <cell r="C479">
            <v>2201010757</v>
          </cell>
          <cell r="D479" t="str">
            <v>Promoted</v>
          </cell>
        </row>
        <row r="480">
          <cell r="A480">
            <v>2022559074</v>
          </cell>
          <cell r="B480" t="str">
            <v>Upendra Giri</v>
          </cell>
          <cell r="C480">
            <v>2201010762</v>
          </cell>
          <cell r="D480" t="str">
            <v>Promoted</v>
          </cell>
        </row>
        <row r="481">
          <cell r="A481">
            <v>2022307471</v>
          </cell>
          <cell r="B481" t="str">
            <v>Utkarsh Gupta</v>
          </cell>
          <cell r="C481">
            <v>2201010763</v>
          </cell>
          <cell r="D481" t="str">
            <v>Promoted</v>
          </cell>
        </row>
        <row r="482">
          <cell r="A482">
            <v>2022005062</v>
          </cell>
          <cell r="B482" t="str">
            <v>Utkarsh Kumar</v>
          </cell>
          <cell r="C482">
            <v>2201010764</v>
          </cell>
          <cell r="D482" t="str">
            <v>Promoted</v>
          </cell>
        </row>
        <row r="483">
          <cell r="A483">
            <v>2022003889</v>
          </cell>
          <cell r="B483" t="str">
            <v>Vaibhav Dhor</v>
          </cell>
          <cell r="C483">
            <v>2201010770</v>
          </cell>
          <cell r="D483" t="str">
            <v>Promoted</v>
          </cell>
        </row>
        <row r="484">
          <cell r="A484">
            <v>2022511135</v>
          </cell>
          <cell r="B484" t="str">
            <v>Vanshika Gupta</v>
          </cell>
          <cell r="C484">
            <v>2201010774</v>
          </cell>
          <cell r="D484" t="str">
            <v>Promoted</v>
          </cell>
        </row>
        <row r="485">
          <cell r="A485">
            <v>2022545204</v>
          </cell>
          <cell r="B485" t="str">
            <v>Varshita Mishra</v>
          </cell>
          <cell r="C485">
            <v>2201010778</v>
          </cell>
          <cell r="D485" t="str">
            <v>Promoted</v>
          </cell>
        </row>
        <row r="486">
          <cell r="A486">
            <v>2022004757</v>
          </cell>
          <cell r="B486" t="str">
            <v>Vats Raj Kashyap</v>
          </cell>
          <cell r="C486">
            <v>2201010779</v>
          </cell>
          <cell r="D486" t="str">
            <v>Promoted</v>
          </cell>
        </row>
        <row r="487">
          <cell r="A487">
            <v>2022439020</v>
          </cell>
          <cell r="B487" t="str">
            <v>Ved Sharma</v>
          </cell>
          <cell r="C487">
            <v>2201010780</v>
          </cell>
          <cell r="D487" t="str">
            <v>Promoted</v>
          </cell>
        </row>
        <row r="488">
          <cell r="A488">
            <v>2022473978</v>
          </cell>
          <cell r="B488" t="str">
            <v>Vedanshu Singh</v>
          </cell>
          <cell r="C488">
            <v>2201010781</v>
          </cell>
          <cell r="D488" t="str">
            <v>Promoted</v>
          </cell>
        </row>
        <row r="489">
          <cell r="A489">
            <v>2022003580</v>
          </cell>
          <cell r="B489" t="str">
            <v>Vedant Tiwari</v>
          </cell>
          <cell r="C489">
            <v>2201010782</v>
          </cell>
          <cell r="D489" t="str">
            <v>Promoted</v>
          </cell>
        </row>
        <row r="490">
          <cell r="A490">
            <v>2022002769</v>
          </cell>
          <cell r="B490" t="str">
            <v>Vicky Kumar</v>
          </cell>
          <cell r="C490">
            <v>2201010786</v>
          </cell>
          <cell r="D490" t="str">
            <v>Promoted</v>
          </cell>
        </row>
        <row r="491">
          <cell r="A491">
            <v>2022452189</v>
          </cell>
          <cell r="B491" t="str">
            <v>Vigyanshu Pandey</v>
          </cell>
          <cell r="C491">
            <v>2201010787</v>
          </cell>
          <cell r="D491" t="str">
            <v>Promoted</v>
          </cell>
        </row>
        <row r="492">
          <cell r="A492">
            <v>2022007111</v>
          </cell>
          <cell r="B492" t="str">
            <v>Vikas Kumar Mishra</v>
          </cell>
          <cell r="C492">
            <v>2201010788</v>
          </cell>
          <cell r="D492" t="str">
            <v>Promoted</v>
          </cell>
        </row>
        <row r="493">
          <cell r="A493">
            <v>2022552668</v>
          </cell>
          <cell r="B493" t="str">
            <v>Vishal Kumar</v>
          </cell>
          <cell r="C493">
            <v>2201010794</v>
          </cell>
          <cell r="D493" t="str">
            <v>Promoted</v>
          </cell>
        </row>
        <row r="494">
          <cell r="A494">
            <v>2022498812</v>
          </cell>
          <cell r="B494" t="str">
            <v>Vishal Suryan</v>
          </cell>
          <cell r="C494">
            <v>2201010796</v>
          </cell>
          <cell r="D494" t="str">
            <v>Promoted</v>
          </cell>
        </row>
        <row r="495">
          <cell r="A495">
            <v>2022003841</v>
          </cell>
          <cell r="B495" t="str">
            <v>Vishvendra Dhama</v>
          </cell>
          <cell r="C495">
            <v>2201010798</v>
          </cell>
          <cell r="D495" t="str">
            <v>Promoted</v>
          </cell>
        </row>
        <row r="496">
          <cell r="A496">
            <v>2022527904</v>
          </cell>
          <cell r="B496" t="str">
            <v>Vivek Gupta</v>
          </cell>
          <cell r="C496">
            <v>2201010799</v>
          </cell>
          <cell r="D496" t="str">
            <v>Promoted</v>
          </cell>
        </row>
        <row r="497">
          <cell r="A497">
            <v>2022554244</v>
          </cell>
          <cell r="B497" t="str">
            <v>Vivek Kumar</v>
          </cell>
          <cell r="C497">
            <v>2201010800</v>
          </cell>
          <cell r="D497" t="str">
            <v>Promoted</v>
          </cell>
        </row>
        <row r="498">
          <cell r="A498">
            <v>2022381725</v>
          </cell>
          <cell r="B498" t="str">
            <v>Yajushi Mittal</v>
          </cell>
          <cell r="C498">
            <v>2201010804</v>
          </cell>
          <cell r="D498" t="str">
            <v>Promoted</v>
          </cell>
        </row>
        <row r="499">
          <cell r="A499">
            <v>2022484682</v>
          </cell>
          <cell r="B499" t="str">
            <v>Yash Chauhan</v>
          </cell>
          <cell r="C499">
            <v>2201010807</v>
          </cell>
          <cell r="D499" t="str">
            <v>Promoted</v>
          </cell>
        </row>
        <row r="500">
          <cell r="A500">
            <v>2022470797</v>
          </cell>
          <cell r="B500" t="str">
            <v>Yash Pratap Singh</v>
          </cell>
          <cell r="C500">
            <v>2201010810</v>
          </cell>
          <cell r="D500" t="str">
            <v>Promoted</v>
          </cell>
        </row>
        <row r="501">
          <cell r="A501">
            <v>2022415397</v>
          </cell>
          <cell r="B501" t="str">
            <v>Yash Raj</v>
          </cell>
          <cell r="C501">
            <v>2201010811</v>
          </cell>
          <cell r="D501" t="str">
            <v>Promoted</v>
          </cell>
        </row>
        <row r="502">
          <cell r="A502">
            <v>2022423199</v>
          </cell>
          <cell r="B502" t="str">
            <v>Yash Rawat</v>
          </cell>
          <cell r="C502">
            <v>2201010812</v>
          </cell>
          <cell r="D502" t="str">
            <v>Promoted</v>
          </cell>
        </row>
        <row r="503">
          <cell r="A503">
            <v>2022006072</v>
          </cell>
          <cell r="B503" t="str">
            <v>Yashika .</v>
          </cell>
          <cell r="C503">
            <v>2201010815</v>
          </cell>
          <cell r="D503" t="str">
            <v>Promoted</v>
          </cell>
        </row>
        <row r="504">
          <cell r="A504">
            <v>2022003238</v>
          </cell>
          <cell r="B504" t="str">
            <v>Yashovardhan Awasthi</v>
          </cell>
          <cell r="C504">
            <v>2201010817</v>
          </cell>
          <cell r="D504" t="str">
            <v>Promoted</v>
          </cell>
        </row>
        <row r="505">
          <cell r="A505">
            <v>2022363409</v>
          </cell>
          <cell r="B505" t="str">
            <v>Yenni Gnana Prasanna</v>
          </cell>
          <cell r="C505">
            <v>2201010818</v>
          </cell>
          <cell r="D505" t="str">
            <v>Promoted</v>
          </cell>
        </row>
        <row r="506">
          <cell r="A506">
            <v>2022518505</v>
          </cell>
          <cell r="B506" t="str">
            <v>Yukti Arora</v>
          </cell>
          <cell r="C506">
            <v>2201010821</v>
          </cell>
          <cell r="D506" t="str">
            <v>Promoted</v>
          </cell>
        </row>
        <row r="507">
          <cell r="A507">
            <v>2022433386</v>
          </cell>
          <cell r="B507" t="str">
            <v>Yuvraj Sinha</v>
          </cell>
          <cell r="C507">
            <v>2201010825</v>
          </cell>
          <cell r="D507" t="str">
            <v>Promoted</v>
          </cell>
        </row>
        <row r="508">
          <cell r="A508">
            <v>2022450179</v>
          </cell>
          <cell r="B508" t="str">
            <v>Zahabiya Hamied</v>
          </cell>
          <cell r="C508">
            <v>2201010826</v>
          </cell>
          <cell r="D508" t="str">
            <v>Promoted</v>
          </cell>
        </row>
        <row r="509">
          <cell r="A509">
            <v>2022004909</v>
          </cell>
          <cell r="B509" t="str">
            <v>Zaid Meman</v>
          </cell>
          <cell r="C509">
            <v>2201010827</v>
          </cell>
          <cell r="D509" t="str">
            <v>Promoted</v>
          </cell>
        </row>
        <row r="510">
          <cell r="A510">
            <v>2022003343</v>
          </cell>
          <cell r="B510" t="str">
            <v>Zobia Riyaz</v>
          </cell>
          <cell r="C510">
            <v>2201010828</v>
          </cell>
          <cell r="D510" t="str">
            <v>Promoted</v>
          </cell>
        </row>
        <row r="511">
          <cell r="A511">
            <v>2022003923</v>
          </cell>
          <cell r="B511" t="str">
            <v>Mohammad Shaazan Muzaffar</v>
          </cell>
          <cell r="C511">
            <v>2201010829</v>
          </cell>
          <cell r="D511" t="str">
            <v>Promoted</v>
          </cell>
        </row>
        <row r="512">
          <cell r="A512">
            <v>2022006361</v>
          </cell>
          <cell r="B512" t="str">
            <v>Sarwesh Kumar</v>
          </cell>
          <cell r="C512">
            <v>2201010830</v>
          </cell>
          <cell r="D512" t="str">
            <v>Promoted</v>
          </cell>
        </row>
        <row r="513">
          <cell r="A513">
            <v>2022006613</v>
          </cell>
          <cell r="B513" t="str">
            <v>Aryan Raj</v>
          </cell>
          <cell r="C513">
            <v>2201010831</v>
          </cell>
          <cell r="D513" t="str">
            <v>Promoted</v>
          </cell>
        </row>
        <row r="514">
          <cell r="A514">
            <v>2022006827</v>
          </cell>
          <cell r="B514" t="str">
            <v>Nikhil Kumar Singh</v>
          </cell>
          <cell r="C514">
            <v>2201010832</v>
          </cell>
          <cell r="D514" t="str">
            <v>Promoted</v>
          </cell>
        </row>
        <row r="515">
          <cell r="A515">
            <v>2022006845</v>
          </cell>
          <cell r="B515" t="str">
            <v>Rajan Kumar Saini</v>
          </cell>
          <cell r="C515">
            <v>2201010833</v>
          </cell>
          <cell r="D515" t="str">
            <v>Promoted</v>
          </cell>
        </row>
        <row r="516">
          <cell r="A516">
            <v>2022006932</v>
          </cell>
          <cell r="B516" t="str">
            <v>Ujjwal Gupta</v>
          </cell>
          <cell r="C516">
            <v>2201010834</v>
          </cell>
          <cell r="D516" t="str">
            <v>Promoted</v>
          </cell>
        </row>
        <row r="517">
          <cell r="A517">
            <v>2022006973</v>
          </cell>
          <cell r="B517" t="str">
            <v>Keshav Kumar</v>
          </cell>
          <cell r="C517">
            <v>2201010835</v>
          </cell>
          <cell r="D517" t="str">
            <v>Promoted</v>
          </cell>
        </row>
        <row r="518">
          <cell r="A518">
            <v>2022007179</v>
          </cell>
          <cell r="B518" t="str">
            <v>Akshit Kumar</v>
          </cell>
          <cell r="C518">
            <v>2201010836</v>
          </cell>
          <cell r="D518" t="str">
            <v>Promoted</v>
          </cell>
        </row>
        <row r="519">
          <cell r="A519">
            <v>2022007195</v>
          </cell>
          <cell r="B519" t="str">
            <v>Ashmit Yadav</v>
          </cell>
          <cell r="C519">
            <v>2201010837</v>
          </cell>
          <cell r="D519" t="str">
            <v>Promoted</v>
          </cell>
        </row>
        <row r="520">
          <cell r="A520">
            <v>2022007306</v>
          </cell>
          <cell r="B520" t="str">
            <v>Tarun Kumar</v>
          </cell>
          <cell r="C520">
            <v>2201010840</v>
          </cell>
          <cell r="D520" t="str">
            <v>Promoted</v>
          </cell>
        </row>
        <row r="521">
          <cell r="A521">
            <v>2022007308</v>
          </cell>
          <cell r="B521" t="str">
            <v>Khushi Singh</v>
          </cell>
          <cell r="C521">
            <v>2201010841</v>
          </cell>
          <cell r="D521" t="str">
            <v>Promoted</v>
          </cell>
        </row>
        <row r="522">
          <cell r="A522">
            <v>2022007320</v>
          </cell>
          <cell r="B522" t="str">
            <v>Vishnu Prakash</v>
          </cell>
          <cell r="C522">
            <v>2201010842</v>
          </cell>
          <cell r="D522" t="str">
            <v>Promoted</v>
          </cell>
        </row>
        <row r="523">
          <cell r="A523">
            <v>2022007323</v>
          </cell>
          <cell r="B523" t="str">
            <v>Arun Pratap Singh</v>
          </cell>
          <cell r="C523">
            <v>2201010843</v>
          </cell>
          <cell r="D523" t="str">
            <v>Promoted</v>
          </cell>
        </row>
        <row r="524">
          <cell r="A524">
            <v>2022007342</v>
          </cell>
          <cell r="B524" t="str">
            <v>Kunal Rajput</v>
          </cell>
          <cell r="C524">
            <v>2201010845</v>
          </cell>
          <cell r="D524" t="str">
            <v>Promoted</v>
          </cell>
        </row>
        <row r="525">
          <cell r="A525">
            <v>2022007381</v>
          </cell>
          <cell r="B525" t="str">
            <v>Ankit Kumar</v>
          </cell>
          <cell r="C525">
            <v>2201010846</v>
          </cell>
          <cell r="D525" t="str">
            <v>Promoted</v>
          </cell>
        </row>
        <row r="526">
          <cell r="A526">
            <v>2022007403</v>
          </cell>
          <cell r="B526" t="str">
            <v>Alok Kumar</v>
          </cell>
          <cell r="C526">
            <v>2201010847</v>
          </cell>
          <cell r="D526" t="str">
            <v>Promoted</v>
          </cell>
        </row>
        <row r="527">
          <cell r="A527">
            <v>2022007438</v>
          </cell>
          <cell r="B527" t="str">
            <v>Tanu .</v>
          </cell>
          <cell r="C527">
            <v>2201010848</v>
          </cell>
          <cell r="D527" t="str">
            <v>Promoted</v>
          </cell>
        </row>
        <row r="528">
          <cell r="A528">
            <v>2022007449</v>
          </cell>
          <cell r="B528" t="str">
            <v>Ayush Sharma</v>
          </cell>
          <cell r="C528">
            <v>2201010849</v>
          </cell>
          <cell r="D528" t="str">
            <v>Promoted</v>
          </cell>
        </row>
        <row r="529">
          <cell r="A529">
            <v>2022007518</v>
          </cell>
          <cell r="B529" t="str">
            <v>Krishi Sehrawat</v>
          </cell>
          <cell r="C529">
            <v>2201010850</v>
          </cell>
          <cell r="D529" t="str">
            <v>Promoted</v>
          </cell>
        </row>
        <row r="530">
          <cell r="A530">
            <v>2022007543</v>
          </cell>
          <cell r="B530" t="str">
            <v>Dharmender .</v>
          </cell>
          <cell r="C530">
            <v>2201010851</v>
          </cell>
          <cell r="D530" t="str">
            <v>Promoted</v>
          </cell>
        </row>
        <row r="531">
          <cell r="A531">
            <v>2022007615</v>
          </cell>
          <cell r="B531" t="str">
            <v>Lakshya Dixit</v>
          </cell>
          <cell r="C531">
            <v>2201010852</v>
          </cell>
          <cell r="D531" t="str">
            <v>Promoted</v>
          </cell>
        </row>
        <row r="532">
          <cell r="A532">
            <v>2022007629</v>
          </cell>
          <cell r="B532" t="str">
            <v>Akshansu .</v>
          </cell>
          <cell r="C532">
            <v>2201010853</v>
          </cell>
          <cell r="D532" t="str">
            <v>Promoted</v>
          </cell>
        </row>
        <row r="533">
          <cell r="A533">
            <v>2022007635</v>
          </cell>
          <cell r="B533" t="str">
            <v>Ashish Kumar Mahato</v>
          </cell>
          <cell r="C533">
            <v>2201010854</v>
          </cell>
          <cell r="D533" t="str">
            <v>Promoted</v>
          </cell>
        </row>
        <row r="534">
          <cell r="A534">
            <v>2022007676</v>
          </cell>
          <cell r="B534" t="str">
            <v>Sayyed Amaan Ali</v>
          </cell>
          <cell r="C534">
            <v>2201010856</v>
          </cell>
          <cell r="D534" t="str">
            <v>Promoted</v>
          </cell>
        </row>
        <row r="535">
          <cell r="A535">
            <v>2022007677</v>
          </cell>
          <cell r="B535" t="str">
            <v>Bhaven Shah</v>
          </cell>
          <cell r="C535">
            <v>2201010857</v>
          </cell>
          <cell r="D535" t="str">
            <v>Promoted</v>
          </cell>
        </row>
        <row r="536">
          <cell r="A536">
            <v>2022007684</v>
          </cell>
          <cell r="B536" t="str">
            <v>Astha Gupta</v>
          </cell>
          <cell r="C536">
            <v>2201010859</v>
          </cell>
          <cell r="D536" t="str">
            <v>Promoted</v>
          </cell>
        </row>
        <row r="537">
          <cell r="A537">
            <v>2022007718</v>
          </cell>
          <cell r="B537" t="str">
            <v>Nancy Rathee</v>
          </cell>
          <cell r="C537">
            <v>2201010860</v>
          </cell>
          <cell r="D537" t="str">
            <v>Promoted</v>
          </cell>
        </row>
        <row r="538">
          <cell r="A538">
            <v>2022007720</v>
          </cell>
          <cell r="B538" t="str">
            <v>Bhupendra Saini</v>
          </cell>
          <cell r="C538">
            <v>2201010861</v>
          </cell>
          <cell r="D538" t="str">
            <v>Promoted</v>
          </cell>
        </row>
        <row r="539">
          <cell r="A539">
            <v>2022007728</v>
          </cell>
          <cell r="B539" t="str">
            <v>Md Altaf Raza</v>
          </cell>
          <cell r="C539">
            <v>2201010862</v>
          </cell>
          <cell r="D539" t="str">
            <v>Promoted</v>
          </cell>
        </row>
        <row r="540">
          <cell r="A540">
            <v>2022007786</v>
          </cell>
          <cell r="B540" t="str">
            <v>Neeti Gupta</v>
          </cell>
          <cell r="C540">
            <v>2201010863</v>
          </cell>
          <cell r="D540" t="str">
            <v>Promoted</v>
          </cell>
        </row>
        <row r="541">
          <cell r="A541">
            <v>2022007788</v>
          </cell>
          <cell r="B541" t="str">
            <v>Vishal Kumar</v>
          </cell>
          <cell r="C541">
            <v>2201010864</v>
          </cell>
          <cell r="D541" t="str">
            <v>Promoted</v>
          </cell>
        </row>
        <row r="542">
          <cell r="A542">
            <v>2022007795</v>
          </cell>
          <cell r="B542" t="str">
            <v>Hridoy Roy</v>
          </cell>
          <cell r="C542">
            <v>2201010865</v>
          </cell>
          <cell r="D542" t="str">
            <v>Promoted</v>
          </cell>
        </row>
        <row r="543">
          <cell r="A543">
            <v>2022007819</v>
          </cell>
          <cell r="B543" t="str">
            <v>Aman Anand</v>
          </cell>
          <cell r="C543">
            <v>2201010866</v>
          </cell>
          <cell r="D543" t="str">
            <v>Promoted</v>
          </cell>
        </row>
        <row r="544">
          <cell r="A544">
            <v>2022008336</v>
          </cell>
          <cell r="B544" t="str">
            <v>Ahmed M A Ejweli</v>
          </cell>
          <cell r="C544">
            <v>2201010867</v>
          </cell>
          <cell r="D544" t="str">
            <v>Promoted</v>
          </cell>
        </row>
        <row r="545">
          <cell r="A545">
            <v>2022364256</v>
          </cell>
          <cell r="B545" t="str">
            <v>Dhananjay Siwach</v>
          </cell>
          <cell r="C545">
            <v>2201010869</v>
          </cell>
          <cell r="D545" t="str">
            <v>Promoted</v>
          </cell>
        </row>
        <row r="546">
          <cell r="A546">
            <v>2022369268</v>
          </cell>
          <cell r="B546" t="str">
            <v>Sahil Ahmad Shah</v>
          </cell>
          <cell r="C546">
            <v>2201010870</v>
          </cell>
          <cell r="D546" t="str">
            <v>Promoted</v>
          </cell>
        </row>
        <row r="547">
          <cell r="A547">
            <v>2022402175</v>
          </cell>
          <cell r="B547" t="str">
            <v>Saahil Singh</v>
          </cell>
          <cell r="C547">
            <v>2201010871</v>
          </cell>
          <cell r="D547" t="str">
            <v>Promoted</v>
          </cell>
        </row>
        <row r="548">
          <cell r="A548">
            <v>2022485674</v>
          </cell>
          <cell r="B548" t="str">
            <v>Baliram Kumar</v>
          </cell>
          <cell r="C548">
            <v>2201010872</v>
          </cell>
          <cell r="D548" t="str">
            <v>Promoted</v>
          </cell>
        </row>
        <row r="549">
          <cell r="A549">
            <v>2022505059</v>
          </cell>
          <cell r="B549" t="str">
            <v>Aman Kumar</v>
          </cell>
          <cell r="C549">
            <v>2201010875</v>
          </cell>
          <cell r="D549" t="str">
            <v>Promoted</v>
          </cell>
        </row>
        <row r="550">
          <cell r="A550">
            <v>2022528998</v>
          </cell>
          <cell r="B550" t="str">
            <v>Aman Raj</v>
          </cell>
          <cell r="C550">
            <v>2201010876</v>
          </cell>
          <cell r="D550" t="str">
            <v>Promoted</v>
          </cell>
        </row>
        <row r="551">
          <cell r="A551">
            <v>2022536169</v>
          </cell>
          <cell r="B551" t="str">
            <v>Sahil Sikka</v>
          </cell>
          <cell r="C551">
            <v>2201010877</v>
          </cell>
          <cell r="D551" t="str">
            <v>Promoted</v>
          </cell>
        </row>
        <row r="552">
          <cell r="A552">
            <v>2022536274</v>
          </cell>
          <cell r="B552" t="str">
            <v>Himanshu Singh Nirwan</v>
          </cell>
          <cell r="C552">
            <v>2201010878</v>
          </cell>
          <cell r="D552" t="str">
            <v>Promoted</v>
          </cell>
        </row>
        <row r="553">
          <cell r="A553">
            <v>2022540836</v>
          </cell>
          <cell r="B553" t="str">
            <v>Unnati Raikwal</v>
          </cell>
          <cell r="C553">
            <v>2201010879</v>
          </cell>
          <cell r="D553" t="str">
            <v>Promoted</v>
          </cell>
        </row>
        <row r="554">
          <cell r="A554">
            <v>2022545040</v>
          </cell>
          <cell r="B554" t="str">
            <v>Ayush Srivastava</v>
          </cell>
          <cell r="C554">
            <v>2201010880</v>
          </cell>
          <cell r="D554" t="str">
            <v>Promoted</v>
          </cell>
        </row>
        <row r="555">
          <cell r="A555">
            <v>2022555807</v>
          </cell>
          <cell r="B555" t="str">
            <v>Ayush Kumar</v>
          </cell>
          <cell r="C555">
            <v>2201010881</v>
          </cell>
          <cell r="D555" t="str">
            <v>Promoted</v>
          </cell>
        </row>
        <row r="556">
          <cell r="A556">
            <v>2022558410</v>
          </cell>
          <cell r="B556" t="str">
            <v>Md Adnan Ahsani</v>
          </cell>
          <cell r="C556">
            <v>2201010882</v>
          </cell>
          <cell r="D556" t="str">
            <v>Promoted</v>
          </cell>
        </row>
        <row r="557">
          <cell r="A557">
            <v>2022565552</v>
          </cell>
          <cell r="B557" t="str">
            <v>Sahil Kumar</v>
          </cell>
          <cell r="C557">
            <v>2201010883</v>
          </cell>
          <cell r="D557" t="str">
            <v>Promoted</v>
          </cell>
        </row>
        <row r="558">
          <cell r="A558">
            <v>2022573413</v>
          </cell>
          <cell r="B558" t="str">
            <v>Anirban Dutta</v>
          </cell>
          <cell r="C558">
            <v>2201010884</v>
          </cell>
          <cell r="D558" t="str">
            <v>Promoted</v>
          </cell>
        </row>
        <row r="559">
          <cell r="A559">
            <v>2022583301</v>
          </cell>
          <cell r="B559" t="str">
            <v>Utkarsh Singh</v>
          </cell>
          <cell r="C559">
            <v>2201010885</v>
          </cell>
          <cell r="D559" t="str">
            <v>Promoted</v>
          </cell>
        </row>
        <row r="560">
          <cell r="A560">
            <v>2022585888</v>
          </cell>
          <cell r="B560" t="str">
            <v>Md Sahil</v>
          </cell>
          <cell r="C560">
            <v>2201010886</v>
          </cell>
          <cell r="D560" t="str">
            <v>Promoted</v>
          </cell>
        </row>
        <row r="561">
          <cell r="A561">
            <v>2022591296</v>
          </cell>
          <cell r="B561" t="str">
            <v>Anjali Singh</v>
          </cell>
          <cell r="C561">
            <v>2201010887</v>
          </cell>
          <cell r="D561" t="str">
            <v>Promoted</v>
          </cell>
        </row>
        <row r="562">
          <cell r="A562">
            <v>2022591631</v>
          </cell>
          <cell r="B562" t="str">
            <v>Aditya Kumar</v>
          </cell>
          <cell r="C562">
            <v>2201010888</v>
          </cell>
          <cell r="D562" t="str">
            <v>Promoted</v>
          </cell>
        </row>
        <row r="563">
          <cell r="A563">
            <v>2022592906</v>
          </cell>
          <cell r="B563" t="str">
            <v>Purushottam Choudhary</v>
          </cell>
          <cell r="C563">
            <v>2201010889</v>
          </cell>
          <cell r="D563" t="str">
            <v>Promoted</v>
          </cell>
        </row>
        <row r="564">
          <cell r="A564">
            <v>2022594458</v>
          </cell>
          <cell r="B564" t="str">
            <v>Gautam Kumar</v>
          </cell>
          <cell r="C564">
            <v>2201010892</v>
          </cell>
          <cell r="D564" t="str">
            <v>Promoted</v>
          </cell>
        </row>
        <row r="565">
          <cell r="A565">
            <v>2022596015</v>
          </cell>
          <cell r="B565" t="str">
            <v>Abhijeet Kumar</v>
          </cell>
          <cell r="C565">
            <v>2201010893</v>
          </cell>
          <cell r="D565" t="str">
            <v>Promoted</v>
          </cell>
        </row>
        <row r="566">
          <cell r="A566">
            <v>2022604034</v>
          </cell>
          <cell r="B566" t="str">
            <v>Harsh Sharma</v>
          </cell>
          <cell r="C566">
            <v>2201010895</v>
          </cell>
          <cell r="D566" t="str">
            <v>Promoted</v>
          </cell>
        </row>
        <row r="567">
          <cell r="A567">
            <v>2022607404</v>
          </cell>
          <cell r="B567" t="str">
            <v>Kadugula Joel</v>
          </cell>
          <cell r="C567">
            <v>2201010896</v>
          </cell>
          <cell r="D567" t="str">
            <v>Promoted</v>
          </cell>
        </row>
        <row r="568">
          <cell r="A568">
            <v>2022608746</v>
          </cell>
          <cell r="B568" t="str">
            <v>Vidhi Bansal</v>
          </cell>
          <cell r="C568">
            <v>2201010898</v>
          </cell>
          <cell r="D568" t="str">
            <v>Promoted</v>
          </cell>
        </row>
        <row r="569">
          <cell r="A569">
            <v>2022609610</v>
          </cell>
          <cell r="B569" t="str">
            <v>Abhishek Kumar</v>
          </cell>
          <cell r="C569">
            <v>2201010899</v>
          </cell>
          <cell r="D569" t="str">
            <v>Promoted</v>
          </cell>
        </row>
        <row r="570">
          <cell r="A570">
            <v>2022610409</v>
          </cell>
          <cell r="B570" t="str">
            <v>Shivam Niranjan</v>
          </cell>
          <cell r="C570">
            <v>2201010900</v>
          </cell>
          <cell r="D570" t="str">
            <v>Promoted</v>
          </cell>
        </row>
        <row r="571">
          <cell r="A571">
            <v>2022614550</v>
          </cell>
          <cell r="B571" t="str">
            <v>Raikindi Sravan Kumar</v>
          </cell>
          <cell r="C571">
            <v>2201010901</v>
          </cell>
          <cell r="D571" t="str">
            <v>Promoted</v>
          </cell>
        </row>
        <row r="572">
          <cell r="A572">
            <v>2022615611</v>
          </cell>
          <cell r="B572" t="str">
            <v>Syed Farheen</v>
          </cell>
          <cell r="C572">
            <v>2201010902</v>
          </cell>
          <cell r="D572" t="str">
            <v>Promoted</v>
          </cell>
        </row>
        <row r="573">
          <cell r="A573">
            <v>2022621767</v>
          </cell>
          <cell r="B573" t="str">
            <v>Anagh C Nambiar</v>
          </cell>
          <cell r="C573">
            <v>2201010905</v>
          </cell>
          <cell r="D573" t="str">
            <v>Promoted</v>
          </cell>
        </row>
        <row r="574">
          <cell r="A574">
            <v>2022624445</v>
          </cell>
          <cell r="B574" t="str">
            <v>Anshuman Gautam</v>
          </cell>
          <cell r="C574">
            <v>2201010906</v>
          </cell>
          <cell r="D574" t="str">
            <v>Promoted</v>
          </cell>
        </row>
        <row r="575">
          <cell r="A575">
            <v>2022624448</v>
          </cell>
          <cell r="B575" t="str">
            <v>Priyanshu Raj</v>
          </cell>
          <cell r="C575">
            <v>2201010907</v>
          </cell>
          <cell r="D575" t="str">
            <v>Promoted</v>
          </cell>
        </row>
        <row r="576">
          <cell r="A576">
            <v>2022831961</v>
          </cell>
          <cell r="B576" t="str">
            <v>Togon Chakma</v>
          </cell>
          <cell r="C576">
            <v>2201010909</v>
          </cell>
          <cell r="D576" t="str">
            <v>Promoted</v>
          </cell>
        </row>
        <row r="577">
          <cell r="A577">
            <v>2022835895</v>
          </cell>
          <cell r="B577" t="str">
            <v>Pranyush Jha</v>
          </cell>
          <cell r="C577">
            <v>2201010910</v>
          </cell>
          <cell r="D577" t="str">
            <v>Promoted</v>
          </cell>
        </row>
        <row r="578">
          <cell r="A578">
            <v>2022836161</v>
          </cell>
          <cell r="B578" t="str">
            <v>Avik Roy</v>
          </cell>
          <cell r="C578">
            <v>2201010911</v>
          </cell>
          <cell r="D578" t="str">
            <v>Promoted</v>
          </cell>
        </row>
        <row r="579">
          <cell r="A579">
            <v>2022837427</v>
          </cell>
          <cell r="B579" t="str">
            <v>Sarthak Sanghai</v>
          </cell>
          <cell r="C579">
            <v>2201010913</v>
          </cell>
          <cell r="D579" t="str">
            <v>Promoted</v>
          </cell>
        </row>
        <row r="580">
          <cell r="A580">
            <v>2023000910</v>
          </cell>
          <cell r="B580" t="str">
            <v>Abhay Mishra</v>
          </cell>
          <cell r="C580">
            <v>2301017001</v>
          </cell>
          <cell r="D580" t="str">
            <v>Promoted</v>
          </cell>
        </row>
        <row r="581">
          <cell r="A581">
            <v>2023322783</v>
          </cell>
          <cell r="B581" t="str">
            <v>Avinash Chauhan</v>
          </cell>
          <cell r="C581">
            <v>2301017004</v>
          </cell>
          <cell r="D581" t="str">
            <v>Promoted</v>
          </cell>
        </row>
        <row r="582">
          <cell r="A582">
            <v>2023263567</v>
          </cell>
          <cell r="B582" t="str">
            <v>Ayush Kumar</v>
          </cell>
          <cell r="C582">
            <v>2301017005</v>
          </cell>
          <cell r="D582" t="str">
            <v>Promoted</v>
          </cell>
        </row>
        <row r="583">
          <cell r="A583">
            <v>2023526347</v>
          </cell>
          <cell r="B583" t="str">
            <v>Harshit Gautam</v>
          </cell>
          <cell r="C583">
            <v>2301017007</v>
          </cell>
          <cell r="D583" t="str">
            <v>Promoted</v>
          </cell>
        </row>
        <row r="584">
          <cell r="A584">
            <v>2023205860</v>
          </cell>
          <cell r="B584" t="str">
            <v>Niranjan Kumar</v>
          </cell>
          <cell r="C584">
            <v>2301017011</v>
          </cell>
          <cell r="D584" t="str">
            <v>Promoted</v>
          </cell>
        </row>
        <row r="585">
          <cell r="A585">
            <v>2023583466</v>
          </cell>
          <cell r="B585" t="str">
            <v>Prashid Shanker</v>
          </cell>
          <cell r="C585">
            <v>2301017012</v>
          </cell>
          <cell r="D585" t="str">
            <v>Promoted</v>
          </cell>
        </row>
        <row r="586">
          <cell r="A586">
            <v>2023521223</v>
          </cell>
          <cell r="B586" t="str">
            <v>Sahil Goswami</v>
          </cell>
          <cell r="C586">
            <v>2301017014</v>
          </cell>
          <cell r="D586" t="str">
            <v>Promoted</v>
          </cell>
        </row>
        <row r="587">
          <cell r="A587">
            <v>2023524672</v>
          </cell>
          <cell r="B587" t="str">
            <v>Sudiksha Bhogal</v>
          </cell>
          <cell r="C587">
            <v>2301017018</v>
          </cell>
          <cell r="D587" t="str">
            <v>Promoted</v>
          </cell>
        </row>
        <row r="588">
          <cell r="A588">
            <v>2023500162</v>
          </cell>
          <cell r="B588" t="str">
            <v>Tauhid Hashmi</v>
          </cell>
          <cell r="C588">
            <v>2301017020</v>
          </cell>
          <cell r="D588" t="str">
            <v>Promoted</v>
          </cell>
        </row>
        <row r="589">
          <cell r="A589">
            <v>2021390811</v>
          </cell>
          <cell r="B589" t="str">
            <v>Karan Puri</v>
          </cell>
          <cell r="C589">
            <v>210101238</v>
          </cell>
          <cell r="D589" t="str">
            <v>Promoted</v>
          </cell>
        </row>
        <row r="590">
          <cell r="A590">
            <v>2021472701</v>
          </cell>
          <cell r="B590" t="str">
            <v>Shreyansh Tiwari</v>
          </cell>
          <cell r="C590">
            <v>210101476</v>
          </cell>
          <cell r="D590" t="str">
            <v>Promoted</v>
          </cell>
        </row>
        <row r="591">
          <cell r="A591">
            <v>2021369165</v>
          </cell>
          <cell r="B591" t="str">
            <v>Moh Toheed</v>
          </cell>
          <cell r="C591">
            <v>2101134004</v>
          </cell>
          <cell r="D591" t="str">
            <v>Promoted</v>
          </cell>
        </row>
        <row r="592">
          <cell r="A592">
            <v>2022003160</v>
          </cell>
          <cell r="B592" t="str">
            <v>Aadesh Kumar</v>
          </cell>
          <cell r="C592">
            <v>2201010002</v>
          </cell>
          <cell r="D592" t="str">
            <v>Promoted</v>
          </cell>
        </row>
        <row r="593">
          <cell r="A593">
            <v>2022486764</v>
          </cell>
          <cell r="B593" t="str">
            <v>Aaisha Siddiqah</v>
          </cell>
          <cell r="C593">
            <v>2201010004</v>
          </cell>
          <cell r="D593" t="str">
            <v>Promoted</v>
          </cell>
        </row>
        <row r="594">
          <cell r="A594">
            <v>2022004949</v>
          </cell>
          <cell r="B594" t="str">
            <v>Aaradhya Raj</v>
          </cell>
          <cell r="C594">
            <v>2201010006</v>
          </cell>
          <cell r="D594" t="str">
            <v>Promoted</v>
          </cell>
        </row>
        <row r="595">
          <cell r="A595">
            <v>2022380686</v>
          </cell>
          <cell r="B595" t="str">
            <v>Abdul Rehman</v>
          </cell>
          <cell r="C595">
            <v>2201010011</v>
          </cell>
          <cell r="D595" t="str">
            <v>Promoted</v>
          </cell>
        </row>
        <row r="596">
          <cell r="A596">
            <v>2022516040</v>
          </cell>
          <cell r="B596" t="str">
            <v>Abhinav Singh Negi</v>
          </cell>
          <cell r="C596">
            <v>2201010020</v>
          </cell>
          <cell r="D596" t="str">
            <v>Promoted</v>
          </cell>
        </row>
        <row r="597">
          <cell r="A597">
            <v>2022354445</v>
          </cell>
          <cell r="B597" t="str">
            <v>Abhinav Thapliyal</v>
          </cell>
          <cell r="C597">
            <v>2201010021</v>
          </cell>
          <cell r="D597" t="str">
            <v>Promoted</v>
          </cell>
        </row>
        <row r="598">
          <cell r="A598">
            <v>2022460612</v>
          </cell>
          <cell r="B598" t="str">
            <v>Abhishek Yadav</v>
          </cell>
          <cell r="C598">
            <v>2201010026</v>
          </cell>
          <cell r="D598" t="str">
            <v>Promoted</v>
          </cell>
        </row>
        <row r="599">
          <cell r="A599">
            <v>2022006640</v>
          </cell>
          <cell r="B599" t="str">
            <v>Abhitab Singh</v>
          </cell>
          <cell r="C599">
            <v>2201010027</v>
          </cell>
          <cell r="D599" t="str">
            <v>Promoted</v>
          </cell>
        </row>
        <row r="600">
          <cell r="A600">
            <v>2022445444</v>
          </cell>
          <cell r="B600" t="str">
            <v>Abiral Upadhyay</v>
          </cell>
          <cell r="C600">
            <v>2201010028</v>
          </cell>
          <cell r="D600" t="str">
            <v>Promoted</v>
          </cell>
        </row>
        <row r="601">
          <cell r="A601">
            <v>2022386358</v>
          </cell>
          <cell r="B601" t="str">
            <v>Adarsh Lakhanpal</v>
          </cell>
          <cell r="C601">
            <v>2201010033</v>
          </cell>
          <cell r="D601" t="str">
            <v>Promoted</v>
          </cell>
        </row>
        <row r="602">
          <cell r="A602">
            <v>2022004657</v>
          </cell>
          <cell r="B602" t="str">
            <v>Adarsh Tiwari</v>
          </cell>
          <cell r="C602">
            <v>2201010035</v>
          </cell>
          <cell r="D602" t="str">
            <v>Promoted</v>
          </cell>
        </row>
        <row r="603">
          <cell r="A603">
            <v>2022489115</v>
          </cell>
          <cell r="B603" t="str">
            <v>Adeem Gul</v>
          </cell>
          <cell r="C603">
            <v>2201010036</v>
          </cell>
          <cell r="D603" t="str">
            <v>Promoted</v>
          </cell>
        </row>
        <row r="604">
          <cell r="A604">
            <v>2022508637</v>
          </cell>
          <cell r="B604" t="str">
            <v>Akarsh Katiyar</v>
          </cell>
          <cell r="C604">
            <v>2201010060</v>
          </cell>
          <cell r="D604" t="str">
            <v>Promoted</v>
          </cell>
        </row>
        <row r="605">
          <cell r="A605">
            <v>2022510612</v>
          </cell>
          <cell r="B605" t="str">
            <v>Akshi Dagar</v>
          </cell>
          <cell r="C605">
            <v>2201010068</v>
          </cell>
          <cell r="D605" t="str">
            <v>Promoted</v>
          </cell>
        </row>
        <row r="606">
          <cell r="A606">
            <v>2022002974</v>
          </cell>
          <cell r="B606" t="str">
            <v>Aman Chand</v>
          </cell>
          <cell r="C606">
            <v>2201010074</v>
          </cell>
          <cell r="D606" t="str">
            <v>Promoted</v>
          </cell>
        </row>
        <row r="607">
          <cell r="A607">
            <v>2022006849</v>
          </cell>
          <cell r="B607" t="str">
            <v>Ankesh Anand</v>
          </cell>
          <cell r="C607">
            <v>2201010092</v>
          </cell>
          <cell r="D607" t="str">
            <v>Promoted</v>
          </cell>
        </row>
        <row r="608">
          <cell r="A608">
            <v>2022004729</v>
          </cell>
          <cell r="B608" t="str">
            <v>Anshuman .</v>
          </cell>
          <cell r="C608">
            <v>2201010104</v>
          </cell>
          <cell r="D608" t="str">
            <v>Promoted</v>
          </cell>
        </row>
        <row r="609">
          <cell r="A609">
            <v>2022589100</v>
          </cell>
          <cell r="B609" t="str">
            <v>Antriksh Singh Rawat</v>
          </cell>
          <cell r="C609">
            <v>2201010107</v>
          </cell>
          <cell r="D609" t="str">
            <v>Promoted</v>
          </cell>
        </row>
        <row r="610">
          <cell r="A610">
            <v>2022405043</v>
          </cell>
          <cell r="B610" t="str">
            <v>Anuj Singh</v>
          </cell>
          <cell r="C610">
            <v>2201010112</v>
          </cell>
          <cell r="D610" t="str">
            <v>Promoted</v>
          </cell>
        </row>
        <row r="611">
          <cell r="A611">
            <v>2022445607</v>
          </cell>
          <cell r="B611" t="str">
            <v>Arvind Pratap Tripathi</v>
          </cell>
          <cell r="C611">
            <v>2201010136</v>
          </cell>
          <cell r="D611" t="str">
            <v>Promoted</v>
          </cell>
        </row>
        <row r="612">
          <cell r="A612">
            <v>2022003451</v>
          </cell>
          <cell r="B612" t="str">
            <v>Aryan Singh</v>
          </cell>
          <cell r="C612">
            <v>2201010147</v>
          </cell>
          <cell r="D612" t="str">
            <v>Promoted</v>
          </cell>
        </row>
        <row r="613">
          <cell r="A613">
            <v>2022005224</v>
          </cell>
          <cell r="B613" t="str">
            <v>Ashwani Kumar Mishra</v>
          </cell>
          <cell r="C613">
            <v>2201010158</v>
          </cell>
          <cell r="D613" t="str">
            <v>Promoted</v>
          </cell>
        </row>
        <row r="614">
          <cell r="A614">
            <v>2022002716</v>
          </cell>
          <cell r="B614" t="str">
            <v>Avni Nehru</v>
          </cell>
          <cell r="C614">
            <v>2201010165</v>
          </cell>
          <cell r="D614" t="str">
            <v>Promoted</v>
          </cell>
        </row>
        <row r="615">
          <cell r="A615">
            <v>2022305160</v>
          </cell>
          <cell r="B615" t="str">
            <v>Ayinaparthi Kirti Meghana</v>
          </cell>
          <cell r="C615">
            <v>2201010168</v>
          </cell>
          <cell r="D615" t="str">
            <v>Promoted</v>
          </cell>
        </row>
        <row r="616">
          <cell r="A616">
            <v>2022512918</v>
          </cell>
          <cell r="B616" t="str">
            <v>Ayush Grover</v>
          </cell>
          <cell r="C616">
            <v>2201010170</v>
          </cell>
          <cell r="D616" t="str">
            <v>Promoted</v>
          </cell>
        </row>
        <row r="617">
          <cell r="A617">
            <v>2022006161</v>
          </cell>
          <cell r="B617" t="str">
            <v>Ayush Singh</v>
          </cell>
          <cell r="C617">
            <v>2201010172</v>
          </cell>
          <cell r="D617" t="str">
            <v>Promoted</v>
          </cell>
        </row>
        <row r="618">
          <cell r="A618">
            <v>2022421393</v>
          </cell>
          <cell r="B618" t="str">
            <v>Bhavya Gaba</v>
          </cell>
          <cell r="C618">
            <v>2201010177</v>
          </cell>
          <cell r="D618" t="str">
            <v>Promoted</v>
          </cell>
        </row>
        <row r="619">
          <cell r="A619">
            <v>2022408489</v>
          </cell>
          <cell r="B619" t="str">
            <v>Bikash Ranjan Sabat</v>
          </cell>
          <cell r="C619">
            <v>2201010180</v>
          </cell>
          <cell r="D619" t="str">
            <v>Promoted</v>
          </cell>
        </row>
        <row r="620">
          <cell r="A620">
            <v>2022509542</v>
          </cell>
          <cell r="B620" t="str">
            <v>Chaman Preet</v>
          </cell>
          <cell r="C620">
            <v>2201010186</v>
          </cell>
          <cell r="D620" t="str">
            <v>Promoted</v>
          </cell>
        </row>
        <row r="621">
          <cell r="A621">
            <v>2022309968</v>
          </cell>
          <cell r="B621" t="str">
            <v>Chirag Kumar</v>
          </cell>
          <cell r="C621">
            <v>2201010192</v>
          </cell>
          <cell r="D621" t="str">
            <v>Promoted</v>
          </cell>
        </row>
        <row r="622">
          <cell r="A622">
            <v>2022361815</v>
          </cell>
          <cell r="B622" t="str">
            <v>Chirag Singh Pundir</v>
          </cell>
          <cell r="C622">
            <v>2201010195</v>
          </cell>
          <cell r="D622" t="str">
            <v>Promoted</v>
          </cell>
        </row>
        <row r="623">
          <cell r="A623">
            <v>2022360947</v>
          </cell>
          <cell r="B623" t="str">
            <v>Daniel Soubam</v>
          </cell>
          <cell r="C623">
            <v>2201010200</v>
          </cell>
          <cell r="D623" t="str">
            <v>Promoted</v>
          </cell>
        </row>
        <row r="624">
          <cell r="A624">
            <v>2022473465</v>
          </cell>
          <cell r="B624" t="str">
            <v>Deepanshu Talan</v>
          </cell>
          <cell r="C624">
            <v>2201010205</v>
          </cell>
          <cell r="D624" t="str">
            <v>Promoted</v>
          </cell>
        </row>
        <row r="625">
          <cell r="A625">
            <v>2022520080</v>
          </cell>
          <cell r="B625" t="str">
            <v>Deepayan Thakur</v>
          </cell>
          <cell r="C625">
            <v>2201010206</v>
          </cell>
          <cell r="D625" t="str">
            <v>Promoted</v>
          </cell>
        </row>
        <row r="626">
          <cell r="A626">
            <v>2022487026</v>
          </cell>
          <cell r="B626" t="str">
            <v>Dheeraj Kumar Yadav</v>
          </cell>
          <cell r="C626">
            <v>2201010216</v>
          </cell>
          <cell r="D626" t="str">
            <v>Promoted</v>
          </cell>
        </row>
        <row r="627">
          <cell r="A627">
            <v>2022345074</v>
          </cell>
          <cell r="B627" t="str">
            <v>Divya .</v>
          </cell>
          <cell r="C627">
            <v>2201010223</v>
          </cell>
          <cell r="D627" t="str">
            <v>Promoted</v>
          </cell>
        </row>
        <row r="628">
          <cell r="A628">
            <v>2022000299</v>
          </cell>
          <cell r="B628" t="str">
            <v>Divyansh Bhardwaj</v>
          </cell>
          <cell r="C628">
            <v>2201010226</v>
          </cell>
          <cell r="D628" t="str">
            <v>Promoted</v>
          </cell>
        </row>
        <row r="629">
          <cell r="A629">
            <v>2022509891</v>
          </cell>
          <cell r="B629" t="str">
            <v>Garv Ruhella</v>
          </cell>
          <cell r="C629">
            <v>2201010242</v>
          </cell>
          <cell r="D629" t="str">
            <v>Promoted</v>
          </cell>
        </row>
        <row r="630">
          <cell r="A630">
            <v>2022536194</v>
          </cell>
          <cell r="B630" t="str">
            <v>Gopal Sharma</v>
          </cell>
          <cell r="C630">
            <v>2201010250</v>
          </cell>
          <cell r="D630" t="str">
            <v>Promoted</v>
          </cell>
        </row>
        <row r="631">
          <cell r="A631">
            <v>2022005315</v>
          </cell>
          <cell r="B631" t="str">
            <v>Gulshan Baghel</v>
          </cell>
          <cell r="C631">
            <v>2201010255</v>
          </cell>
          <cell r="D631" t="str">
            <v>Promoted</v>
          </cell>
        </row>
        <row r="632">
          <cell r="A632">
            <v>2022472743</v>
          </cell>
          <cell r="B632" t="str">
            <v>Gunjan Kumar</v>
          </cell>
          <cell r="C632">
            <v>2201010256</v>
          </cell>
          <cell r="D632" t="str">
            <v>Promoted</v>
          </cell>
        </row>
        <row r="633">
          <cell r="A633">
            <v>2022554328</v>
          </cell>
          <cell r="B633" t="str">
            <v>Harsh Bhati</v>
          </cell>
          <cell r="C633">
            <v>2201010262</v>
          </cell>
          <cell r="D633" t="str">
            <v>Promoted</v>
          </cell>
        </row>
        <row r="634">
          <cell r="A634">
            <v>2022005900</v>
          </cell>
          <cell r="B634" t="str">
            <v>Harsh Gupta</v>
          </cell>
          <cell r="C634">
            <v>2201010265</v>
          </cell>
          <cell r="D634" t="str">
            <v>Promoted</v>
          </cell>
        </row>
        <row r="635">
          <cell r="A635">
            <v>2022004383</v>
          </cell>
          <cell r="B635" t="str">
            <v>Harshit .</v>
          </cell>
          <cell r="C635">
            <v>2201010277</v>
          </cell>
          <cell r="D635" t="str">
            <v>Promoted</v>
          </cell>
        </row>
        <row r="636">
          <cell r="A636">
            <v>2022477650</v>
          </cell>
          <cell r="B636" t="str">
            <v>Himanshu Singh</v>
          </cell>
          <cell r="C636">
            <v>2201010287</v>
          </cell>
          <cell r="D636" t="str">
            <v>Promoted</v>
          </cell>
        </row>
        <row r="637">
          <cell r="A637">
            <v>2022572764</v>
          </cell>
          <cell r="B637" t="str">
            <v>Hunar Sajjan Agrawal</v>
          </cell>
          <cell r="C637">
            <v>2201010290</v>
          </cell>
          <cell r="D637" t="str">
            <v>Promoted</v>
          </cell>
        </row>
        <row r="638">
          <cell r="A638">
            <v>2022451567</v>
          </cell>
          <cell r="B638" t="str">
            <v>Isaac Massey</v>
          </cell>
          <cell r="C638">
            <v>2201010291</v>
          </cell>
          <cell r="D638" t="str">
            <v>Promoted</v>
          </cell>
        </row>
        <row r="639">
          <cell r="A639">
            <v>2022416375</v>
          </cell>
          <cell r="B639" t="str">
            <v>Ishika Tomar</v>
          </cell>
          <cell r="C639">
            <v>2201010295</v>
          </cell>
          <cell r="D639" t="str">
            <v>Promoted</v>
          </cell>
        </row>
        <row r="640">
          <cell r="A640">
            <v>2022003541</v>
          </cell>
          <cell r="B640" t="str">
            <v>Jigisha Mourya</v>
          </cell>
          <cell r="C640">
            <v>2201010309</v>
          </cell>
          <cell r="D640" t="str">
            <v>Promoted</v>
          </cell>
        </row>
        <row r="641">
          <cell r="A641">
            <v>2022000628</v>
          </cell>
          <cell r="B641" t="str">
            <v>Kaif Akram</v>
          </cell>
          <cell r="C641">
            <v>2201010313</v>
          </cell>
          <cell r="D641" t="str">
            <v>Promoted</v>
          </cell>
        </row>
        <row r="642">
          <cell r="A642">
            <v>2022543048</v>
          </cell>
          <cell r="B642" t="str">
            <v>Kambam Sai Charan</v>
          </cell>
          <cell r="C642">
            <v>2201010315</v>
          </cell>
          <cell r="D642" t="str">
            <v>Promoted</v>
          </cell>
        </row>
        <row r="643">
          <cell r="A643">
            <v>2022501831</v>
          </cell>
          <cell r="B643" t="str">
            <v>Kartikay Sharma</v>
          </cell>
          <cell r="C643">
            <v>2201010320</v>
          </cell>
          <cell r="D643" t="str">
            <v>Promoted</v>
          </cell>
        </row>
        <row r="644">
          <cell r="A644">
            <v>2022304714</v>
          </cell>
          <cell r="B644" t="str">
            <v>Kartikey Shukla</v>
          </cell>
          <cell r="C644">
            <v>2201010321</v>
          </cell>
          <cell r="D644" t="str">
            <v>Promoted</v>
          </cell>
        </row>
        <row r="645">
          <cell r="A645">
            <v>2022484080</v>
          </cell>
          <cell r="B645" t="str">
            <v>Kashish .</v>
          </cell>
          <cell r="C645">
            <v>2201010322</v>
          </cell>
          <cell r="D645" t="str">
            <v>Promoted</v>
          </cell>
        </row>
        <row r="646">
          <cell r="A646">
            <v>2022321571</v>
          </cell>
          <cell r="B646" t="str">
            <v>Krish Babbar</v>
          </cell>
          <cell r="C646">
            <v>2201010336</v>
          </cell>
          <cell r="D646" t="str">
            <v>Promoted</v>
          </cell>
        </row>
        <row r="647">
          <cell r="A647">
            <v>2022006436</v>
          </cell>
          <cell r="B647" t="str">
            <v>Krishna Kumar Choudhary</v>
          </cell>
          <cell r="C647">
            <v>2201010338</v>
          </cell>
          <cell r="D647" t="str">
            <v>Promoted</v>
          </cell>
        </row>
        <row r="648">
          <cell r="A648">
            <v>2022005401</v>
          </cell>
          <cell r="B648" t="str">
            <v>Kritika Singh</v>
          </cell>
          <cell r="C648">
            <v>2201010341</v>
          </cell>
          <cell r="D648" t="str">
            <v>Promoted</v>
          </cell>
        </row>
        <row r="649">
          <cell r="A649">
            <v>2022502804</v>
          </cell>
          <cell r="B649" t="str">
            <v>Kritika Upadhyay</v>
          </cell>
          <cell r="C649">
            <v>2201010342</v>
          </cell>
          <cell r="D649" t="str">
            <v>Promoted</v>
          </cell>
        </row>
        <row r="650">
          <cell r="A650">
            <v>2022512289</v>
          </cell>
          <cell r="B650" t="str">
            <v>Manav Mehta</v>
          </cell>
          <cell r="C650">
            <v>2201010366</v>
          </cell>
          <cell r="D650" t="str">
            <v>Promoted</v>
          </cell>
        </row>
        <row r="651">
          <cell r="A651">
            <v>2022503936</v>
          </cell>
          <cell r="B651" t="str">
            <v>Manav Verma</v>
          </cell>
          <cell r="C651">
            <v>2201010368</v>
          </cell>
          <cell r="D651" t="str">
            <v>Promoted</v>
          </cell>
        </row>
        <row r="652">
          <cell r="A652">
            <v>2022001992</v>
          </cell>
          <cell r="B652" t="str">
            <v>Manish Kumar</v>
          </cell>
          <cell r="C652">
            <v>2201010371</v>
          </cell>
          <cell r="D652" t="str">
            <v>Promoted</v>
          </cell>
        </row>
        <row r="653">
          <cell r="A653">
            <v>2022006647</v>
          </cell>
          <cell r="B653" t="str">
            <v>Md Ahsan</v>
          </cell>
          <cell r="C653">
            <v>2201010388</v>
          </cell>
          <cell r="D653" t="str">
            <v>Promoted</v>
          </cell>
        </row>
        <row r="654">
          <cell r="A654">
            <v>2022811762</v>
          </cell>
          <cell r="B654" t="str">
            <v>Md. Moudud Ahmed Misil</v>
          </cell>
          <cell r="C654">
            <v>2201010398</v>
          </cell>
          <cell r="D654" t="str">
            <v>Promoted</v>
          </cell>
        </row>
        <row r="655">
          <cell r="A655">
            <v>2022449092</v>
          </cell>
          <cell r="B655" t="str">
            <v>Mehak Parashar</v>
          </cell>
          <cell r="C655">
            <v>2201010400</v>
          </cell>
          <cell r="D655" t="str">
            <v>Promoted</v>
          </cell>
        </row>
        <row r="656">
          <cell r="A656">
            <v>2022505589</v>
          </cell>
          <cell r="B656" t="str">
            <v>Mohammad Aamir Sohail</v>
          </cell>
          <cell r="C656">
            <v>2201010407</v>
          </cell>
          <cell r="D656" t="str">
            <v>Promoted</v>
          </cell>
        </row>
        <row r="657">
          <cell r="A657">
            <v>2022464237</v>
          </cell>
          <cell r="B657" t="str">
            <v>Mohammad Ramiz</v>
          </cell>
          <cell r="C657">
            <v>2201010411</v>
          </cell>
          <cell r="D657" t="str">
            <v>Promoted</v>
          </cell>
        </row>
        <row r="658">
          <cell r="A658">
            <v>2022420368</v>
          </cell>
          <cell r="B658" t="str">
            <v>Mohd Kashif</v>
          </cell>
          <cell r="C658">
            <v>2201010423</v>
          </cell>
          <cell r="D658" t="str">
            <v>Promoted</v>
          </cell>
        </row>
        <row r="659">
          <cell r="A659">
            <v>2022574378</v>
          </cell>
          <cell r="B659" t="str">
            <v>Mohd Sufyan</v>
          </cell>
          <cell r="C659">
            <v>2201010426</v>
          </cell>
          <cell r="D659" t="str">
            <v>Promoted</v>
          </cell>
        </row>
        <row r="660">
          <cell r="A660">
            <v>2022539044</v>
          </cell>
          <cell r="B660" t="str">
            <v>Mokara Praneetha</v>
          </cell>
          <cell r="C660">
            <v>2201010434</v>
          </cell>
          <cell r="D660" t="str">
            <v>Promoted</v>
          </cell>
        </row>
        <row r="661">
          <cell r="A661">
            <v>2022834880</v>
          </cell>
          <cell r="B661" t="str">
            <v>Anmol Kumar Sah</v>
          </cell>
          <cell r="C661">
            <v>2201010440</v>
          </cell>
          <cell r="D661" t="str">
            <v>Promoted</v>
          </cell>
        </row>
        <row r="662">
          <cell r="A662">
            <v>2022511920</v>
          </cell>
          <cell r="B662" t="str">
            <v>Mridul Hemrajani</v>
          </cell>
          <cell r="C662">
            <v>2201010446</v>
          </cell>
          <cell r="D662" t="str">
            <v>Promoted</v>
          </cell>
        </row>
        <row r="663">
          <cell r="A663">
            <v>2022006421</v>
          </cell>
          <cell r="B663" t="str">
            <v>Muqtar Ali</v>
          </cell>
          <cell r="C663">
            <v>2201010450</v>
          </cell>
          <cell r="D663" t="str">
            <v>Promoted</v>
          </cell>
        </row>
        <row r="664">
          <cell r="A664">
            <v>2022390387</v>
          </cell>
          <cell r="B664" t="str">
            <v>Naman Saini</v>
          </cell>
          <cell r="C664">
            <v>2201010455</v>
          </cell>
          <cell r="D664" t="str">
            <v>Promoted</v>
          </cell>
        </row>
        <row r="665">
          <cell r="A665">
            <v>2022005748</v>
          </cell>
          <cell r="B665" t="str">
            <v>Naveen Kumar Singh</v>
          </cell>
          <cell r="C665">
            <v>2201010460</v>
          </cell>
          <cell r="D665" t="str">
            <v>Promoted</v>
          </cell>
        </row>
        <row r="666">
          <cell r="A666">
            <v>2022507071</v>
          </cell>
          <cell r="B666" t="str">
            <v>Navika Chauhan</v>
          </cell>
          <cell r="C666">
            <v>2201010461</v>
          </cell>
          <cell r="D666" t="str">
            <v>Promoted</v>
          </cell>
        </row>
        <row r="667">
          <cell r="A667">
            <v>2022002243</v>
          </cell>
          <cell r="B667" t="str">
            <v>Navya John</v>
          </cell>
          <cell r="C667">
            <v>2201010462</v>
          </cell>
          <cell r="D667" t="str">
            <v>Promoted</v>
          </cell>
        </row>
        <row r="668">
          <cell r="A668">
            <v>2022001306</v>
          </cell>
          <cell r="B668" t="str">
            <v>Nikhil Kumar Mishra</v>
          </cell>
          <cell r="C668">
            <v>2201010469</v>
          </cell>
          <cell r="D668" t="str">
            <v>Promoted</v>
          </cell>
        </row>
        <row r="669">
          <cell r="A669">
            <v>2022451626</v>
          </cell>
          <cell r="B669" t="str">
            <v>Nikhil Shukla</v>
          </cell>
          <cell r="C669">
            <v>2201010471</v>
          </cell>
          <cell r="D669" t="str">
            <v>Promoted</v>
          </cell>
        </row>
        <row r="670">
          <cell r="A670">
            <v>2022549867</v>
          </cell>
          <cell r="B670" t="str">
            <v>Nishant Yadav</v>
          </cell>
          <cell r="C670">
            <v>2201010478</v>
          </cell>
          <cell r="D670" t="str">
            <v>Promoted</v>
          </cell>
        </row>
        <row r="671">
          <cell r="A671">
            <v>2022361106</v>
          </cell>
          <cell r="B671" t="str">
            <v>Nitesh Saxena</v>
          </cell>
          <cell r="C671">
            <v>2201010482</v>
          </cell>
          <cell r="D671" t="str">
            <v>Promoted</v>
          </cell>
        </row>
        <row r="672">
          <cell r="A672">
            <v>2022515421</v>
          </cell>
          <cell r="B672" t="str">
            <v>Nitya Singh</v>
          </cell>
          <cell r="C672">
            <v>2201010484</v>
          </cell>
          <cell r="D672" t="str">
            <v>Promoted</v>
          </cell>
        </row>
        <row r="673">
          <cell r="A673">
            <v>2022404434</v>
          </cell>
          <cell r="B673" t="str">
            <v>Nupur Srivastava</v>
          </cell>
          <cell r="C673">
            <v>2201010486</v>
          </cell>
          <cell r="D673" t="str">
            <v>Promoted</v>
          </cell>
        </row>
        <row r="674">
          <cell r="A674">
            <v>2022494330</v>
          </cell>
          <cell r="B674" t="str">
            <v>Pallav Prakash</v>
          </cell>
          <cell r="C674">
            <v>2201010492</v>
          </cell>
          <cell r="D674" t="str">
            <v>Promoted</v>
          </cell>
        </row>
        <row r="675">
          <cell r="A675">
            <v>2022504250</v>
          </cell>
          <cell r="B675" t="str">
            <v>Prabhat Parmar</v>
          </cell>
          <cell r="C675">
            <v>2201010508</v>
          </cell>
          <cell r="D675" t="str">
            <v>Promoted</v>
          </cell>
        </row>
        <row r="676">
          <cell r="A676">
            <v>2022003855</v>
          </cell>
          <cell r="B676" t="str">
            <v>Prateek Singh</v>
          </cell>
          <cell r="C676">
            <v>2201010516</v>
          </cell>
          <cell r="D676" t="str">
            <v>Promoted</v>
          </cell>
        </row>
        <row r="677">
          <cell r="A677">
            <v>2022561375</v>
          </cell>
          <cell r="B677" t="str">
            <v>Prince Tyagi</v>
          </cell>
          <cell r="C677">
            <v>2201010525</v>
          </cell>
          <cell r="D677" t="str">
            <v>Promoted</v>
          </cell>
        </row>
        <row r="678">
          <cell r="A678">
            <v>2022409593</v>
          </cell>
          <cell r="B678" t="str">
            <v>Priyam Aryan</v>
          </cell>
          <cell r="C678">
            <v>2201010527</v>
          </cell>
          <cell r="D678" t="str">
            <v>Promoted</v>
          </cell>
        </row>
        <row r="679">
          <cell r="A679">
            <v>2022563312</v>
          </cell>
          <cell r="B679" t="str">
            <v>Priyanshu Kumar</v>
          </cell>
          <cell r="C679">
            <v>2201010532</v>
          </cell>
          <cell r="D679" t="str">
            <v>Promoted</v>
          </cell>
        </row>
        <row r="680">
          <cell r="A680">
            <v>2022477888</v>
          </cell>
          <cell r="B680" t="str">
            <v>Ranjan Kumar</v>
          </cell>
          <cell r="C680">
            <v>2201010559</v>
          </cell>
          <cell r="D680" t="str">
            <v>Promoted</v>
          </cell>
        </row>
        <row r="681">
          <cell r="A681">
            <v>2022330451</v>
          </cell>
          <cell r="B681" t="str">
            <v>Rishabh Sharma</v>
          </cell>
          <cell r="C681">
            <v>2201010576</v>
          </cell>
          <cell r="D681" t="str">
            <v>Promoted</v>
          </cell>
        </row>
        <row r="682">
          <cell r="A682">
            <v>2022548738</v>
          </cell>
          <cell r="B682" t="str">
            <v>Rishav Anand</v>
          </cell>
          <cell r="C682">
            <v>2201010578</v>
          </cell>
          <cell r="D682" t="str">
            <v>Promoted</v>
          </cell>
        </row>
        <row r="683">
          <cell r="A683">
            <v>2022544917</v>
          </cell>
          <cell r="B683" t="str">
            <v>Rishita Tehlan</v>
          </cell>
          <cell r="C683">
            <v>2201010582</v>
          </cell>
          <cell r="D683" t="str">
            <v>Promoted</v>
          </cell>
        </row>
        <row r="684">
          <cell r="A684">
            <v>2022507803</v>
          </cell>
          <cell r="B684" t="str">
            <v>Ritu Raj Kumar</v>
          </cell>
          <cell r="C684">
            <v>2201010590</v>
          </cell>
          <cell r="D684" t="str">
            <v>Promoted</v>
          </cell>
        </row>
        <row r="685">
          <cell r="A685">
            <v>2022006324</v>
          </cell>
          <cell r="B685" t="str">
            <v>Riya Mehta</v>
          </cell>
          <cell r="C685">
            <v>2201010593</v>
          </cell>
          <cell r="D685" t="str">
            <v>Promoted</v>
          </cell>
        </row>
        <row r="686">
          <cell r="A686">
            <v>2022495866</v>
          </cell>
          <cell r="B686" t="str">
            <v>Sahil Singh</v>
          </cell>
          <cell r="C686">
            <v>2201010613</v>
          </cell>
          <cell r="D686" t="str">
            <v>Promoted</v>
          </cell>
        </row>
        <row r="687">
          <cell r="A687">
            <v>2022512443</v>
          </cell>
          <cell r="B687" t="str">
            <v>Saksham Makhija</v>
          </cell>
          <cell r="C687">
            <v>2201010616</v>
          </cell>
          <cell r="D687" t="str">
            <v>Promoted</v>
          </cell>
        </row>
        <row r="688">
          <cell r="A688">
            <v>2022004067</v>
          </cell>
          <cell r="B688" t="str">
            <v>Samarth Agrawal</v>
          </cell>
          <cell r="C688">
            <v>2201010624</v>
          </cell>
          <cell r="D688" t="str">
            <v>Promoted</v>
          </cell>
        </row>
        <row r="689">
          <cell r="A689">
            <v>2022003455</v>
          </cell>
          <cell r="B689" t="str">
            <v>Sameer Ahmed</v>
          </cell>
          <cell r="C689">
            <v>2201010625</v>
          </cell>
          <cell r="D689" t="str">
            <v>Promoted</v>
          </cell>
        </row>
        <row r="690">
          <cell r="A690">
            <v>2022006712</v>
          </cell>
          <cell r="B690" t="str">
            <v>Sankalp Goel</v>
          </cell>
          <cell r="C690">
            <v>2201010633</v>
          </cell>
          <cell r="D690" t="str">
            <v>Promoted</v>
          </cell>
        </row>
        <row r="691">
          <cell r="A691">
            <v>2022005080</v>
          </cell>
          <cell r="B691" t="str">
            <v>Shaily Saxena</v>
          </cell>
          <cell r="C691">
            <v>2201010653</v>
          </cell>
          <cell r="D691" t="str">
            <v>Promoted</v>
          </cell>
        </row>
        <row r="692">
          <cell r="A692">
            <v>2022446086</v>
          </cell>
          <cell r="B692" t="str">
            <v>Shashank Singh</v>
          </cell>
          <cell r="C692">
            <v>2201010657</v>
          </cell>
          <cell r="D692" t="str">
            <v>Promoted</v>
          </cell>
        </row>
        <row r="693">
          <cell r="A693">
            <v>2022387850</v>
          </cell>
          <cell r="B693" t="str">
            <v>Shashwat Ambar Pathak</v>
          </cell>
          <cell r="C693">
            <v>2201010658</v>
          </cell>
          <cell r="D693" t="str">
            <v>Promoted</v>
          </cell>
        </row>
        <row r="694">
          <cell r="A694">
            <v>2022442734</v>
          </cell>
          <cell r="B694" t="str">
            <v>Sheema Wani</v>
          </cell>
          <cell r="C694">
            <v>2201010662</v>
          </cell>
          <cell r="D694" t="str">
            <v>Promoted</v>
          </cell>
        </row>
        <row r="695">
          <cell r="A695">
            <v>2022309446</v>
          </cell>
          <cell r="B695" t="str">
            <v>Shekhar Kumar Singh</v>
          </cell>
          <cell r="C695">
            <v>2201010663</v>
          </cell>
          <cell r="D695" t="str">
            <v>Promoted</v>
          </cell>
        </row>
        <row r="696">
          <cell r="A696">
            <v>2022499440</v>
          </cell>
          <cell r="B696" t="str">
            <v>Shipra Moharana</v>
          </cell>
          <cell r="C696">
            <v>2201010666</v>
          </cell>
          <cell r="D696" t="str">
            <v>Promoted</v>
          </cell>
        </row>
        <row r="697">
          <cell r="A697">
            <v>2022306140</v>
          </cell>
          <cell r="B697" t="str">
            <v>Shivam Roy</v>
          </cell>
          <cell r="C697">
            <v>2201010674</v>
          </cell>
          <cell r="D697" t="str">
            <v>Promoted</v>
          </cell>
        </row>
        <row r="698">
          <cell r="A698">
            <v>2022466983</v>
          </cell>
          <cell r="B698" t="str">
            <v>Shivani Singh</v>
          </cell>
          <cell r="C698">
            <v>2201010677</v>
          </cell>
          <cell r="D698" t="str">
            <v>Promoted</v>
          </cell>
        </row>
        <row r="699">
          <cell r="A699">
            <v>2022396848</v>
          </cell>
          <cell r="B699" t="str">
            <v>Shivank Mehrotra</v>
          </cell>
          <cell r="C699">
            <v>2201010678</v>
          </cell>
          <cell r="D699" t="str">
            <v>Promoted</v>
          </cell>
        </row>
        <row r="700">
          <cell r="A700">
            <v>2022445249</v>
          </cell>
          <cell r="B700" t="str">
            <v>Shubham Jaswar</v>
          </cell>
          <cell r="C700">
            <v>2201010690</v>
          </cell>
          <cell r="D700" t="str">
            <v>Promoted</v>
          </cell>
        </row>
        <row r="701">
          <cell r="A701">
            <v>2022409813</v>
          </cell>
          <cell r="B701" t="str">
            <v>Sneha Singh</v>
          </cell>
          <cell r="C701">
            <v>2201010702</v>
          </cell>
          <cell r="D701" t="str">
            <v>Promoted</v>
          </cell>
        </row>
        <row r="702">
          <cell r="A702">
            <v>2022816972</v>
          </cell>
          <cell r="B702" t="str">
            <v>Sonal Chaudhary</v>
          </cell>
          <cell r="C702">
            <v>2201010707</v>
          </cell>
          <cell r="D702" t="str">
            <v>Promoted</v>
          </cell>
        </row>
        <row r="703">
          <cell r="A703">
            <v>2022471296</v>
          </cell>
          <cell r="B703" t="str">
            <v>Srivash A</v>
          </cell>
          <cell r="C703">
            <v>2201010717</v>
          </cell>
          <cell r="D703" t="str">
            <v>Promoted</v>
          </cell>
        </row>
        <row r="704">
          <cell r="A704">
            <v>2022463885</v>
          </cell>
          <cell r="B704" t="str">
            <v>Sunny Kumar Singh</v>
          </cell>
          <cell r="C704">
            <v>2201010725</v>
          </cell>
          <cell r="D704" t="str">
            <v>Promoted</v>
          </cell>
        </row>
        <row r="705">
          <cell r="A705">
            <v>2022434098</v>
          </cell>
          <cell r="B705" t="str">
            <v>Suraj Belwal</v>
          </cell>
          <cell r="C705">
            <v>2201010727</v>
          </cell>
          <cell r="D705" t="str">
            <v>Promoted</v>
          </cell>
        </row>
        <row r="706">
          <cell r="A706">
            <v>2022368174</v>
          </cell>
          <cell r="B706" t="str">
            <v>Suraj Kumar Jaiswal</v>
          </cell>
          <cell r="C706">
            <v>2201010728</v>
          </cell>
          <cell r="D706" t="str">
            <v>Promoted</v>
          </cell>
        </row>
        <row r="707">
          <cell r="A707">
            <v>2022006059</v>
          </cell>
          <cell r="B707" t="str">
            <v>Tanishka Singh</v>
          </cell>
          <cell r="C707">
            <v>2201010738</v>
          </cell>
          <cell r="D707" t="str">
            <v>Promoted</v>
          </cell>
        </row>
        <row r="708">
          <cell r="A708">
            <v>2022401760</v>
          </cell>
          <cell r="B708" t="str">
            <v>Tanvir Singh</v>
          </cell>
          <cell r="C708">
            <v>2201010746</v>
          </cell>
          <cell r="D708" t="str">
            <v>Promoted</v>
          </cell>
        </row>
        <row r="709">
          <cell r="A709">
            <v>2022005125</v>
          </cell>
          <cell r="B709" t="str">
            <v>Taran Bhuee</v>
          </cell>
          <cell r="C709">
            <v>2201010748</v>
          </cell>
          <cell r="D709" t="str">
            <v>Promoted</v>
          </cell>
        </row>
        <row r="710">
          <cell r="A710">
            <v>2022413409</v>
          </cell>
          <cell r="B710" t="str">
            <v>Umair Hamza</v>
          </cell>
          <cell r="C710">
            <v>2201010760</v>
          </cell>
          <cell r="D710" t="str">
            <v>Promoted</v>
          </cell>
        </row>
        <row r="711">
          <cell r="A711">
            <v>2022006170</v>
          </cell>
          <cell r="B711" t="str">
            <v>Umang .</v>
          </cell>
          <cell r="C711">
            <v>2201010761</v>
          </cell>
          <cell r="D711" t="str">
            <v>Promoted</v>
          </cell>
        </row>
        <row r="712">
          <cell r="A712">
            <v>2022484153</v>
          </cell>
          <cell r="B712" t="str">
            <v>Utsav Jain</v>
          </cell>
          <cell r="C712">
            <v>2201010767</v>
          </cell>
          <cell r="D712" t="str">
            <v>Promoted</v>
          </cell>
        </row>
        <row r="713">
          <cell r="A713">
            <v>2022354885</v>
          </cell>
          <cell r="B713" t="str">
            <v>Vaibhav Vaish</v>
          </cell>
          <cell r="C713">
            <v>2201010772</v>
          </cell>
          <cell r="D713" t="str">
            <v>Promoted</v>
          </cell>
        </row>
        <row r="714">
          <cell r="A714">
            <v>2022338152</v>
          </cell>
          <cell r="B714" t="str">
            <v>Vanshika Gaur</v>
          </cell>
          <cell r="C714">
            <v>2201010773</v>
          </cell>
          <cell r="D714" t="str">
            <v>Promoted</v>
          </cell>
        </row>
        <row r="715">
          <cell r="A715">
            <v>2022003792</v>
          </cell>
          <cell r="B715" t="str">
            <v>Varsha Gola</v>
          </cell>
          <cell r="C715">
            <v>2201010777</v>
          </cell>
          <cell r="D715" t="str">
            <v>Promoted</v>
          </cell>
        </row>
        <row r="716">
          <cell r="A716">
            <v>2022498647</v>
          </cell>
          <cell r="B716" t="str">
            <v>Vikash Kumar Yadav</v>
          </cell>
          <cell r="C716">
            <v>2201010789</v>
          </cell>
          <cell r="D716" t="str">
            <v>Promoted</v>
          </cell>
        </row>
        <row r="717">
          <cell r="A717">
            <v>2022006315</v>
          </cell>
          <cell r="B717" t="str">
            <v>Vinay Kumar</v>
          </cell>
          <cell r="C717">
            <v>2201010791</v>
          </cell>
          <cell r="D717" t="str">
            <v>Promoted</v>
          </cell>
        </row>
        <row r="718">
          <cell r="A718">
            <v>2022521262</v>
          </cell>
          <cell r="B718" t="str">
            <v>Vinayak Agarwal</v>
          </cell>
          <cell r="C718">
            <v>2201010792</v>
          </cell>
          <cell r="D718" t="str">
            <v>Promoted</v>
          </cell>
        </row>
        <row r="719">
          <cell r="A719">
            <v>2022519978</v>
          </cell>
          <cell r="B719" t="str">
            <v>Vishakha Chauhan</v>
          </cell>
          <cell r="C719">
            <v>2201010793</v>
          </cell>
          <cell r="D719" t="str">
            <v>Promoted</v>
          </cell>
        </row>
        <row r="720">
          <cell r="A720">
            <v>2022482202</v>
          </cell>
          <cell r="B720" t="str">
            <v>Yash Attri</v>
          </cell>
          <cell r="C720">
            <v>2201010805</v>
          </cell>
          <cell r="D720" t="str">
            <v>Promoted</v>
          </cell>
        </row>
        <row r="721">
          <cell r="A721">
            <v>2022003650</v>
          </cell>
          <cell r="B721" t="str">
            <v>Yash Bansal</v>
          </cell>
          <cell r="C721">
            <v>2201010806</v>
          </cell>
          <cell r="D721" t="str">
            <v>Promoted</v>
          </cell>
        </row>
        <row r="722">
          <cell r="A722">
            <v>2022339160</v>
          </cell>
          <cell r="B722" t="str">
            <v>Yash Chauhan</v>
          </cell>
          <cell r="C722">
            <v>2201010808</v>
          </cell>
          <cell r="D722" t="str">
            <v>Promoted</v>
          </cell>
        </row>
        <row r="723">
          <cell r="A723">
            <v>2022427832</v>
          </cell>
          <cell r="B723" t="str">
            <v>Yash Gupta</v>
          </cell>
          <cell r="C723">
            <v>2201010809</v>
          </cell>
          <cell r="D723" t="str">
            <v>Promoted</v>
          </cell>
        </row>
        <row r="724">
          <cell r="A724">
            <v>2022007267</v>
          </cell>
          <cell r="B724" t="str">
            <v>Akhtar Raza</v>
          </cell>
          <cell r="C724">
            <v>2201010838</v>
          </cell>
          <cell r="D724" t="str">
            <v>Promoted</v>
          </cell>
        </row>
        <row r="725">
          <cell r="A725">
            <v>2022620180</v>
          </cell>
          <cell r="B725" t="str">
            <v>Tohin Majumder</v>
          </cell>
          <cell r="C725">
            <v>2201010904</v>
          </cell>
          <cell r="D725" t="str">
            <v>Promoted</v>
          </cell>
        </row>
        <row r="726">
          <cell r="A726">
            <v>2022007193</v>
          </cell>
          <cell r="B726" t="str">
            <v>Priyanshu Singh</v>
          </cell>
          <cell r="C726">
            <v>2201010923</v>
          </cell>
          <cell r="D726" t="str">
            <v>Promoted</v>
          </cell>
        </row>
        <row r="727">
          <cell r="A727">
            <v>2022007324</v>
          </cell>
          <cell r="B727" t="str">
            <v>Ritik Chaudhary</v>
          </cell>
          <cell r="C727">
            <v>2201010924</v>
          </cell>
          <cell r="D727" t="str">
            <v>Promoted</v>
          </cell>
        </row>
        <row r="728">
          <cell r="A728">
            <v>2022007387</v>
          </cell>
          <cell r="B728" t="str">
            <v>Anshika Singh</v>
          </cell>
          <cell r="C728">
            <v>2201010925</v>
          </cell>
          <cell r="D728" t="str">
            <v>Promoted</v>
          </cell>
        </row>
        <row r="729">
          <cell r="A729">
            <v>2022311612</v>
          </cell>
          <cell r="B729" t="str">
            <v>Vishal Pandit</v>
          </cell>
          <cell r="C729">
            <v>2201010927</v>
          </cell>
          <cell r="D729" t="str">
            <v>Promoted</v>
          </cell>
        </row>
        <row r="730">
          <cell r="A730">
            <v>2022479218</v>
          </cell>
          <cell r="B730" t="str">
            <v>Ashish Sharma</v>
          </cell>
          <cell r="C730">
            <v>2201010929</v>
          </cell>
          <cell r="D730" t="str">
            <v>Promoted</v>
          </cell>
        </row>
        <row r="731">
          <cell r="A731">
            <v>2022506228</v>
          </cell>
          <cell r="B731" t="str">
            <v>Ayaz .</v>
          </cell>
          <cell r="C731">
            <v>2201010930</v>
          </cell>
          <cell r="D731" t="str">
            <v>Promoted</v>
          </cell>
        </row>
        <row r="732">
          <cell r="A732">
            <v>2022530497</v>
          </cell>
          <cell r="B732" t="str">
            <v>Udit Chaudhary</v>
          </cell>
          <cell r="C732">
            <v>2201010932</v>
          </cell>
          <cell r="D732" t="str">
            <v>Promoted</v>
          </cell>
        </row>
        <row r="733">
          <cell r="A733">
            <v>2022600192</v>
          </cell>
          <cell r="B733" t="str">
            <v>Vishal Choudhary</v>
          </cell>
          <cell r="C733">
            <v>2201010933</v>
          </cell>
          <cell r="D733" t="str">
            <v>Promoted</v>
          </cell>
        </row>
        <row r="734">
          <cell r="A734">
            <v>2022601761</v>
          </cell>
          <cell r="B734" t="str">
            <v>Budda Dhanushya Surya Manikanta</v>
          </cell>
          <cell r="C734">
            <v>2201010934</v>
          </cell>
          <cell r="D734" t="str">
            <v>Promoted</v>
          </cell>
        </row>
        <row r="735">
          <cell r="A735">
            <v>2022608097</v>
          </cell>
          <cell r="B735" t="str">
            <v>Nitish Kumar</v>
          </cell>
          <cell r="C735">
            <v>2201010935</v>
          </cell>
          <cell r="D735" t="str">
            <v>Promoted</v>
          </cell>
        </row>
        <row r="736">
          <cell r="A736">
            <v>2022610396</v>
          </cell>
          <cell r="B736" t="str">
            <v>Ansh Abrol</v>
          </cell>
          <cell r="C736">
            <v>2201010937</v>
          </cell>
          <cell r="D736" t="str">
            <v>Promoted</v>
          </cell>
        </row>
        <row r="737">
          <cell r="A737">
            <v>2022618129</v>
          </cell>
          <cell r="B737" t="str">
            <v>Aman Kumar</v>
          </cell>
          <cell r="C737">
            <v>2201010938</v>
          </cell>
          <cell r="D737" t="str">
            <v>Promoted</v>
          </cell>
        </row>
        <row r="738">
          <cell r="A738">
            <v>2022623133</v>
          </cell>
          <cell r="B738" t="str">
            <v>Suhani Mehta</v>
          </cell>
          <cell r="C738">
            <v>2201010939</v>
          </cell>
          <cell r="D738" t="str">
            <v>Promoted</v>
          </cell>
        </row>
        <row r="739">
          <cell r="A739">
            <v>2022623875</v>
          </cell>
          <cell r="B739" t="str">
            <v>Saurabh Raj</v>
          </cell>
          <cell r="C739">
            <v>2201010940</v>
          </cell>
          <cell r="D739" t="str">
            <v>Promoted</v>
          </cell>
        </row>
        <row r="740">
          <cell r="A740">
            <v>2023253225</v>
          </cell>
          <cell r="B740" t="str">
            <v>Shubham Singh</v>
          </cell>
          <cell r="C740">
            <v>2301017016</v>
          </cell>
          <cell r="D740" t="str">
            <v>Promoted</v>
          </cell>
        </row>
        <row r="741">
          <cell r="A741">
            <v>2022387999</v>
          </cell>
          <cell r="B741" t="str">
            <v>Aditya Raj</v>
          </cell>
          <cell r="C741">
            <v>2201010046</v>
          </cell>
          <cell r="D741" t="str">
            <v>Promoted</v>
          </cell>
        </row>
        <row r="742">
          <cell r="A742">
            <v>2022506579</v>
          </cell>
          <cell r="B742" t="str">
            <v>Akash Kumar Singh</v>
          </cell>
          <cell r="C742">
            <v>2201010061</v>
          </cell>
          <cell r="D742" t="str">
            <v>Promoted</v>
          </cell>
        </row>
        <row r="743">
          <cell r="A743">
            <v>2022334026</v>
          </cell>
          <cell r="B743" t="str">
            <v>Akhil Sharma</v>
          </cell>
          <cell r="C743">
            <v>2201010063</v>
          </cell>
          <cell r="D743" t="str">
            <v>Promoted</v>
          </cell>
        </row>
        <row r="744">
          <cell r="A744">
            <v>2022426354</v>
          </cell>
          <cell r="B744" t="str">
            <v>Akshat Thakur</v>
          </cell>
          <cell r="C744">
            <v>2201010067</v>
          </cell>
          <cell r="D744" t="str">
            <v>Promoted</v>
          </cell>
        </row>
        <row r="745">
          <cell r="A745">
            <v>2022005817</v>
          </cell>
          <cell r="B745" t="str">
            <v>Anirudh Sharma</v>
          </cell>
          <cell r="C745">
            <v>2201010087</v>
          </cell>
          <cell r="D745" t="str">
            <v>Promoted</v>
          </cell>
        </row>
        <row r="746">
          <cell r="A746">
            <v>2022409017</v>
          </cell>
          <cell r="B746" t="str">
            <v>Ankit Kumar</v>
          </cell>
          <cell r="C746">
            <v>2201010094</v>
          </cell>
          <cell r="D746" t="str">
            <v>Promoted</v>
          </cell>
        </row>
        <row r="747">
          <cell r="A747">
            <v>2022535335</v>
          </cell>
          <cell r="B747" t="str">
            <v>Anshara Beigh</v>
          </cell>
          <cell r="C747">
            <v>2201010100</v>
          </cell>
          <cell r="D747" t="str">
            <v>Promoted</v>
          </cell>
        </row>
        <row r="748">
          <cell r="A748">
            <v>2022369167</v>
          </cell>
          <cell r="B748" t="str">
            <v>Anurag Ranjan</v>
          </cell>
          <cell r="C748">
            <v>2201010113</v>
          </cell>
          <cell r="D748" t="str">
            <v>Promoted</v>
          </cell>
        </row>
        <row r="749">
          <cell r="A749">
            <v>2022456042</v>
          </cell>
          <cell r="B749" t="str">
            <v>Arbaaj Mansoori</v>
          </cell>
          <cell r="C749">
            <v>2201010120</v>
          </cell>
          <cell r="D749" t="str">
            <v>Promoted</v>
          </cell>
        </row>
        <row r="750">
          <cell r="A750">
            <v>2022505539</v>
          </cell>
          <cell r="B750" t="str">
            <v>Arfat Hussain</v>
          </cell>
          <cell r="C750">
            <v>2201010124</v>
          </cell>
          <cell r="D750" t="str">
            <v>Promoted</v>
          </cell>
        </row>
        <row r="751">
          <cell r="A751">
            <v>2022539806</v>
          </cell>
          <cell r="B751" t="str">
            <v>Arunoday Kumar</v>
          </cell>
          <cell r="C751">
            <v>2201010133</v>
          </cell>
          <cell r="D751" t="str">
            <v>Promoted</v>
          </cell>
        </row>
        <row r="752">
          <cell r="A752">
            <v>2022504700</v>
          </cell>
          <cell r="B752" t="str">
            <v>Aryan Raj</v>
          </cell>
          <cell r="C752">
            <v>2201010144</v>
          </cell>
          <cell r="D752" t="str">
            <v>Promoted</v>
          </cell>
        </row>
        <row r="753">
          <cell r="A753">
            <v>2022360832</v>
          </cell>
          <cell r="B753" t="str">
            <v>Ashish Kumar</v>
          </cell>
          <cell r="C753">
            <v>2201010151</v>
          </cell>
          <cell r="D753" t="str">
            <v>Promoted</v>
          </cell>
        </row>
        <row r="754">
          <cell r="A754">
            <v>2022460800</v>
          </cell>
          <cell r="B754" t="str">
            <v>Avinash Maurya</v>
          </cell>
          <cell r="C754">
            <v>2201010164</v>
          </cell>
          <cell r="D754" t="str">
            <v>Promoted</v>
          </cell>
        </row>
        <row r="755">
          <cell r="A755">
            <v>2022542429</v>
          </cell>
          <cell r="B755" t="str">
            <v>Ayush Tripathi</v>
          </cell>
          <cell r="C755">
            <v>2201010174</v>
          </cell>
          <cell r="D755" t="str">
            <v>Promoted</v>
          </cell>
        </row>
        <row r="756">
          <cell r="A756">
            <v>2022005947</v>
          </cell>
          <cell r="B756" t="str">
            <v>Bhupender Gautam</v>
          </cell>
          <cell r="C756">
            <v>2201010179</v>
          </cell>
          <cell r="D756" t="str">
            <v>Promoted</v>
          </cell>
        </row>
        <row r="757">
          <cell r="A757">
            <v>2022825759</v>
          </cell>
          <cell r="B757" t="str">
            <v>Debadrita Mukherjee</v>
          </cell>
          <cell r="C757">
            <v>2201010202</v>
          </cell>
          <cell r="D757" t="str">
            <v>Promoted</v>
          </cell>
        </row>
        <row r="758">
          <cell r="A758">
            <v>2022005712</v>
          </cell>
          <cell r="B758" t="str">
            <v>Devansh Joshi</v>
          </cell>
          <cell r="C758">
            <v>2201010210</v>
          </cell>
          <cell r="D758" t="str">
            <v>Promoted</v>
          </cell>
        </row>
        <row r="759">
          <cell r="A759">
            <v>2022325712</v>
          </cell>
          <cell r="B759" t="str">
            <v>Harshit Singh</v>
          </cell>
          <cell r="C759">
            <v>2201010280</v>
          </cell>
          <cell r="D759" t="str">
            <v>Promoted</v>
          </cell>
        </row>
        <row r="760">
          <cell r="A760">
            <v>2022005046</v>
          </cell>
          <cell r="B760" t="str">
            <v>Jatin Dhangar</v>
          </cell>
          <cell r="C760">
            <v>2201010302</v>
          </cell>
          <cell r="D760" t="str">
            <v>Promoted</v>
          </cell>
        </row>
        <row r="761">
          <cell r="A761">
            <v>2022320806</v>
          </cell>
          <cell r="B761" t="str">
            <v>Jatin Gupta</v>
          </cell>
          <cell r="C761">
            <v>2201010303</v>
          </cell>
          <cell r="D761" t="str">
            <v>Promoted</v>
          </cell>
        </row>
        <row r="762">
          <cell r="A762">
            <v>2022480883</v>
          </cell>
          <cell r="B762" t="str">
            <v>Jatin Kumar Singh</v>
          </cell>
          <cell r="C762">
            <v>2201010305</v>
          </cell>
          <cell r="D762" t="str">
            <v>Promoted</v>
          </cell>
        </row>
        <row r="763">
          <cell r="A763">
            <v>2022469633</v>
          </cell>
          <cell r="B763" t="str">
            <v>Khushboo Kumari</v>
          </cell>
          <cell r="C763">
            <v>2201010328</v>
          </cell>
          <cell r="D763" t="str">
            <v>Promoted</v>
          </cell>
        </row>
        <row r="764">
          <cell r="A764">
            <v>2022366544</v>
          </cell>
          <cell r="B764" t="str">
            <v>Manan Kaushik</v>
          </cell>
          <cell r="C764">
            <v>2201010363</v>
          </cell>
          <cell r="D764" t="str">
            <v>Promoted</v>
          </cell>
        </row>
        <row r="765">
          <cell r="A765">
            <v>2022414035</v>
          </cell>
          <cell r="B765" t="str">
            <v>Manjay Raj</v>
          </cell>
          <cell r="C765">
            <v>2201010375</v>
          </cell>
          <cell r="D765" t="str">
            <v>Promoted</v>
          </cell>
        </row>
        <row r="766">
          <cell r="A766">
            <v>2022456058</v>
          </cell>
          <cell r="B766" t="str">
            <v>Manveer Kushwaha</v>
          </cell>
          <cell r="C766">
            <v>2201010381</v>
          </cell>
          <cell r="D766" t="str">
            <v>Promoted</v>
          </cell>
        </row>
        <row r="767">
          <cell r="A767">
            <v>2022533506</v>
          </cell>
          <cell r="B767" t="str">
            <v>Mayon Rajpoot</v>
          </cell>
          <cell r="C767">
            <v>2201010386</v>
          </cell>
          <cell r="D767" t="str">
            <v>Promoted</v>
          </cell>
        </row>
        <row r="768">
          <cell r="A768">
            <v>2022405621</v>
          </cell>
          <cell r="B768" t="str">
            <v>MD Shahid Hussain</v>
          </cell>
          <cell r="C768">
            <v>2201010396</v>
          </cell>
          <cell r="D768" t="str">
            <v>Promoted</v>
          </cell>
        </row>
        <row r="769">
          <cell r="A769">
            <v>2022338119</v>
          </cell>
          <cell r="B769" t="str">
            <v>Mehul Kumar</v>
          </cell>
          <cell r="C769">
            <v>2201010402</v>
          </cell>
          <cell r="D769" t="str">
            <v>Promoted</v>
          </cell>
        </row>
        <row r="770">
          <cell r="A770">
            <v>2022438436</v>
          </cell>
          <cell r="B770" t="str">
            <v>Mohammad Adnan</v>
          </cell>
          <cell r="C770">
            <v>2201010408</v>
          </cell>
          <cell r="D770" t="str">
            <v>Promoted</v>
          </cell>
        </row>
        <row r="771">
          <cell r="A771">
            <v>2022403267</v>
          </cell>
          <cell r="B771" t="str">
            <v>Mohammad Muzammil</v>
          </cell>
          <cell r="C771">
            <v>2201010410</v>
          </cell>
          <cell r="D771" t="str">
            <v>Promoted</v>
          </cell>
        </row>
        <row r="772">
          <cell r="A772">
            <v>2022007037</v>
          </cell>
          <cell r="B772" t="str">
            <v>Mridul Mehta</v>
          </cell>
          <cell r="C772">
            <v>2201010447</v>
          </cell>
          <cell r="D772" t="str">
            <v>Promoted</v>
          </cell>
        </row>
        <row r="773">
          <cell r="A773">
            <v>2022428888</v>
          </cell>
          <cell r="B773" t="str">
            <v>Navya Sharma</v>
          </cell>
          <cell r="C773">
            <v>2201010463</v>
          </cell>
          <cell r="D773" t="str">
            <v>Promoted</v>
          </cell>
        </row>
        <row r="774">
          <cell r="A774">
            <v>2022404832</v>
          </cell>
          <cell r="B774" t="str">
            <v>Pankaj Kumar</v>
          </cell>
          <cell r="C774">
            <v>2201010494</v>
          </cell>
          <cell r="D774" t="str">
            <v>Promoted</v>
          </cell>
        </row>
        <row r="775">
          <cell r="A775">
            <v>2022496362</v>
          </cell>
          <cell r="B775" t="str">
            <v>Piyush Shukla</v>
          </cell>
          <cell r="C775">
            <v>2201010504</v>
          </cell>
          <cell r="D775" t="str">
            <v>Promoted</v>
          </cell>
        </row>
        <row r="776">
          <cell r="A776">
            <v>2022005278</v>
          </cell>
          <cell r="B776" t="str">
            <v>Prince Kumar Yadav</v>
          </cell>
          <cell r="C776">
            <v>2201010524</v>
          </cell>
          <cell r="D776" t="str">
            <v>Promoted</v>
          </cell>
        </row>
        <row r="777">
          <cell r="A777">
            <v>2022529691</v>
          </cell>
          <cell r="B777" t="str">
            <v>Priyansh Singhal</v>
          </cell>
          <cell r="C777">
            <v>2201010528</v>
          </cell>
          <cell r="D777" t="str">
            <v>Promoted</v>
          </cell>
        </row>
        <row r="778">
          <cell r="A778">
            <v>2022439234</v>
          </cell>
          <cell r="B778" t="str">
            <v>Priyanshu Kumar Giri</v>
          </cell>
          <cell r="C778">
            <v>2201010533</v>
          </cell>
          <cell r="D778" t="str">
            <v>Promoted</v>
          </cell>
        </row>
        <row r="779">
          <cell r="A779">
            <v>2022006709</v>
          </cell>
          <cell r="B779" t="str">
            <v>Raj Karan Singh</v>
          </cell>
          <cell r="C779">
            <v>2201010548</v>
          </cell>
          <cell r="D779" t="str">
            <v>Promoted</v>
          </cell>
        </row>
        <row r="780">
          <cell r="A780">
            <v>2022312671</v>
          </cell>
          <cell r="B780" t="str">
            <v>Raj Kumar</v>
          </cell>
          <cell r="C780">
            <v>2201010549</v>
          </cell>
          <cell r="D780" t="str">
            <v>Promoted</v>
          </cell>
        </row>
        <row r="781">
          <cell r="A781">
            <v>2022006115</v>
          </cell>
          <cell r="B781" t="str">
            <v>Ranya Riti</v>
          </cell>
          <cell r="C781">
            <v>2201010560</v>
          </cell>
          <cell r="D781" t="str">
            <v>Promoted</v>
          </cell>
        </row>
        <row r="782">
          <cell r="A782">
            <v>2022410984</v>
          </cell>
          <cell r="B782" t="str">
            <v>Rebekah Russel</v>
          </cell>
          <cell r="C782">
            <v>2201010566</v>
          </cell>
          <cell r="D782" t="str">
            <v>Promoted</v>
          </cell>
        </row>
        <row r="783">
          <cell r="A783">
            <v>2022307000</v>
          </cell>
          <cell r="B783" t="str">
            <v>Ritu Raj</v>
          </cell>
          <cell r="C783">
            <v>2201010589</v>
          </cell>
          <cell r="D783" t="str">
            <v>Promoted</v>
          </cell>
        </row>
        <row r="784">
          <cell r="A784">
            <v>2022553875</v>
          </cell>
          <cell r="B784" t="str">
            <v>Sadaf Zahra</v>
          </cell>
          <cell r="C784">
            <v>2201010609</v>
          </cell>
          <cell r="D784" t="str">
            <v>Promoted</v>
          </cell>
        </row>
        <row r="785">
          <cell r="A785">
            <v>2022459247</v>
          </cell>
          <cell r="B785" t="str">
            <v>Sakshi Deo</v>
          </cell>
          <cell r="C785">
            <v>2201010618</v>
          </cell>
          <cell r="D785" t="str">
            <v>Promoted</v>
          </cell>
        </row>
        <row r="786">
          <cell r="A786">
            <v>2022396862</v>
          </cell>
          <cell r="B786" t="str">
            <v>Sameer Saifi</v>
          </cell>
          <cell r="C786">
            <v>2201010626</v>
          </cell>
          <cell r="D786" t="str">
            <v>Promoted</v>
          </cell>
        </row>
        <row r="787">
          <cell r="A787">
            <v>2022487134</v>
          </cell>
          <cell r="B787" t="str">
            <v>Saransh Singhania</v>
          </cell>
          <cell r="C787">
            <v>2201010638</v>
          </cell>
          <cell r="D787" t="str">
            <v>Promoted</v>
          </cell>
        </row>
        <row r="788">
          <cell r="A788">
            <v>2022465132</v>
          </cell>
          <cell r="B788" t="str">
            <v>Saurabh Mishra</v>
          </cell>
          <cell r="C788">
            <v>2201010649</v>
          </cell>
          <cell r="D788" t="str">
            <v>Promoted</v>
          </cell>
        </row>
        <row r="789">
          <cell r="A789">
            <v>2022513718</v>
          </cell>
          <cell r="B789" t="str">
            <v>Sivam Visnu</v>
          </cell>
          <cell r="C789">
            <v>2201010696</v>
          </cell>
          <cell r="D789" t="str">
            <v>Promoted</v>
          </cell>
        </row>
        <row r="790">
          <cell r="A790">
            <v>2022518889</v>
          </cell>
          <cell r="B790" t="str">
            <v>Smriti Kumari</v>
          </cell>
          <cell r="C790">
            <v>2201010697</v>
          </cell>
          <cell r="D790" t="str">
            <v>Promoted</v>
          </cell>
        </row>
        <row r="791">
          <cell r="A791">
            <v>2022003733</v>
          </cell>
          <cell r="B791" t="str">
            <v>Sonal Malhotra</v>
          </cell>
          <cell r="C791">
            <v>2201010708</v>
          </cell>
          <cell r="D791" t="str">
            <v>Promoted</v>
          </cell>
        </row>
        <row r="792">
          <cell r="A792">
            <v>2022003992</v>
          </cell>
          <cell r="B792" t="str">
            <v>Soumya Sharma</v>
          </cell>
          <cell r="C792">
            <v>2201010712</v>
          </cell>
          <cell r="D792" t="str">
            <v>Promoted</v>
          </cell>
        </row>
        <row r="793">
          <cell r="A793">
            <v>2022335852</v>
          </cell>
          <cell r="B793" t="str">
            <v>Tanishq Chauhan</v>
          </cell>
          <cell r="C793">
            <v>2201010739</v>
          </cell>
          <cell r="D793" t="str">
            <v>Promoted</v>
          </cell>
        </row>
        <row r="794">
          <cell r="A794">
            <v>2022005013</v>
          </cell>
          <cell r="B794" t="str">
            <v>Tanu Yadav</v>
          </cell>
          <cell r="C794">
            <v>2201010742</v>
          </cell>
          <cell r="D794" t="str">
            <v>Promoted</v>
          </cell>
        </row>
        <row r="795">
          <cell r="A795">
            <v>2022520199</v>
          </cell>
          <cell r="B795" t="str">
            <v>Tanuj Saxena</v>
          </cell>
          <cell r="C795">
            <v>2201010744</v>
          </cell>
          <cell r="D795" t="str">
            <v>Promoted</v>
          </cell>
        </row>
        <row r="796">
          <cell r="A796">
            <v>2022421811</v>
          </cell>
          <cell r="B796" t="str">
            <v>Ujjwal Maurya</v>
          </cell>
          <cell r="C796">
            <v>2201010758</v>
          </cell>
          <cell r="D796" t="str">
            <v>Promoted</v>
          </cell>
        </row>
        <row r="797">
          <cell r="A797">
            <v>2022477719</v>
          </cell>
          <cell r="B797" t="str">
            <v>Uma Chauhan</v>
          </cell>
          <cell r="C797">
            <v>2201010759</v>
          </cell>
          <cell r="D797" t="str">
            <v>Promoted</v>
          </cell>
        </row>
        <row r="798">
          <cell r="A798">
            <v>2022374380</v>
          </cell>
          <cell r="B798" t="str">
            <v>Uttam Kumar</v>
          </cell>
          <cell r="C798">
            <v>2201010768</v>
          </cell>
          <cell r="D798" t="str">
            <v>Promoted</v>
          </cell>
        </row>
        <row r="799">
          <cell r="A799">
            <v>2022495156</v>
          </cell>
          <cell r="B799" t="str">
            <v>Vanshika Yadav</v>
          </cell>
          <cell r="C799">
            <v>2201010775</v>
          </cell>
          <cell r="D799" t="str">
            <v>Promoted</v>
          </cell>
        </row>
        <row r="800">
          <cell r="A800">
            <v>2022522914</v>
          </cell>
          <cell r="B800" t="str">
            <v>Vanshit Wadhera</v>
          </cell>
          <cell r="C800">
            <v>2201010776</v>
          </cell>
          <cell r="D800" t="str">
            <v>Promoted</v>
          </cell>
        </row>
        <row r="801">
          <cell r="A801">
            <v>2022006597</v>
          </cell>
          <cell r="B801" t="str">
            <v>Wasiullah Aman</v>
          </cell>
          <cell r="C801">
            <v>2201010802</v>
          </cell>
          <cell r="D801" t="str">
            <v>Promoted</v>
          </cell>
        </row>
        <row r="802">
          <cell r="A802">
            <v>2022518973</v>
          </cell>
          <cell r="B802" t="str">
            <v>Yashi Singh</v>
          </cell>
          <cell r="C802">
            <v>2201010814</v>
          </cell>
          <cell r="D802" t="str">
            <v>Promoted</v>
          </cell>
        </row>
        <row r="803">
          <cell r="A803">
            <v>2022490281</v>
          </cell>
          <cell r="B803" t="str">
            <v>Yuvraj Singh Chahar</v>
          </cell>
          <cell r="C803">
            <v>2201010824</v>
          </cell>
          <cell r="D803" t="str">
            <v>Promoted</v>
          </cell>
        </row>
        <row r="804">
          <cell r="A804">
            <v>2022006563</v>
          </cell>
          <cell r="B804" t="str">
            <v>Jeevansh Ahuja</v>
          </cell>
          <cell r="C804">
            <v>2201010942</v>
          </cell>
          <cell r="D804" t="str">
            <v>Promoted</v>
          </cell>
        </row>
        <row r="805">
          <cell r="A805">
            <v>2022006893</v>
          </cell>
          <cell r="B805" t="str">
            <v>Nikhil Singh Chauhan</v>
          </cell>
          <cell r="C805">
            <v>2201010943</v>
          </cell>
          <cell r="D805" t="str">
            <v>Promoted</v>
          </cell>
        </row>
        <row r="806">
          <cell r="A806">
            <v>2022007789</v>
          </cell>
          <cell r="B806" t="str">
            <v>Kapil Gupta</v>
          </cell>
          <cell r="C806">
            <v>2201010945</v>
          </cell>
          <cell r="D806" t="str">
            <v>Promoted</v>
          </cell>
        </row>
        <row r="807">
          <cell r="A807">
            <v>2022432344</v>
          </cell>
          <cell r="B807" t="str">
            <v>Varun Kumar</v>
          </cell>
          <cell r="C807">
            <v>2201010946</v>
          </cell>
          <cell r="D807" t="str">
            <v>Promoted</v>
          </cell>
        </row>
        <row r="808">
          <cell r="A808">
            <v>2022542651</v>
          </cell>
          <cell r="B808" t="str">
            <v>Anamika Sangwan</v>
          </cell>
          <cell r="C808">
            <v>2201010947</v>
          </cell>
          <cell r="D808" t="str">
            <v>Promoted</v>
          </cell>
        </row>
        <row r="809">
          <cell r="A809">
            <v>2022565521</v>
          </cell>
          <cell r="B809" t="str">
            <v>Utkarsh Anand</v>
          </cell>
          <cell r="C809">
            <v>2201010948</v>
          </cell>
          <cell r="D809" t="str">
            <v>Promoted</v>
          </cell>
        </row>
        <row r="810">
          <cell r="A810">
            <v>2022586591</v>
          </cell>
          <cell r="B810" t="str">
            <v>Ram Kumar</v>
          </cell>
          <cell r="C810">
            <v>2201010950</v>
          </cell>
          <cell r="D810" t="str">
            <v>Promoted</v>
          </cell>
        </row>
        <row r="811">
          <cell r="A811">
            <v>2022599098</v>
          </cell>
          <cell r="B811" t="str">
            <v>Mohammad Ashif Iqbal</v>
          </cell>
          <cell r="C811">
            <v>2201010951</v>
          </cell>
          <cell r="D811" t="str">
            <v>Promoted</v>
          </cell>
        </row>
        <row r="812">
          <cell r="A812">
            <v>2022603519</v>
          </cell>
          <cell r="B812" t="str">
            <v>Kamal Ahmad</v>
          </cell>
          <cell r="C812">
            <v>2201010952</v>
          </cell>
          <cell r="D812" t="str">
            <v>Promoted</v>
          </cell>
        </row>
        <row r="813">
          <cell r="A813">
            <v>2022603988</v>
          </cell>
          <cell r="B813" t="str">
            <v>Amulya V Singh</v>
          </cell>
          <cell r="C813">
            <v>2201010953</v>
          </cell>
          <cell r="D813" t="str">
            <v>Promoted</v>
          </cell>
        </row>
        <row r="814">
          <cell r="A814">
            <v>2022617520</v>
          </cell>
          <cell r="B814" t="str">
            <v>Aditya Raj</v>
          </cell>
          <cell r="C814">
            <v>2201010954</v>
          </cell>
          <cell r="D814" t="str">
            <v>Promoted</v>
          </cell>
        </row>
        <row r="815">
          <cell r="A815">
            <v>2022618106</v>
          </cell>
          <cell r="B815" t="str">
            <v>Isha .</v>
          </cell>
          <cell r="C815">
            <v>2201010955</v>
          </cell>
          <cell r="D815" t="str">
            <v>Promoted</v>
          </cell>
        </row>
        <row r="816">
          <cell r="A816">
            <v>2022008213</v>
          </cell>
          <cell r="B816" t="str">
            <v>Nitin Kumar Thakur</v>
          </cell>
          <cell r="C816">
            <v>2201010981</v>
          </cell>
          <cell r="D816" t="str">
            <v>Promoted</v>
          </cell>
        </row>
        <row r="817">
          <cell r="A817">
            <v>2022006860</v>
          </cell>
          <cell r="B817" t="str">
            <v>Ashutosh Kumar</v>
          </cell>
          <cell r="C817">
            <v>2201010154</v>
          </cell>
          <cell r="D817" t="str">
            <v>Promoted</v>
          </cell>
        </row>
        <row r="818">
          <cell r="A818">
            <v>2022489738</v>
          </cell>
          <cell r="B818" t="str">
            <v>Harshit .</v>
          </cell>
          <cell r="C818">
            <v>2201010276</v>
          </cell>
          <cell r="D818" t="str">
            <v>Promoted</v>
          </cell>
        </row>
        <row r="819">
          <cell r="A819">
            <v>2022002885</v>
          </cell>
          <cell r="B819" t="str">
            <v>Rachit Sinha</v>
          </cell>
          <cell r="C819">
            <v>2201010957</v>
          </cell>
          <cell r="D819" t="str">
            <v>Promoted</v>
          </cell>
        </row>
        <row r="820">
          <cell r="A820">
            <v>2022004595</v>
          </cell>
          <cell r="B820" t="str">
            <v>Dev Singh</v>
          </cell>
          <cell r="C820">
            <v>2201010958</v>
          </cell>
          <cell r="D820" t="str">
            <v>Promoted</v>
          </cell>
        </row>
        <row r="821">
          <cell r="A821">
            <v>2022006289</v>
          </cell>
          <cell r="B821" t="str">
            <v>Shubham Sharma</v>
          </cell>
          <cell r="C821">
            <v>2201010959</v>
          </cell>
          <cell r="D821" t="str">
            <v>Promoted</v>
          </cell>
        </row>
        <row r="822">
          <cell r="A822">
            <v>2022007474</v>
          </cell>
          <cell r="B822" t="str">
            <v>Srishti Singh Chauhan</v>
          </cell>
          <cell r="C822">
            <v>2201010960</v>
          </cell>
          <cell r="D822" t="str">
            <v>Promoted</v>
          </cell>
        </row>
        <row r="823">
          <cell r="A823">
            <v>2022007672</v>
          </cell>
          <cell r="B823" t="str">
            <v>Rahan .</v>
          </cell>
          <cell r="C823">
            <v>2201010962</v>
          </cell>
          <cell r="D823" t="str">
            <v>Promoted</v>
          </cell>
        </row>
        <row r="824">
          <cell r="A824">
            <v>2022007731</v>
          </cell>
          <cell r="B824" t="str">
            <v>Priyanshu Soni</v>
          </cell>
          <cell r="C824">
            <v>2201010963</v>
          </cell>
          <cell r="D824" t="str">
            <v>Promoted</v>
          </cell>
        </row>
        <row r="825">
          <cell r="A825">
            <v>2022007802</v>
          </cell>
          <cell r="B825" t="str">
            <v>Ravi Shankar Poddar</v>
          </cell>
          <cell r="C825">
            <v>2201010964</v>
          </cell>
          <cell r="D825" t="str">
            <v>Promoted</v>
          </cell>
        </row>
        <row r="826">
          <cell r="A826">
            <v>2022008050</v>
          </cell>
          <cell r="B826" t="str">
            <v>Chandan Kumar</v>
          </cell>
          <cell r="C826">
            <v>2201010966</v>
          </cell>
          <cell r="D826" t="str">
            <v>Promoted</v>
          </cell>
        </row>
        <row r="827">
          <cell r="A827">
            <v>2022008078</v>
          </cell>
          <cell r="B827" t="str">
            <v>Harsh Vashistha</v>
          </cell>
          <cell r="C827">
            <v>2201010967</v>
          </cell>
          <cell r="D827" t="str">
            <v>Promoted</v>
          </cell>
        </row>
        <row r="828">
          <cell r="A828">
            <v>2022008085</v>
          </cell>
          <cell r="B828" t="str">
            <v>Mohd Hashir</v>
          </cell>
          <cell r="C828">
            <v>2201010968</v>
          </cell>
          <cell r="D828" t="str">
            <v>Promoted</v>
          </cell>
        </row>
        <row r="829">
          <cell r="A829">
            <v>2022008126</v>
          </cell>
          <cell r="B829" t="str">
            <v>Harsh Ujjwal</v>
          </cell>
          <cell r="C829">
            <v>2201010969</v>
          </cell>
          <cell r="D829" t="str">
            <v>Promoted</v>
          </cell>
        </row>
        <row r="830">
          <cell r="A830">
            <v>2022008217</v>
          </cell>
          <cell r="B830" t="str">
            <v>Samiksha Sharma</v>
          </cell>
          <cell r="C830">
            <v>2201010971</v>
          </cell>
          <cell r="D830" t="str">
            <v>Promoted</v>
          </cell>
        </row>
        <row r="831">
          <cell r="A831">
            <v>2022008263</v>
          </cell>
          <cell r="B831" t="str">
            <v>Ayaz Ahmad</v>
          </cell>
          <cell r="C831">
            <v>2201010973</v>
          </cell>
          <cell r="D831" t="str">
            <v>Promoted</v>
          </cell>
        </row>
        <row r="832">
          <cell r="A832">
            <v>2022008317</v>
          </cell>
          <cell r="B832" t="str">
            <v>Avishkar Yadav</v>
          </cell>
          <cell r="C832">
            <v>2201010974</v>
          </cell>
          <cell r="D832" t="str">
            <v>Promoted</v>
          </cell>
        </row>
        <row r="833">
          <cell r="A833">
            <v>2022008331</v>
          </cell>
          <cell r="B833" t="str">
            <v>Sujal Dev</v>
          </cell>
          <cell r="C833">
            <v>2201010975</v>
          </cell>
          <cell r="D833" t="str">
            <v>Promoted</v>
          </cell>
        </row>
        <row r="834">
          <cell r="A834">
            <v>2022619784</v>
          </cell>
          <cell r="B834" t="str">
            <v>Sanjeet .</v>
          </cell>
          <cell r="C834">
            <v>2201010976</v>
          </cell>
          <cell r="D834" t="str">
            <v>Promoted</v>
          </cell>
        </row>
        <row r="835">
          <cell r="A835">
            <v>2022622988</v>
          </cell>
          <cell r="B835" t="str">
            <v>Urja Raj</v>
          </cell>
          <cell r="C835">
            <v>2201010977</v>
          </cell>
          <cell r="D835" t="str">
            <v>Promoted</v>
          </cell>
        </row>
        <row r="836">
          <cell r="A836">
            <v>2022306619</v>
          </cell>
          <cell r="B836" t="str">
            <v>Aditya Priya</v>
          </cell>
          <cell r="C836">
            <v>2201010044</v>
          </cell>
          <cell r="D836" t="str">
            <v>Promoted</v>
          </cell>
        </row>
        <row r="837">
          <cell r="A837">
            <v>2022005043</v>
          </cell>
          <cell r="B837" t="str">
            <v>Aftab Mansoori</v>
          </cell>
          <cell r="C837">
            <v>2201010054</v>
          </cell>
          <cell r="D837" t="str">
            <v>Promoted</v>
          </cell>
        </row>
        <row r="838">
          <cell r="A838">
            <v>2022006195</v>
          </cell>
          <cell r="B838" t="str">
            <v>Anjali Gupta</v>
          </cell>
          <cell r="C838">
            <v>2201010089</v>
          </cell>
          <cell r="D838" t="str">
            <v>Promoted</v>
          </cell>
        </row>
        <row r="839">
          <cell r="A839">
            <v>2022569459</v>
          </cell>
          <cell r="B839" t="str">
            <v>Anvi Singh</v>
          </cell>
          <cell r="C839">
            <v>2201010117</v>
          </cell>
          <cell r="D839" t="str">
            <v>Promoted</v>
          </cell>
        </row>
        <row r="840">
          <cell r="A840">
            <v>2022006607</v>
          </cell>
          <cell r="B840" t="str">
            <v>Arya Tiwari</v>
          </cell>
          <cell r="C840">
            <v>2201010137</v>
          </cell>
          <cell r="D840" t="str">
            <v>Promoted</v>
          </cell>
        </row>
        <row r="841">
          <cell r="A841">
            <v>2022307102</v>
          </cell>
          <cell r="B841" t="str">
            <v>Aryan Rana</v>
          </cell>
          <cell r="C841">
            <v>2201010145</v>
          </cell>
          <cell r="D841" t="str">
            <v>Promoted</v>
          </cell>
        </row>
        <row r="842">
          <cell r="A842">
            <v>2022394539</v>
          </cell>
          <cell r="B842" t="str">
            <v>Aryan Singh</v>
          </cell>
          <cell r="C842">
            <v>2201010148</v>
          </cell>
          <cell r="D842" t="str">
            <v>Promoted</v>
          </cell>
        </row>
        <row r="843">
          <cell r="A843">
            <v>2022476818</v>
          </cell>
          <cell r="B843" t="str">
            <v>Ayush Harsh</v>
          </cell>
          <cell r="C843">
            <v>2201010171</v>
          </cell>
          <cell r="D843" t="str">
            <v>Promoted</v>
          </cell>
        </row>
        <row r="844">
          <cell r="A844">
            <v>2022330517</v>
          </cell>
          <cell r="B844" t="str">
            <v>Devanshi Sharma</v>
          </cell>
          <cell r="C844">
            <v>2201010212</v>
          </cell>
          <cell r="D844" t="str">
            <v>Promoted</v>
          </cell>
        </row>
        <row r="845">
          <cell r="A845">
            <v>2022004886</v>
          </cell>
          <cell r="B845" t="str">
            <v>Dhruv Goel</v>
          </cell>
          <cell r="C845">
            <v>2201010218</v>
          </cell>
          <cell r="D845" t="str">
            <v>Promoted</v>
          </cell>
        </row>
        <row r="846">
          <cell r="A846">
            <v>2022560746</v>
          </cell>
          <cell r="B846" t="str">
            <v>Dhruv Maheshwari</v>
          </cell>
          <cell r="C846">
            <v>2201010219</v>
          </cell>
          <cell r="D846" t="str">
            <v>Promoted</v>
          </cell>
        </row>
        <row r="847">
          <cell r="A847">
            <v>2022004439</v>
          </cell>
          <cell r="B847" t="str">
            <v>Diksha Sharma</v>
          </cell>
          <cell r="C847">
            <v>2201010221</v>
          </cell>
          <cell r="D847" t="str">
            <v>Promoted</v>
          </cell>
        </row>
        <row r="848">
          <cell r="A848">
            <v>2022431320</v>
          </cell>
          <cell r="B848" t="str">
            <v>Hani Kumar</v>
          </cell>
          <cell r="C848">
            <v>2201010259</v>
          </cell>
          <cell r="D848" t="str">
            <v>Promoted</v>
          </cell>
        </row>
        <row r="849">
          <cell r="A849">
            <v>2022006750</v>
          </cell>
          <cell r="B849" t="str">
            <v>Harshul Garg</v>
          </cell>
          <cell r="C849">
            <v>2201010282</v>
          </cell>
          <cell r="D849" t="str">
            <v>Promoted</v>
          </cell>
        </row>
        <row r="850">
          <cell r="A850">
            <v>2022514043</v>
          </cell>
          <cell r="B850" t="str">
            <v>Md Jauhar Imam</v>
          </cell>
          <cell r="C850">
            <v>2201010390</v>
          </cell>
          <cell r="D850" t="str">
            <v>Promoted</v>
          </cell>
        </row>
        <row r="851">
          <cell r="A851">
            <v>2022514039</v>
          </cell>
          <cell r="B851" t="str">
            <v>Md Naiyar Imam</v>
          </cell>
          <cell r="C851">
            <v>2201010393</v>
          </cell>
          <cell r="D851" t="str">
            <v>Promoted</v>
          </cell>
        </row>
        <row r="852">
          <cell r="A852">
            <v>2022494267</v>
          </cell>
          <cell r="B852" t="str">
            <v>Nikil .</v>
          </cell>
          <cell r="C852">
            <v>2201010473</v>
          </cell>
          <cell r="D852" t="str">
            <v>Promoted</v>
          </cell>
        </row>
        <row r="853">
          <cell r="A853">
            <v>2022489962</v>
          </cell>
          <cell r="B853" t="str">
            <v>Pratham Kumar</v>
          </cell>
          <cell r="C853">
            <v>2201010519</v>
          </cell>
          <cell r="D853" t="str">
            <v>Promoted</v>
          </cell>
        </row>
        <row r="854">
          <cell r="A854">
            <v>2022307728</v>
          </cell>
          <cell r="B854" t="str">
            <v>Rahul Choudhary</v>
          </cell>
          <cell r="C854">
            <v>2201010544</v>
          </cell>
          <cell r="D854" t="str">
            <v>Promoted</v>
          </cell>
        </row>
        <row r="855">
          <cell r="A855">
            <v>2022447868</v>
          </cell>
          <cell r="B855" t="str">
            <v>Saransh Aggarwal</v>
          </cell>
          <cell r="C855">
            <v>2201010637</v>
          </cell>
          <cell r="D855" t="str">
            <v>Promoted</v>
          </cell>
        </row>
        <row r="856">
          <cell r="A856">
            <v>2022400313</v>
          </cell>
          <cell r="B856" t="str">
            <v>Shrey Kapri</v>
          </cell>
          <cell r="C856">
            <v>2201010683</v>
          </cell>
          <cell r="D856" t="str">
            <v>Promoted</v>
          </cell>
        </row>
        <row r="857">
          <cell r="A857">
            <v>2022006905</v>
          </cell>
          <cell r="B857" t="str">
            <v>Shubham Kumar</v>
          </cell>
          <cell r="C857">
            <v>2201010691</v>
          </cell>
          <cell r="D857" t="str">
            <v>Promoted</v>
          </cell>
        </row>
        <row r="858">
          <cell r="A858">
            <v>2022513156</v>
          </cell>
          <cell r="B858" t="str">
            <v>Sneha Bajpai</v>
          </cell>
          <cell r="C858">
            <v>2201010699</v>
          </cell>
          <cell r="D858" t="str">
            <v>Promoted</v>
          </cell>
        </row>
        <row r="859">
          <cell r="A859">
            <v>2022006106</v>
          </cell>
          <cell r="B859" t="str">
            <v>Sohail Akhtar</v>
          </cell>
          <cell r="C859">
            <v>2201010704</v>
          </cell>
          <cell r="D859" t="str">
            <v>Promoted</v>
          </cell>
        </row>
        <row r="860">
          <cell r="A860">
            <v>2022003592</v>
          </cell>
          <cell r="B860" t="str">
            <v>Sumit Kumar</v>
          </cell>
          <cell r="C860">
            <v>2201010722</v>
          </cell>
          <cell r="D860" t="str">
            <v>Promoted</v>
          </cell>
        </row>
        <row r="861">
          <cell r="A861">
            <v>2022316318</v>
          </cell>
          <cell r="B861" t="str">
            <v>Utkarsh Mishra</v>
          </cell>
          <cell r="C861">
            <v>2201010765</v>
          </cell>
          <cell r="D861" t="str">
            <v>Promoted</v>
          </cell>
        </row>
        <row r="862">
          <cell r="A862">
            <v>2022005003</v>
          </cell>
          <cell r="B862" t="str">
            <v>Vishal Kumar</v>
          </cell>
          <cell r="C862">
            <v>2201010795</v>
          </cell>
          <cell r="D862" t="str">
            <v>Promoted</v>
          </cell>
        </row>
        <row r="863">
          <cell r="A863">
            <v>2022007628</v>
          </cell>
          <cell r="B863" t="str">
            <v>Bhagrajyoti Behera</v>
          </cell>
          <cell r="C863">
            <v>2201010978</v>
          </cell>
          <cell r="D863" t="str">
            <v>Promoted</v>
          </cell>
        </row>
        <row r="864">
          <cell r="A864">
            <v>2022579523</v>
          </cell>
          <cell r="B864" t="str">
            <v>Gaurav Kumar</v>
          </cell>
          <cell r="C864">
            <v>2201010979</v>
          </cell>
          <cell r="D864" t="str">
            <v>Promoted</v>
          </cell>
        </row>
        <row r="865">
          <cell r="A865">
            <v>2022006231</v>
          </cell>
          <cell r="B865" t="str">
            <v>Abhay Singh Tomar</v>
          </cell>
          <cell r="C865">
            <v>2201010016</v>
          </cell>
          <cell r="D865" t="str">
            <v>Promoted</v>
          </cell>
        </row>
        <row r="866">
          <cell r="A866">
            <v>2022473539</v>
          </cell>
          <cell r="B866" t="str">
            <v>Abhinav Rajpati</v>
          </cell>
          <cell r="C866">
            <v>2201010019</v>
          </cell>
          <cell r="D866" t="str">
            <v>Promoted</v>
          </cell>
        </row>
        <row r="867">
          <cell r="A867">
            <v>2022405514</v>
          </cell>
          <cell r="B867" t="str">
            <v>Adarsh Banyal</v>
          </cell>
          <cell r="C867">
            <v>2201010031</v>
          </cell>
          <cell r="D867" t="str">
            <v>Promoted</v>
          </cell>
        </row>
        <row r="868">
          <cell r="A868">
            <v>2022310618</v>
          </cell>
          <cell r="B868" t="str">
            <v>Aditi Negi</v>
          </cell>
          <cell r="C868">
            <v>2201010037</v>
          </cell>
          <cell r="D868" t="str">
            <v>Promoted</v>
          </cell>
        </row>
        <row r="869">
          <cell r="A869">
            <v>2022484226</v>
          </cell>
          <cell r="B869" t="str">
            <v>Aditya Kaushik</v>
          </cell>
          <cell r="C869">
            <v>2201010040</v>
          </cell>
          <cell r="D869" t="str">
            <v>Promoted</v>
          </cell>
        </row>
        <row r="870">
          <cell r="A870">
            <v>2022474671</v>
          </cell>
          <cell r="B870" t="str">
            <v>Ajay Pratap Singh</v>
          </cell>
          <cell r="C870">
            <v>2201010057</v>
          </cell>
          <cell r="D870" t="str">
            <v>Promoted</v>
          </cell>
        </row>
        <row r="871">
          <cell r="A871">
            <v>2022447404</v>
          </cell>
          <cell r="B871" t="str">
            <v>Alok Kumar Tiwari</v>
          </cell>
          <cell r="C871">
            <v>2201010072</v>
          </cell>
          <cell r="D871" t="str">
            <v>Promoted</v>
          </cell>
        </row>
        <row r="872">
          <cell r="A872">
            <v>2022466374</v>
          </cell>
          <cell r="B872" t="str">
            <v>Aryan Kumiyal</v>
          </cell>
          <cell r="C872">
            <v>2201010142</v>
          </cell>
          <cell r="D872" t="str">
            <v>Promoted</v>
          </cell>
        </row>
        <row r="873">
          <cell r="A873">
            <v>2022440656</v>
          </cell>
          <cell r="B873" t="str">
            <v>Aryan Pal</v>
          </cell>
          <cell r="C873">
            <v>2201010143</v>
          </cell>
          <cell r="D873" t="str">
            <v>Promoted</v>
          </cell>
        </row>
        <row r="874">
          <cell r="A874">
            <v>2022005319</v>
          </cell>
          <cell r="B874" t="str">
            <v>Ayush Singh</v>
          </cell>
          <cell r="C874">
            <v>2201010173</v>
          </cell>
          <cell r="D874" t="str">
            <v>Promoted</v>
          </cell>
        </row>
        <row r="875">
          <cell r="A875">
            <v>2022003898</v>
          </cell>
          <cell r="B875" t="str">
            <v>Dakshesh Chaturvedi</v>
          </cell>
          <cell r="C875">
            <v>2201010198</v>
          </cell>
          <cell r="D875" t="str">
            <v>Promoted</v>
          </cell>
        </row>
        <row r="876">
          <cell r="A876">
            <v>2022512685</v>
          </cell>
          <cell r="B876" t="str">
            <v>Diwakar Pareek</v>
          </cell>
          <cell r="C876">
            <v>2201010230</v>
          </cell>
          <cell r="D876" t="str">
            <v>Promoted</v>
          </cell>
        </row>
        <row r="877">
          <cell r="A877">
            <v>2022407190</v>
          </cell>
          <cell r="B877" t="str">
            <v>Dushyant Kumar</v>
          </cell>
          <cell r="C877">
            <v>2201010232</v>
          </cell>
          <cell r="D877" t="str">
            <v>Promoted</v>
          </cell>
        </row>
        <row r="878">
          <cell r="A878">
            <v>2022319788</v>
          </cell>
          <cell r="B878" t="str">
            <v>Gauri Shivhare</v>
          </cell>
          <cell r="C878">
            <v>2201010248</v>
          </cell>
          <cell r="D878" t="str">
            <v>Promoted</v>
          </cell>
        </row>
        <row r="879">
          <cell r="A879">
            <v>2022395985</v>
          </cell>
          <cell r="B879" t="str">
            <v>Hamzah .</v>
          </cell>
          <cell r="C879">
            <v>2201010258</v>
          </cell>
          <cell r="D879" t="str">
            <v>Promoted</v>
          </cell>
        </row>
        <row r="880">
          <cell r="A880">
            <v>2022552126</v>
          </cell>
          <cell r="B880" t="str">
            <v>Hardik Saxena</v>
          </cell>
          <cell r="C880">
            <v>2201010260</v>
          </cell>
          <cell r="D880" t="str">
            <v>Promoted</v>
          </cell>
        </row>
        <row r="881">
          <cell r="A881">
            <v>2022508051</v>
          </cell>
          <cell r="B881" t="str">
            <v>Jatin Chaudhary</v>
          </cell>
          <cell r="C881">
            <v>2201010301</v>
          </cell>
          <cell r="D881" t="str">
            <v>Promoted</v>
          </cell>
        </row>
        <row r="882">
          <cell r="A882">
            <v>2022346529</v>
          </cell>
          <cell r="B882" t="str">
            <v>Kashvi Walia</v>
          </cell>
          <cell r="C882">
            <v>2201010324</v>
          </cell>
          <cell r="D882" t="str">
            <v>Promoted</v>
          </cell>
        </row>
        <row r="883">
          <cell r="A883">
            <v>2022007017</v>
          </cell>
          <cell r="B883" t="str">
            <v>Kushagra Singh</v>
          </cell>
          <cell r="C883">
            <v>2201010351</v>
          </cell>
          <cell r="D883" t="str">
            <v>Promoted</v>
          </cell>
        </row>
        <row r="884">
          <cell r="A884">
            <v>2022806985</v>
          </cell>
          <cell r="B884" t="str">
            <v>MD Nazmus Sakib</v>
          </cell>
          <cell r="C884">
            <v>2201010394</v>
          </cell>
          <cell r="D884" t="str">
            <v>Promoted</v>
          </cell>
        </row>
        <row r="885">
          <cell r="A885">
            <v>2022476924</v>
          </cell>
          <cell r="B885" t="str">
            <v>Mukund Kumar Sharma</v>
          </cell>
          <cell r="C885">
            <v>2201010449</v>
          </cell>
          <cell r="D885" t="str">
            <v>Promoted</v>
          </cell>
        </row>
        <row r="886">
          <cell r="A886">
            <v>2022004628</v>
          </cell>
          <cell r="B886" t="str">
            <v>Neeraj Narwat</v>
          </cell>
          <cell r="C886">
            <v>2201010465</v>
          </cell>
          <cell r="D886" t="str">
            <v>Promoted</v>
          </cell>
        </row>
        <row r="887">
          <cell r="A887">
            <v>2022515845</v>
          </cell>
          <cell r="B887" t="str">
            <v>Nikhil Raj</v>
          </cell>
          <cell r="C887">
            <v>2201010470</v>
          </cell>
          <cell r="D887" t="str">
            <v>Promoted</v>
          </cell>
        </row>
        <row r="888">
          <cell r="A888">
            <v>2022512684</v>
          </cell>
          <cell r="B888" t="str">
            <v>Pallawi Hansdak</v>
          </cell>
          <cell r="C888">
            <v>2201010493</v>
          </cell>
          <cell r="D888" t="str">
            <v>Promoted</v>
          </cell>
        </row>
        <row r="889">
          <cell r="A889">
            <v>2022313141</v>
          </cell>
          <cell r="B889" t="str">
            <v>Pranaav Bhatnagar</v>
          </cell>
          <cell r="C889">
            <v>2201010511</v>
          </cell>
          <cell r="D889" t="str">
            <v>Promoted</v>
          </cell>
        </row>
        <row r="890">
          <cell r="A890">
            <v>2022482472</v>
          </cell>
          <cell r="B890" t="str">
            <v>Raghvendra Singh</v>
          </cell>
          <cell r="C890">
            <v>2201010542</v>
          </cell>
          <cell r="D890" t="str">
            <v>Promoted</v>
          </cell>
        </row>
        <row r="891">
          <cell r="A891">
            <v>2022005894</v>
          </cell>
          <cell r="B891" t="str">
            <v>Rajeev .</v>
          </cell>
          <cell r="C891">
            <v>2201010554</v>
          </cell>
          <cell r="D891" t="str">
            <v>Promoted</v>
          </cell>
        </row>
        <row r="892">
          <cell r="A892">
            <v>2022305070</v>
          </cell>
          <cell r="B892" t="str">
            <v>Rishika Sharma</v>
          </cell>
          <cell r="C892">
            <v>2201010580</v>
          </cell>
          <cell r="D892" t="str">
            <v>Promoted</v>
          </cell>
        </row>
        <row r="893">
          <cell r="A893">
            <v>2022506566</v>
          </cell>
          <cell r="B893" t="str">
            <v>Sahaam Javid Shah Misgar</v>
          </cell>
          <cell r="C893">
            <v>2201010610</v>
          </cell>
          <cell r="D893" t="str">
            <v>Promoted</v>
          </cell>
        </row>
        <row r="894">
          <cell r="A894">
            <v>2022001202</v>
          </cell>
          <cell r="B894" t="str">
            <v>Sarthak Chaudhary</v>
          </cell>
          <cell r="C894">
            <v>2201010640</v>
          </cell>
          <cell r="D894" t="str">
            <v>Promoted</v>
          </cell>
        </row>
        <row r="895">
          <cell r="A895">
            <v>2022005556</v>
          </cell>
          <cell r="B895" t="str">
            <v>Sneha Sinha</v>
          </cell>
          <cell r="C895">
            <v>2201010703</v>
          </cell>
          <cell r="D895" t="str">
            <v>Promoted</v>
          </cell>
        </row>
        <row r="896">
          <cell r="A896">
            <v>2022350649</v>
          </cell>
          <cell r="B896" t="str">
            <v>Sourabh Singh</v>
          </cell>
          <cell r="C896">
            <v>2201010714</v>
          </cell>
          <cell r="D896" t="str">
            <v>Promoted</v>
          </cell>
        </row>
        <row r="897">
          <cell r="A897">
            <v>2022817674</v>
          </cell>
          <cell r="B897" t="str">
            <v>Thirtho Raj Saha</v>
          </cell>
          <cell r="C897">
            <v>2201010752</v>
          </cell>
          <cell r="D897" t="str">
            <v>Promoted</v>
          </cell>
        </row>
        <row r="898">
          <cell r="A898">
            <v>2022439682</v>
          </cell>
          <cell r="B898" t="str">
            <v>Tridev Sharma</v>
          </cell>
          <cell r="C898">
            <v>2201010753</v>
          </cell>
          <cell r="D898" t="str">
            <v>Promoted</v>
          </cell>
        </row>
        <row r="899">
          <cell r="A899">
            <v>2022001453</v>
          </cell>
          <cell r="B899" t="str">
            <v>Utkarsh Pandey</v>
          </cell>
          <cell r="C899">
            <v>2201010766</v>
          </cell>
          <cell r="D899" t="str">
            <v>Promoted</v>
          </cell>
        </row>
        <row r="900">
          <cell r="A900">
            <v>2022006271</v>
          </cell>
          <cell r="B900" t="str">
            <v>Vaibhav Bhatnagar</v>
          </cell>
          <cell r="C900">
            <v>2201010769</v>
          </cell>
          <cell r="D900" t="str">
            <v>Promoted</v>
          </cell>
        </row>
        <row r="901">
          <cell r="A901">
            <v>2022492708</v>
          </cell>
          <cell r="B901" t="str">
            <v>Vibhas Dutta</v>
          </cell>
          <cell r="C901">
            <v>2201010785</v>
          </cell>
          <cell r="D901" t="str">
            <v>Promoted</v>
          </cell>
        </row>
        <row r="902">
          <cell r="A902">
            <v>2022801912</v>
          </cell>
          <cell r="B902" t="str">
            <v>Wend-Wooga Arthur Donald Konvelbo</v>
          </cell>
          <cell r="C902">
            <v>2201010803</v>
          </cell>
          <cell r="D902" t="str">
            <v>Promoted</v>
          </cell>
        </row>
        <row r="903">
          <cell r="A903">
            <v>2022805927</v>
          </cell>
          <cell r="B903" t="str">
            <v>Yibo Abraham Kevin Kini</v>
          </cell>
          <cell r="C903">
            <v>2201010819</v>
          </cell>
          <cell r="D903" t="str">
            <v>Promoted</v>
          </cell>
        </row>
        <row r="904">
          <cell r="A904">
            <v>2022387644</v>
          </cell>
          <cell r="B904" t="str">
            <v>Ankit Kumar</v>
          </cell>
          <cell r="C904">
            <v>2201010982</v>
          </cell>
          <cell r="D904" t="str">
            <v>Promoted</v>
          </cell>
        </row>
        <row r="905">
          <cell r="A905">
            <v>2022572570</v>
          </cell>
          <cell r="B905" t="str">
            <v>Gannon Mossang</v>
          </cell>
          <cell r="C905">
            <v>2201010984</v>
          </cell>
          <cell r="D905" t="str">
            <v>Promoted</v>
          </cell>
        </row>
        <row r="906">
          <cell r="A906">
            <v>2022836076</v>
          </cell>
          <cell r="B906" t="str">
            <v>Bidhan Lama</v>
          </cell>
          <cell r="C906">
            <v>2201010986</v>
          </cell>
          <cell r="D906" t="str">
            <v>Promoted</v>
          </cell>
        </row>
        <row r="907">
          <cell r="A907">
            <v>2022836286</v>
          </cell>
          <cell r="B907" t="str">
            <v>Md Nadim Mostofa</v>
          </cell>
          <cell r="C907">
            <v>2201010987</v>
          </cell>
          <cell r="D907" t="str">
            <v>Promoted</v>
          </cell>
        </row>
        <row r="908">
          <cell r="A908">
            <v>2022837222</v>
          </cell>
          <cell r="B908" t="str">
            <v>Aatithya Bhandari</v>
          </cell>
          <cell r="C908">
            <v>2201010988</v>
          </cell>
          <cell r="D908" t="str">
            <v>Promoted</v>
          </cell>
        </row>
      </sheetData>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S_Status"/>
      <sheetName val="Sheet2"/>
      <sheetName val="Sheet5"/>
      <sheetName val="MIS"/>
      <sheetName val="Sheet1"/>
      <sheetName val="A"/>
      <sheetName val="B"/>
      <sheetName val="C"/>
      <sheetName val="D"/>
      <sheetName val="E"/>
      <sheetName val="F"/>
      <sheetName val="G"/>
      <sheetName val="H"/>
      <sheetName val="AIML_J"/>
      <sheetName val="AIML_K"/>
      <sheetName val="AIML_L"/>
      <sheetName val="DS_M"/>
      <sheetName val="DS(N1)+IOT(N2)"/>
      <sheetName val="Cyber-O"/>
      <sheetName val="AWS(P1)+BC(P2)"/>
      <sheetName val="3rd yr_Updated Mentor"/>
    </sheetNames>
    <sheetDataSet>
      <sheetData sheetId="0"/>
      <sheetData sheetId="1"/>
      <sheetData sheetId="2"/>
      <sheetData sheetId="3"/>
      <sheetData sheetId="4">
        <row r="1">
          <cell r="D1" t="str">
            <v>Student System ID</v>
          </cell>
          <cell r="E1" t="str">
            <v>Student Roll No.</v>
          </cell>
          <cell r="F1" t="str">
            <v>New Section</v>
          </cell>
          <cell r="G1" t="str">
            <v>Program Name</v>
          </cell>
          <cell r="H1" t="str">
            <v>Student Email ID</v>
          </cell>
          <cell r="I1" t="str">
            <v>Parent mail id</v>
          </cell>
          <cell r="J1" t="str">
            <v>contact number</v>
          </cell>
          <cell r="K1" t="str">
            <v>Specialization</v>
          </cell>
          <cell r="L1" t="str">
            <v>Job Role Interest-1</v>
          </cell>
        </row>
        <row r="2">
          <cell r="D2">
            <v>2021308861</v>
          </cell>
          <cell r="E2">
            <v>210101102</v>
          </cell>
          <cell r="F2" t="str">
            <v>B-Tech CSE-VI A</v>
          </cell>
          <cell r="G2" t="str">
            <v>Bachelor of Technology</v>
          </cell>
          <cell r="H2" t="str">
            <v>2021308861.anutosh@ug.sharda.ac.in</v>
          </cell>
          <cell r="I2" t="str">
            <v>2021308861.ashutoshkumar@pt.sharda.ac.in</v>
          </cell>
          <cell r="J2" t="str">
            <v>9936777552</v>
          </cell>
          <cell r="K2" t="str">
            <v>Computer Science</v>
          </cell>
          <cell r="L2" t="str">
            <v>Machine Learning Engineer</v>
          </cell>
        </row>
        <row r="3">
          <cell r="D3">
            <v>2021529806</v>
          </cell>
          <cell r="E3">
            <v>210101190</v>
          </cell>
          <cell r="F3" t="str">
            <v>B-Tech CSE-VI A</v>
          </cell>
          <cell r="G3" t="str">
            <v>Bachelor of Technology</v>
          </cell>
          <cell r="H3" t="str">
            <v>2021529806.garv@ug.sharda.ac.in</v>
          </cell>
          <cell r="I3" t="str">
            <v>2021529806.santosh@pt.sharda.ac.in</v>
          </cell>
          <cell r="J3" t="str">
            <v>9711552459</v>
          </cell>
          <cell r="K3" t="str">
            <v>Computer Science</v>
          </cell>
          <cell r="L3" t="str">
            <v>Software Developer</v>
          </cell>
        </row>
        <row r="4">
          <cell r="D4">
            <v>2021828405</v>
          </cell>
          <cell r="E4">
            <v>210101591</v>
          </cell>
          <cell r="F4" t="str">
            <v>B-Tech CSE-VI A</v>
          </cell>
          <cell r="G4" t="str">
            <v>Bachelor of Technology</v>
          </cell>
          <cell r="H4" t="str">
            <v>2021828405.nandani@ug.sharda.ac.in</v>
          </cell>
          <cell r="I4" t="str">
            <v>2021828405.ramananda@pt.sharda.ac.in</v>
          </cell>
          <cell r="J4" t="str">
            <v>8130538380</v>
          </cell>
          <cell r="K4" t="str">
            <v>Computer Science</v>
          </cell>
          <cell r="L4" t="str">
            <v>Data Scientist</v>
          </cell>
        </row>
        <row r="5">
          <cell r="D5">
            <v>2021000009</v>
          </cell>
          <cell r="E5">
            <v>210121021</v>
          </cell>
          <cell r="F5" t="str">
            <v>B-Tech CSE-VI A</v>
          </cell>
          <cell r="G5" t="str">
            <v>Bachelor of Technology</v>
          </cell>
          <cell r="H5" t="str">
            <v>2021000009.farheen@ug.sharda.ac.in</v>
          </cell>
          <cell r="I5" t="str">
            <v>2021000009.asad@pt.sharda.ac.in</v>
          </cell>
          <cell r="J5" t="str">
            <v>9599543010</v>
          </cell>
          <cell r="K5" t="str">
            <v>Computer Science</v>
          </cell>
          <cell r="L5" t="str">
            <v>Software Developer</v>
          </cell>
        </row>
        <row r="6">
          <cell r="D6">
            <v>2022579515</v>
          </cell>
          <cell r="E6">
            <v>2201010023</v>
          </cell>
          <cell r="F6" t="str">
            <v>B-Tech CSE-VI A</v>
          </cell>
          <cell r="G6" t="str">
            <v>Bachelor of Technology</v>
          </cell>
          <cell r="H6" t="str">
            <v>2022579515.abhiraj@ug.sharda.ac.in</v>
          </cell>
          <cell r="I6" t="str">
            <v>2022579515.vijaykumar@pt.sharda.ac.in</v>
          </cell>
          <cell r="J6" t="str">
            <v>8826793887</v>
          </cell>
          <cell r="K6" t="str">
            <v>Computer Science</v>
          </cell>
          <cell r="L6" t="str">
            <v>Data Scientist</v>
          </cell>
        </row>
        <row r="7">
          <cell r="D7">
            <v>2022534811</v>
          </cell>
          <cell r="E7">
            <v>2201010078</v>
          </cell>
          <cell r="F7" t="str">
            <v>B-Tech CSE-VI A</v>
          </cell>
          <cell r="G7" t="str">
            <v>Bachelor of Technology</v>
          </cell>
          <cell r="H7" t="str">
            <v>2022534811.aman@ug.sharda.ac.in</v>
          </cell>
          <cell r="I7" t="str">
            <v>2022534811.rajeshkumar@pt.sharda.ac.in</v>
          </cell>
          <cell r="J7" t="str">
            <v>7319641049</v>
          </cell>
          <cell r="K7" t="str">
            <v>Computer Science</v>
          </cell>
          <cell r="L7" t="str">
            <v>Software Developer</v>
          </cell>
        </row>
        <row r="8">
          <cell r="D8">
            <v>2022475156</v>
          </cell>
          <cell r="E8">
            <v>2201010099</v>
          </cell>
          <cell r="F8" t="str">
            <v>B-Tech CSE-VI A</v>
          </cell>
          <cell r="G8" t="str">
            <v>Bachelor of Technology</v>
          </cell>
          <cell r="H8" t="str">
            <v>2022475156.ansh@ug.sharda.ac.in</v>
          </cell>
          <cell r="I8" t="str">
            <v>2022475156.dhananjay@pt.sharda.ac.in</v>
          </cell>
          <cell r="J8" t="str">
            <v>8789919805</v>
          </cell>
          <cell r="K8" t="str">
            <v>Computer Science</v>
          </cell>
          <cell r="L8" t="str">
            <v>Machine Learning Engineer</v>
          </cell>
        </row>
        <row r="9">
          <cell r="D9">
            <v>2022394343</v>
          </cell>
          <cell r="E9">
            <v>2201010111</v>
          </cell>
          <cell r="F9" t="str">
            <v>B-Tech CSE-VI A</v>
          </cell>
          <cell r="G9" t="str">
            <v>Bachelor of Technology</v>
          </cell>
          <cell r="H9" t="str">
            <v>2022394343.anuj@ug.sharda.ac.in</v>
          </cell>
          <cell r="I9" t="str">
            <v>2022394343.anandsingh@pt.sharda.ac.in</v>
          </cell>
          <cell r="J9" t="str">
            <v>8126133363</v>
          </cell>
          <cell r="K9" t="str">
            <v>Computer Science</v>
          </cell>
          <cell r="L9" t="str">
            <v>Data Scientist</v>
          </cell>
        </row>
        <row r="10">
          <cell r="D10">
            <v>2022006308</v>
          </cell>
          <cell r="E10">
            <v>2201010121</v>
          </cell>
          <cell r="F10" t="str">
            <v>B-Tech CSE-VI A</v>
          </cell>
          <cell r="G10" t="str">
            <v>Bachelor of Technology</v>
          </cell>
          <cell r="H10" t="str">
            <v>2022006308.arbaz@ug.sharda.ac.in</v>
          </cell>
          <cell r="I10" t="str">
            <v>2022006308.asad@pt.sharda.ac.in</v>
          </cell>
          <cell r="J10" t="str">
            <v>7300577335</v>
          </cell>
          <cell r="K10" t="str">
            <v>Computer Science</v>
          </cell>
          <cell r="L10" t="str">
            <v>Software Developer</v>
          </cell>
        </row>
        <row r="11">
          <cell r="D11">
            <v>2022438604</v>
          </cell>
          <cell r="E11">
            <v>2201010162</v>
          </cell>
          <cell r="F11" t="str">
            <v>B-Tech CSE-VI A</v>
          </cell>
          <cell r="G11" t="str">
            <v>Bachelor of Technology</v>
          </cell>
          <cell r="H11" t="str">
            <v>2022438604.atithi@ug.sharda.ac.in</v>
          </cell>
          <cell r="I11" t="str">
            <v>2022438604.kundansingh@pt.sharda.ac.in</v>
          </cell>
          <cell r="J11" t="str">
            <v>8920297350</v>
          </cell>
          <cell r="K11" t="str">
            <v>Computer Science</v>
          </cell>
          <cell r="L11" t="str">
            <v>Software Developer</v>
          </cell>
        </row>
        <row r="12">
          <cell r="D12">
            <v>2022521926</v>
          </cell>
          <cell r="E12">
            <v>2201010175</v>
          </cell>
          <cell r="F12" t="str">
            <v>B-Tech CSE-VI A</v>
          </cell>
          <cell r="G12" t="str">
            <v>Bachelor of Technology</v>
          </cell>
          <cell r="H12" t="str">
            <v>2022521926.basharat@ug.sharda.ac.in</v>
          </cell>
          <cell r="I12" t="str">
            <v>2022521926.ghulamhassan@pt.sharda.ac.in</v>
          </cell>
          <cell r="J12" t="str">
            <v>8899544845</v>
          </cell>
          <cell r="K12" t="str">
            <v>Computer Science</v>
          </cell>
          <cell r="L12" t="str">
            <v>Machine Learning Engineer</v>
          </cell>
        </row>
        <row r="13">
          <cell r="D13">
            <v>2022325232</v>
          </cell>
          <cell r="E13">
            <v>2201010178</v>
          </cell>
          <cell r="F13" t="str">
            <v>B-Tech CSE-VI A</v>
          </cell>
          <cell r="G13" t="str">
            <v>Bachelor of Technology</v>
          </cell>
          <cell r="H13" t="str">
            <v>2022325232.bhoomi@ug.sharda.ac.in</v>
          </cell>
          <cell r="I13" t="str">
            <v>2022325232.latesuneet@pt.sharda.ac.in</v>
          </cell>
          <cell r="J13" t="str">
            <v>9717628588</v>
          </cell>
          <cell r="K13" t="str">
            <v>Computer Science</v>
          </cell>
          <cell r="L13" t="str">
            <v>Data Scientist</v>
          </cell>
        </row>
        <row r="14">
          <cell r="D14">
            <v>2022305905</v>
          </cell>
          <cell r="E14">
            <v>2201010193</v>
          </cell>
          <cell r="F14" t="str">
            <v>B-Tech CSE-VI A</v>
          </cell>
          <cell r="G14" t="str">
            <v>Bachelor of Technology</v>
          </cell>
          <cell r="H14" t="str">
            <v>2022305905.chirag@ug.sharda.ac.in</v>
          </cell>
          <cell r="I14" t="str">
            <v>2022305905.sanjeev@pt.sharda.ac.in</v>
          </cell>
          <cell r="J14" t="str">
            <v>9311273352</v>
          </cell>
          <cell r="K14" t="str">
            <v>Computer Science</v>
          </cell>
          <cell r="L14" t="str">
            <v>Cloud Engineer</v>
          </cell>
        </row>
        <row r="15">
          <cell r="D15">
            <v>2022411800</v>
          </cell>
          <cell r="E15">
            <v>2201010236</v>
          </cell>
          <cell r="F15" t="str">
            <v>B-Tech CSE-VI A</v>
          </cell>
          <cell r="G15" t="str">
            <v>Bachelor of Technology</v>
          </cell>
          <cell r="H15" t="str">
            <v>2022411800.faiyaz@ug.sharda.ac.in</v>
          </cell>
          <cell r="I15" t="str">
            <v>2022411800.mdrezaulhaque@pt.sharda.ac.in</v>
          </cell>
          <cell r="J15" t="str">
            <v>9801182652</v>
          </cell>
          <cell r="K15" t="str">
            <v>Computer Science</v>
          </cell>
          <cell r="L15" t="str">
            <v>Data Scientist</v>
          </cell>
        </row>
        <row r="16">
          <cell r="D16">
            <v>2022503298</v>
          </cell>
          <cell r="E16">
            <v>2201010308</v>
          </cell>
          <cell r="F16" t="str">
            <v>B-Tech CSE-VI A</v>
          </cell>
          <cell r="G16" t="str">
            <v>Bachelor of Technology</v>
          </cell>
          <cell r="H16" t="str">
            <v>2022503298.jigar@ug.sharda.ac.in</v>
          </cell>
          <cell r="I16" t="str">
            <v>2022503298.jitendra@pt.sharda.ac.in</v>
          </cell>
          <cell r="J16" t="str">
            <v>8287518828</v>
          </cell>
          <cell r="K16" t="str">
            <v>Computer Science</v>
          </cell>
          <cell r="L16" t="str">
            <v>Cloud Engineer</v>
          </cell>
        </row>
        <row r="17">
          <cell r="D17">
            <v>2022476255</v>
          </cell>
          <cell r="E17">
            <v>2201010325</v>
          </cell>
          <cell r="F17" t="str">
            <v>B-Tech CSE-VI A</v>
          </cell>
          <cell r="G17" t="str">
            <v>Bachelor of Technology</v>
          </cell>
          <cell r="H17" t="str">
            <v>2022476255.keshav@ug.sharda.ac.in</v>
          </cell>
          <cell r="I17" t="str">
            <v>2022476255.sanjeev@pt.sharda.ac.in</v>
          </cell>
          <cell r="J17" t="str">
            <v>8700745527</v>
          </cell>
          <cell r="K17" t="str">
            <v>Computer Science</v>
          </cell>
          <cell r="L17" t="str">
            <v>Software Developer</v>
          </cell>
        </row>
        <row r="18">
          <cell r="D18">
            <v>2022501762</v>
          </cell>
          <cell r="E18">
            <v>2201010355</v>
          </cell>
          <cell r="F18" t="str">
            <v>B-Tech CSE-VI A</v>
          </cell>
          <cell r="G18" t="str">
            <v>Bachelor of Technology</v>
          </cell>
          <cell r="H18" t="str">
            <v>2022501762.lakshay@ug.sharda.ac.in</v>
          </cell>
          <cell r="I18" t="str">
            <v>2022501762.aseem@pt.sharda.ac.in</v>
          </cell>
          <cell r="J18" t="str">
            <v>8585945645</v>
          </cell>
          <cell r="K18" t="str">
            <v>Computer Science</v>
          </cell>
          <cell r="L18" t="str">
            <v>Machine Learning Engineer</v>
          </cell>
        </row>
        <row r="19">
          <cell r="D19">
            <v>2022002689</v>
          </cell>
          <cell r="E19">
            <v>2201010358</v>
          </cell>
          <cell r="F19" t="str">
            <v>B-Tech CSE-VI A</v>
          </cell>
          <cell r="G19" t="str">
            <v>Bachelor of Technology</v>
          </cell>
          <cell r="H19" t="str">
            <v>2022002689.lokender@ug.sharda.ac.in</v>
          </cell>
          <cell r="I19" t="str">
            <v>2022002689.prempal@pt.sharda.ac.in</v>
          </cell>
          <cell r="J19" t="str">
            <v>8445090264</v>
          </cell>
          <cell r="K19" t="str">
            <v>Computer Science</v>
          </cell>
          <cell r="L19" t="str">
            <v>Machine Learning Engineer</v>
          </cell>
        </row>
        <row r="20">
          <cell r="D20">
            <v>2022004863</v>
          </cell>
          <cell r="E20">
            <v>2201010370</v>
          </cell>
          <cell r="F20" t="str">
            <v>B-Tech CSE-VI A</v>
          </cell>
          <cell r="G20" t="str">
            <v>Bachelor of Technology</v>
          </cell>
          <cell r="H20" t="str">
            <v>2022004863.manish@ug.sharda.ac.in</v>
          </cell>
          <cell r="I20" t="str">
            <v>2022004863.rajeev@pt.sharda.ac.in</v>
          </cell>
          <cell r="J20" t="str">
            <v>9811299803</v>
          </cell>
          <cell r="K20" t="str">
            <v>Computer Science</v>
          </cell>
          <cell r="L20" t="str">
            <v>Software Developer</v>
          </cell>
        </row>
        <row r="21">
          <cell r="D21">
            <v>2022526514</v>
          </cell>
          <cell r="E21">
            <v>2201010415</v>
          </cell>
          <cell r="F21" t="str">
            <v>B-Tech CSE-VI A</v>
          </cell>
          <cell r="G21" t="str">
            <v>Bachelor of Technology</v>
          </cell>
          <cell r="H21" t="str">
            <v>2022526514.mohammedmikael@ug.sharda.ac.in</v>
          </cell>
          <cell r="I21" t="str">
            <v>2022526514.mohd@pt.sharda.ac.in</v>
          </cell>
          <cell r="J21" t="str">
            <v>9582995581</v>
          </cell>
          <cell r="K21" t="str">
            <v>Computer Science</v>
          </cell>
          <cell r="L21" t="str">
            <v>Machine Learning Engineer</v>
          </cell>
        </row>
        <row r="22">
          <cell r="D22">
            <v>2022429026</v>
          </cell>
          <cell r="E22">
            <v>2201010417</v>
          </cell>
          <cell r="F22" t="str">
            <v>B-Tech CSE-VI A</v>
          </cell>
          <cell r="G22" t="str">
            <v>Bachelor of Technology</v>
          </cell>
          <cell r="H22" t="str">
            <v>2022429026.mohammed@ug.sharda.ac.in</v>
          </cell>
          <cell r="I22" t="str">
            <v>2022429026.mustak@pt.sharda.ac.in</v>
          </cell>
          <cell r="J22" t="str">
            <v>8755495604</v>
          </cell>
          <cell r="K22" t="str">
            <v>Computer Science</v>
          </cell>
          <cell r="L22" t="str">
            <v>Software Developer</v>
          </cell>
        </row>
        <row r="23">
          <cell r="D23">
            <v>2022518370</v>
          </cell>
          <cell r="E23">
            <v>2201010459</v>
          </cell>
          <cell r="F23" t="str">
            <v>B-Tech CSE-VI A</v>
          </cell>
          <cell r="G23" t="str">
            <v>Bachelor of Technology</v>
          </cell>
          <cell r="H23" t="str">
            <v>2022518370.naveen@ug.sharda.ac.in</v>
          </cell>
          <cell r="I23" t="str">
            <v>2022518370.premkumar@pt.sharda.ac.in</v>
          </cell>
          <cell r="J23" t="str">
            <v>9625306997</v>
          </cell>
          <cell r="K23" t="str">
            <v>Computer Science</v>
          </cell>
          <cell r="L23" t="str">
            <v>Software Developer</v>
          </cell>
        </row>
        <row r="24">
          <cell r="D24">
            <v>2022437668</v>
          </cell>
          <cell r="E24">
            <v>2201010467</v>
          </cell>
          <cell r="F24" t="str">
            <v>B-Tech CSE-VI A</v>
          </cell>
          <cell r="G24" t="str">
            <v>Bachelor of Technology</v>
          </cell>
          <cell r="H24" t="str">
            <v>2022437668.nidhi@ug.sharda.ac.in</v>
          </cell>
          <cell r="I24" t="str">
            <v>2022437668.arvindkumar@pt.sharda.ac.in</v>
          </cell>
          <cell r="J24" t="str">
            <v>8279969497</v>
          </cell>
          <cell r="K24" t="str">
            <v>Computer Science</v>
          </cell>
          <cell r="L24" t="str">
            <v>Machine Learning Engineer</v>
          </cell>
        </row>
        <row r="25">
          <cell r="D25">
            <v>2022513603</v>
          </cell>
          <cell r="E25">
            <v>2201010538</v>
          </cell>
          <cell r="F25" t="str">
            <v>B-Tech CSE-VI A</v>
          </cell>
          <cell r="G25" t="str">
            <v>Bachelor of Technology</v>
          </cell>
          <cell r="H25" t="str">
            <v>2022513603.pulle@ug.sharda.ac.in</v>
          </cell>
          <cell r="I25" t="str">
            <v>2022513603.pulle@pt.sharda.ac.in</v>
          </cell>
          <cell r="J25" t="str">
            <v>9542009934</v>
          </cell>
          <cell r="K25" t="str">
            <v>Computer Science</v>
          </cell>
          <cell r="L25" t="str">
            <v>Data Scientist</v>
          </cell>
        </row>
        <row r="26">
          <cell r="D26">
            <v>2022497991</v>
          </cell>
          <cell r="E26">
            <v>2201010552</v>
          </cell>
          <cell r="F26" t="str">
            <v>B-Tech CSE-VI A</v>
          </cell>
          <cell r="G26" t="str">
            <v>Bachelor of Technology</v>
          </cell>
          <cell r="H26" t="str">
            <v>2022497991.rajan@ug.sharda.ac.in</v>
          </cell>
          <cell r="I26" t="str">
            <v>2022497991.mahender@pt.sharda.ac.in</v>
          </cell>
          <cell r="J26" t="str">
            <v>7291063223</v>
          </cell>
          <cell r="K26" t="str">
            <v>Computer Science</v>
          </cell>
          <cell r="L26" t="str">
            <v>Machine Learning Engineer</v>
          </cell>
        </row>
        <row r="27">
          <cell r="D27">
            <v>2022563106</v>
          </cell>
          <cell r="E27">
            <v>2201010558</v>
          </cell>
          <cell r="F27" t="str">
            <v>B-Tech CSE-VI A</v>
          </cell>
          <cell r="G27" t="str">
            <v>Bachelor of Technology</v>
          </cell>
          <cell r="H27" t="str">
            <v>2022563106.rakshit@ug.sharda.ac.in</v>
          </cell>
          <cell r="I27" t="str">
            <v>2022563106.sanjaykumar@pt.sharda.ac.in</v>
          </cell>
          <cell r="J27" t="str">
            <v>8929565652</v>
          </cell>
          <cell r="K27" t="str">
            <v>Computer Science</v>
          </cell>
          <cell r="L27" t="str">
            <v>Machine Learning Engineer</v>
          </cell>
        </row>
        <row r="28">
          <cell r="D28">
            <v>2022506102</v>
          </cell>
          <cell r="E28">
            <v>2201010597</v>
          </cell>
          <cell r="F28" t="str">
            <v>B-Tech CSE-VI A</v>
          </cell>
          <cell r="G28" t="str">
            <v>Bachelor of Technology</v>
          </cell>
          <cell r="H28" t="str">
            <v>2022506102.rohan@ug.sharda.ac.in</v>
          </cell>
          <cell r="I28" t="str">
            <v>2022506102.santoshkumar@pt.sharda.ac.in</v>
          </cell>
          <cell r="J28" t="str">
            <v>8887501600</v>
          </cell>
          <cell r="K28" t="str">
            <v>Computer Science</v>
          </cell>
          <cell r="L28" t="e">
            <v>#N/A</v>
          </cell>
        </row>
        <row r="29">
          <cell r="D29">
            <v>2022478036</v>
          </cell>
          <cell r="E29">
            <v>2201010605</v>
          </cell>
          <cell r="F29" t="str">
            <v>B-Tech CSE-VI A</v>
          </cell>
          <cell r="G29" t="str">
            <v>Bachelor of Technology</v>
          </cell>
          <cell r="H29" t="str">
            <v>2022478036.rudra@ug.sharda.ac.in</v>
          </cell>
          <cell r="I29" t="str">
            <v>2022478036.ajay@pt.sharda.ac.in</v>
          </cell>
          <cell r="J29" t="str">
            <v>9358584820</v>
          </cell>
          <cell r="K29" t="str">
            <v>Computer Science</v>
          </cell>
          <cell r="L29" t="str">
            <v>Software Developer</v>
          </cell>
        </row>
        <row r="30">
          <cell r="D30">
            <v>2022344264</v>
          </cell>
          <cell r="E30">
            <v>2201010634</v>
          </cell>
          <cell r="F30" t="str">
            <v>B-Tech CSE-VI A</v>
          </cell>
          <cell r="G30" t="str">
            <v>Bachelor of Technology</v>
          </cell>
          <cell r="H30" t="str">
            <v>2022344264.sanket@ug.sharda.ac.in</v>
          </cell>
          <cell r="I30" t="str">
            <v>2022344264.krishna@pt.sharda.ac.in</v>
          </cell>
          <cell r="J30" t="str">
            <v>9899045081</v>
          </cell>
          <cell r="K30" t="str">
            <v>Computer Science</v>
          </cell>
          <cell r="L30" t="str">
            <v>Software Developer</v>
          </cell>
        </row>
        <row r="31">
          <cell r="D31">
            <v>2022004547</v>
          </cell>
          <cell r="E31">
            <v>2201010635</v>
          </cell>
          <cell r="F31" t="str">
            <v>B-Tech CSE-VI A</v>
          </cell>
          <cell r="G31" t="str">
            <v>Bachelor of Technology</v>
          </cell>
          <cell r="H31" t="str">
            <v>2022004547.sanskriti@ug.sharda.ac.in</v>
          </cell>
          <cell r="I31" t="str">
            <v>2022004547.sanjay@pt.sharda.ac.in</v>
          </cell>
          <cell r="J31" t="str">
            <v>7011428007</v>
          </cell>
          <cell r="K31" t="str">
            <v>Computer Science</v>
          </cell>
          <cell r="L31" t="str">
            <v>Machine Learning Engineer</v>
          </cell>
        </row>
        <row r="32">
          <cell r="D32">
            <v>2022438521</v>
          </cell>
          <cell r="E32">
            <v>2201010646</v>
          </cell>
          <cell r="F32" t="str">
            <v>B-Tech CSE-VI A</v>
          </cell>
          <cell r="G32" t="str">
            <v>Bachelor of Technology</v>
          </cell>
          <cell r="H32" t="str">
            <v>2022438521.saumya@ug.sharda.ac.in</v>
          </cell>
          <cell r="I32" t="str">
            <v>2022438521.lateshankar@pt.sharda.ac.in</v>
          </cell>
          <cell r="J32" t="str">
            <v>7979996286</v>
          </cell>
          <cell r="K32" t="str">
            <v>Computer Science</v>
          </cell>
          <cell r="L32" t="str">
            <v>Software Developer</v>
          </cell>
        </row>
        <row r="33">
          <cell r="D33">
            <v>2022006789</v>
          </cell>
          <cell r="E33">
            <v>2201010661</v>
          </cell>
          <cell r="F33" t="str">
            <v>B-Tech CSE-VI A</v>
          </cell>
          <cell r="G33" t="str">
            <v>Bachelor of Technology</v>
          </cell>
          <cell r="H33" t="str">
            <v>2022006789.shaurya@ug.sharda.ac.in</v>
          </cell>
          <cell r="I33" t="str">
            <v>2022006789.kishan@pt.sharda.ac.in</v>
          </cell>
          <cell r="J33" t="str">
            <v>8750854190</v>
          </cell>
          <cell r="K33" t="str">
            <v>Computer Science</v>
          </cell>
          <cell r="L33" t="str">
            <v>Machine Learning Engineer</v>
          </cell>
        </row>
        <row r="34">
          <cell r="D34">
            <v>2022472720</v>
          </cell>
          <cell r="E34">
            <v>2201010668</v>
          </cell>
          <cell r="F34" t="str">
            <v>B-Tech CSE-VI A</v>
          </cell>
          <cell r="G34" t="str">
            <v>Bachelor of Technology</v>
          </cell>
          <cell r="H34" t="str">
            <v>2022472720.shivam@ug.sharda.ac.in</v>
          </cell>
          <cell r="I34" t="str">
            <v>2022472720.brijmohan@pt.sharda.ac.in</v>
          </cell>
          <cell r="J34" t="str">
            <v>9458354480</v>
          </cell>
          <cell r="K34" t="str">
            <v>Computer Science</v>
          </cell>
          <cell r="L34" t="str">
            <v>Full Stack Developer(Spring Boot)</v>
          </cell>
        </row>
        <row r="35">
          <cell r="D35">
            <v>2022577110</v>
          </cell>
          <cell r="E35">
            <v>2201010671</v>
          </cell>
          <cell r="F35" t="str">
            <v>B-Tech CSE-VI A</v>
          </cell>
          <cell r="G35" t="str">
            <v>Bachelor of Technology</v>
          </cell>
          <cell r="H35" t="str">
            <v>2022577110.shivam@ug.sharda.ac.in</v>
          </cell>
          <cell r="I35" t="str">
            <v>2022577110.udayshankar@pt.sharda.ac.in</v>
          </cell>
          <cell r="J35" t="str">
            <v>9508885660</v>
          </cell>
          <cell r="K35" t="str">
            <v>Computer Science</v>
          </cell>
          <cell r="L35" t="str">
            <v>Software Developer</v>
          </cell>
        </row>
        <row r="36">
          <cell r="D36">
            <v>2022432518</v>
          </cell>
          <cell r="E36">
            <v>2201010676</v>
          </cell>
          <cell r="F36" t="str">
            <v>B-Tech CSE-VI A</v>
          </cell>
          <cell r="G36" t="str">
            <v>Bachelor of Technology</v>
          </cell>
          <cell r="H36" t="str">
            <v>2022432518.shivam@ug.sharda.ac.in</v>
          </cell>
          <cell r="I36" t="str">
            <v>2022432518.pramodkumar@pt.sharda.ac.in</v>
          </cell>
          <cell r="J36" t="str">
            <v>7983413394</v>
          </cell>
          <cell r="K36" t="str">
            <v>Computer Science</v>
          </cell>
          <cell r="L36" t="str">
            <v>Software Developer</v>
          </cell>
        </row>
        <row r="37">
          <cell r="D37">
            <v>2022512360</v>
          </cell>
          <cell r="E37">
            <v>2201010681</v>
          </cell>
          <cell r="F37" t="str">
            <v>B-Tech CSE-VI A</v>
          </cell>
          <cell r="G37" t="str">
            <v>Bachelor of Technology</v>
          </cell>
          <cell r="H37" t="str">
            <v>2022512360.shobhit@ug.sharda.ac.in</v>
          </cell>
          <cell r="I37" t="str">
            <v>2022512360.ramprasad@pt.sharda.ac.in</v>
          </cell>
          <cell r="J37" t="str">
            <v>7651937775</v>
          </cell>
          <cell r="K37" t="str">
            <v>Computer Science</v>
          </cell>
          <cell r="L37" t="str">
            <v>Data Scientist</v>
          </cell>
        </row>
        <row r="38">
          <cell r="D38">
            <v>2022004756</v>
          </cell>
          <cell r="E38">
            <v>2201010684</v>
          </cell>
          <cell r="F38" t="str">
            <v>B-Tech CSE-VI A</v>
          </cell>
          <cell r="G38" t="str">
            <v>Bachelor of Technology</v>
          </cell>
          <cell r="H38" t="str">
            <v>2022004756.shreyal@ug.sharda.ac.in</v>
          </cell>
          <cell r="I38" t="str">
            <v>2022004756.manish@pt.sharda.ac.in</v>
          </cell>
          <cell r="J38" t="str">
            <v>8439840461</v>
          </cell>
          <cell r="K38" t="str">
            <v>Computer Science</v>
          </cell>
          <cell r="L38" t="str">
            <v>Software Developer</v>
          </cell>
        </row>
        <row r="39">
          <cell r="D39">
            <v>2022520978</v>
          </cell>
          <cell r="E39">
            <v>2201010693</v>
          </cell>
          <cell r="F39" t="str">
            <v>B-Tech CSE-VI A</v>
          </cell>
          <cell r="G39" t="str">
            <v>Bachelor of Technology</v>
          </cell>
          <cell r="H39" t="str">
            <v>2022520978.shubhojit@ug.sharda.ac.in</v>
          </cell>
          <cell r="I39" t="str">
            <v>2022520978.abhijit@pt.sharda.ac.in</v>
          </cell>
          <cell r="J39" t="str">
            <v>7080050607</v>
          </cell>
          <cell r="K39" t="str">
            <v>Computer Science</v>
          </cell>
          <cell r="L39" t="str">
            <v>Software Developer</v>
          </cell>
        </row>
        <row r="40">
          <cell r="D40">
            <v>2022003913</v>
          </cell>
          <cell r="E40">
            <v>2201010718</v>
          </cell>
          <cell r="F40" t="str">
            <v>B-Tech CSE-VI A</v>
          </cell>
          <cell r="G40" t="str">
            <v>Bachelor of Technology</v>
          </cell>
          <cell r="H40" t="str">
            <v>2022003913.suhail@ug.sharda.ac.in</v>
          </cell>
          <cell r="I40" t="str">
            <v>2022003913.nazirahmad@pt.sharda.ac.in</v>
          </cell>
          <cell r="J40" t="str">
            <v>7006837134</v>
          </cell>
          <cell r="K40" t="str">
            <v>Computer Science</v>
          </cell>
          <cell r="L40" t="str">
            <v>Cloud Engineer</v>
          </cell>
        </row>
        <row r="41">
          <cell r="D41">
            <v>2022006898</v>
          </cell>
          <cell r="E41">
            <v>2201010729</v>
          </cell>
          <cell r="F41" t="str">
            <v>B-Tech CSE-VI A</v>
          </cell>
          <cell r="G41" t="str">
            <v>Bachelor of Technology</v>
          </cell>
          <cell r="H41" t="str">
            <v>2022006898.surbhi@ug.sharda.ac.in</v>
          </cell>
          <cell r="I41" t="str">
            <v>2022006898.pawan@pt.sharda.ac.in</v>
          </cell>
          <cell r="J41" t="str">
            <v>7428943713</v>
          </cell>
          <cell r="K41" t="str">
            <v>Computer Science</v>
          </cell>
          <cell r="L41" t="str">
            <v>Full Stack Developer(Spring Boot)</v>
          </cell>
        </row>
        <row r="42">
          <cell r="D42">
            <v>2022517301</v>
          </cell>
          <cell r="E42">
            <v>2201010730</v>
          </cell>
          <cell r="F42" t="str">
            <v>B-Tech CSE-VI A</v>
          </cell>
          <cell r="G42" t="str">
            <v>Bachelor of Technology</v>
          </cell>
          <cell r="H42" t="str">
            <v>2022517301.suruchi@ug.sharda.ac.in</v>
          </cell>
          <cell r="I42" t="str">
            <v>2022517301.ajayakumar@pt.sharda.ac.in</v>
          </cell>
          <cell r="J42" t="str">
            <v>9006595003</v>
          </cell>
          <cell r="K42" t="str">
            <v>Computer Science</v>
          </cell>
          <cell r="L42" t="str">
            <v>Data Scientist</v>
          </cell>
        </row>
        <row r="43">
          <cell r="D43">
            <v>2022534653</v>
          </cell>
          <cell r="E43">
            <v>2201010751</v>
          </cell>
          <cell r="F43" t="str">
            <v>B-Tech CSE-VI A</v>
          </cell>
          <cell r="G43" t="str">
            <v>Bachelor of Technology</v>
          </cell>
          <cell r="H43" t="str">
            <v>2022534653.taukir@ug.sharda.ac.in</v>
          </cell>
          <cell r="I43" t="str">
            <v>2022534653.arshad@pt.sharda.ac.in</v>
          </cell>
          <cell r="J43" t="str">
            <v>7079289030</v>
          </cell>
          <cell r="K43" t="str">
            <v>Computer Science</v>
          </cell>
          <cell r="L43" t="str">
            <v>Machine Learning Engineer</v>
          </cell>
        </row>
        <row r="44">
          <cell r="D44">
            <v>2022452189</v>
          </cell>
          <cell r="E44">
            <v>2201010787</v>
          </cell>
          <cell r="F44" t="str">
            <v>B-Tech CSE-VI A</v>
          </cell>
          <cell r="G44" t="str">
            <v>Bachelor of Technology</v>
          </cell>
          <cell r="H44" t="str">
            <v>2022452189.vigyanshu@ug.sharda.ac.in</v>
          </cell>
          <cell r="I44" t="str">
            <v>2022452189.jankisharan@pt.sharda.ac.in</v>
          </cell>
          <cell r="J44" t="str">
            <v>8878530472</v>
          </cell>
          <cell r="K44" t="str">
            <v>Computer Science</v>
          </cell>
          <cell r="L44" t="str">
            <v>Data Scientist</v>
          </cell>
        </row>
        <row r="45">
          <cell r="D45">
            <v>2022006072</v>
          </cell>
          <cell r="E45">
            <v>2201010815</v>
          </cell>
          <cell r="F45" t="str">
            <v>B-Tech CSE-VI A</v>
          </cell>
          <cell r="G45" t="str">
            <v>Bachelor of Technology</v>
          </cell>
          <cell r="H45" t="str">
            <v>2022006072.yashika@ug.sharda.ac.in</v>
          </cell>
          <cell r="I45" t="str">
            <v>2022006072.niranjan@pt.sharda.ac.in</v>
          </cell>
          <cell r="J45" t="str">
            <v>8811995780</v>
          </cell>
          <cell r="K45" t="str">
            <v>Computer Science</v>
          </cell>
          <cell r="L45" t="str">
            <v>Software Developer</v>
          </cell>
        </row>
        <row r="46">
          <cell r="D46">
            <v>2022518505</v>
          </cell>
          <cell r="E46">
            <v>2201010821</v>
          </cell>
          <cell r="F46" t="str">
            <v>B-Tech CSE-VI A</v>
          </cell>
          <cell r="G46" t="str">
            <v>Bachelor of Technology</v>
          </cell>
          <cell r="H46" t="str">
            <v>2022518505.yukti@ug.sharda.ac.in</v>
          </cell>
          <cell r="I46" t="str">
            <v>2022518505.sandeep@pt.sharda.ac.in</v>
          </cell>
          <cell r="J46" t="str">
            <v>9536903232</v>
          </cell>
          <cell r="K46" t="str">
            <v>Computer Science</v>
          </cell>
          <cell r="L46" t="str">
            <v>Machine Learning Engineer</v>
          </cell>
        </row>
        <row r="47">
          <cell r="D47">
            <v>2022006613</v>
          </cell>
          <cell r="E47">
            <v>2201010831</v>
          </cell>
          <cell r="F47" t="str">
            <v>B-Tech CSE-VI A</v>
          </cell>
          <cell r="G47" t="str">
            <v>Bachelor of Technology</v>
          </cell>
          <cell r="H47" t="str">
            <v>2022006613.aryan@ug.sharda.ac.in</v>
          </cell>
          <cell r="I47" t="str">
            <v>2022006613.parth@pt.sharda.ac.in</v>
          </cell>
          <cell r="J47" t="str">
            <v>7004207327</v>
          </cell>
          <cell r="K47" t="str">
            <v>Computer Science</v>
          </cell>
          <cell r="L47" t="str">
            <v>Software Developer</v>
          </cell>
        </row>
        <row r="48">
          <cell r="D48">
            <v>2022007518</v>
          </cell>
          <cell r="E48">
            <v>2201010850</v>
          </cell>
          <cell r="F48" t="str">
            <v>B-Tech CSE-VI A</v>
          </cell>
          <cell r="G48" t="str">
            <v>Bachelor of Technology</v>
          </cell>
          <cell r="H48" t="str">
            <v>2022007518.krishi@ug.sharda.ac.in</v>
          </cell>
          <cell r="I48" t="str">
            <v>2022007518.sandeep@pt.sharda.ac.in</v>
          </cell>
          <cell r="J48" t="str">
            <v>8744095807</v>
          </cell>
          <cell r="K48" t="str">
            <v>Computer Science</v>
          </cell>
          <cell r="L48" t="str">
            <v>Data Scientist</v>
          </cell>
        </row>
        <row r="49">
          <cell r="D49">
            <v>2022007615</v>
          </cell>
          <cell r="E49">
            <v>2201010852</v>
          </cell>
          <cell r="F49" t="str">
            <v>B-Tech CSE-VI A</v>
          </cell>
          <cell r="G49" t="str">
            <v>Bachelor of Technology</v>
          </cell>
          <cell r="H49" t="str">
            <v>2022007615.lakshya@ug.sharda.ac.in</v>
          </cell>
          <cell r="I49" t="str">
            <v>2022007615.pankajkumar@pt.sharda.ac.in</v>
          </cell>
          <cell r="J49" t="str">
            <v>9910105985</v>
          </cell>
          <cell r="K49" t="str">
            <v>Computer Science</v>
          </cell>
          <cell r="L49" t="str">
            <v>Data Scientist</v>
          </cell>
        </row>
        <row r="50">
          <cell r="D50">
            <v>2022007629</v>
          </cell>
          <cell r="E50">
            <v>2201010853</v>
          </cell>
          <cell r="F50" t="str">
            <v>B-Tech CSE-VI A</v>
          </cell>
          <cell r="G50" t="str">
            <v>Bachelor of Technology</v>
          </cell>
          <cell r="H50" t="str">
            <v>2022007629.akshansu@ug.sharda.ac.in</v>
          </cell>
          <cell r="I50" t="str">
            <v>2022007629.janesh@pt.sharda.ac.in</v>
          </cell>
          <cell r="J50" t="str">
            <v>8860855324</v>
          </cell>
          <cell r="K50" t="str">
            <v>Computer Science</v>
          </cell>
          <cell r="L50" t="str">
            <v>Data Scientist</v>
          </cell>
        </row>
        <row r="51">
          <cell r="D51">
            <v>2022007684</v>
          </cell>
          <cell r="E51">
            <v>2201010859</v>
          </cell>
          <cell r="F51" t="str">
            <v>B-Tech CSE-VI A</v>
          </cell>
          <cell r="G51" t="str">
            <v>Bachelor of Technology</v>
          </cell>
          <cell r="H51" t="str">
            <v>2022007684.astha@ug.sharda.ac.in</v>
          </cell>
          <cell r="I51" t="str">
            <v>2022007684.swadesh@pt.sharda.ac.in</v>
          </cell>
          <cell r="J51" t="str">
            <v>9058956922</v>
          </cell>
          <cell r="K51" t="str">
            <v>Computer Science</v>
          </cell>
          <cell r="L51" t="str">
            <v>Software Developer</v>
          </cell>
        </row>
        <row r="52">
          <cell r="D52">
            <v>2022007720</v>
          </cell>
          <cell r="E52">
            <v>2201010861</v>
          </cell>
          <cell r="F52" t="str">
            <v>B-Tech CSE-VI A</v>
          </cell>
          <cell r="G52" t="str">
            <v>Bachelor of Technology</v>
          </cell>
          <cell r="H52" t="str">
            <v>2022007720.bhupendra@ug.sharda.ac.in</v>
          </cell>
          <cell r="I52" t="str">
            <v>2022007720.jaiprakash@pt.sharda.ac.in</v>
          </cell>
          <cell r="J52" t="str">
            <v>9457526385</v>
          </cell>
          <cell r="K52" t="str">
            <v>Computer Science</v>
          </cell>
          <cell r="L52" t="str">
            <v>Machine Learning Engineer</v>
          </cell>
        </row>
        <row r="53">
          <cell r="D53">
            <v>2022545040</v>
          </cell>
          <cell r="E53">
            <v>2201010880</v>
          </cell>
          <cell r="F53" t="str">
            <v>B-Tech CSE-VI A</v>
          </cell>
          <cell r="G53" t="str">
            <v>Bachelor of Technology</v>
          </cell>
          <cell r="H53" t="str">
            <v>2022545040.ayush@ug.sharda.ac.in</v>
          </cell>
          <cell r="I53" t="str">
            <v>2022545040.brajesh@pt.sharda.ac.in</v>
          </cell>
          <cell r="J53" t="str">
            <v>6207194108</v>
          </cell>
          <cell r="K53" t="str">
            <v>Computer Science</v>
          </cell>
          <cell r="L53" t="str">
            <v>Software Developer</v>
          </cell>
        </row>
        <row r="54">
          <cell r="D54">
            <v>2022565552</v>
          </cell>
          <cell r="E54">
            <v>2201010883</v>
          </cell>
          <cell r="F54" t="str">
            <v>B-Tech CSE-VI A</v>
          </cell>
          <cell r="G54" t="str">
            <v>Bachelor of Technology</v>
          </cell>
          <cell r="H54" t="str">
            <v>2022565552.sahil@ug.sharda.ac.in</v>
          </cell>
          <cell r="I54" t="str">
            <v>2022565552.sushil@pt.sharda.ac.in</v>
          </cell>
          <cell r="J54" t="str">
            <v>8709884394</v>
          </cell>
          <cell r="K54" t="str">
            <v>Computer Science</v>
          </cell>
          <cell r="L54" t="str">
            <v>Software Developer</v>
          </cell>
        </row>
        <row r="55">
          <cell r="D55">
            <v>2022583301</v>
          </cell>
          <cell r="E55">
            <v>2201010885</v>
          </cell>
          <cell r="F55" t="str">
            <v>B-Tech CSE-VI A</v>
          </cell>
          <cell r="G55" t="str">
            <v>Bachelor of Technology</v>
          </cell>
          <cell r="H55" t="str">
            <v>2022583301.utkarsh@ug.sharda.ac.in</v>
          </cell>
          <cell r="I55" t="str">
            <v>2022583301.anuj@pt.sharda.ac.in</v>
          </cell>
          <cell r="J55" t="str">
            <v>8090322789</v>
          </cell>
          <cell r="K55" t="str">
            <v>Computer Science</v>
          </cell>
          <cell r="L55" t="str">
            <v>Machine Learning Engineer</v>
          </cell>
        </row>
        <row r="56">
          <cell r="D56">
            <v>2022592906</v>
          </cell>
          <cell r="E56">
            <v>2201010889</v>
          </cell>
          <cell r="F56" t="str">
            <v>B-Tech CSE-VI A</v>
          </cell>
          <cell r="G56" t="str">
            <v>Bachelor of Technology</v>
          </cell>
          <cell r="H56" t="str">
            <v>2022592906.purushottam@ug.sharda.ac.in</v>
          </cell>
          <cell r="I56" t="str">
            <v>2022592906.samdershi@pt.sharda.ac.in</v>
          </cell>
          <cell r="J56" t="str">
            <v>9799320169</v>
          </cell>
          <cell r="K56" t="str">
            <v>Computer Science</v>
          </cell>
          <cell r="L56" t="str">
            <v>Machine Learning Engineer</v>
          </cell>
        </row>
        <row r="57">
          <cell r="D57">
            <v>2022596015</v>
          </cell>
          <cell r="E57">
            <v>2201010893</v>
          </cell>
          <cell r="F57" t="str">
            <v>B-Tech CSE-VI A</v>
          </cell>
          <cell r="G57" t="str">
            <v>Bachelor of Technology</v>
          </cell>
          <cell r="H57" t="str">
            <v>2022596015.abhijeet@ug.sharda.ac.in</v>
          </cell>
          <cell r="I57" t="str">
            <v>2022596015.manoj@pt.sharda.ac.in</v>
          </cell>
          <cell r="J57" t="str">
            <v>9122808279</v>
          </cell>
          <cell r="K57" t="str">
            <v>Computer Science</v>
          </cell>
          <cell r="L57" t="str">
            <v>Software Developer</v>
          </cell>
        </row>
        <row r="58">
          <cell r="D58">
            <v>2022609610</v>
          </cell>
          <cell r="E58">
            <v>2201010899</v>
          </cell>
          <cell r="F58" t="str">
            <v>B-Tech CSE-VI A</v>
          </cell>
          <cell r="G58" t="str">
            <v>Bachelor of Technology</v>
          </cell>
          <cell r="H58" t="str">
            <v>2022609610.abhishek@ug.sharda.ac.in</v>
          </cell>
          <cell r="I58" t="str">
            <v>2022609610.ajay@pt.sharda.ac.in</v>
          </cell>
          <cell r="J58" t="str">
            <v>7033292805</v>
          </cell>
          <cell r="K58" t="str">
            <v>Computer Science</v>
          </cell>
          <cell r="L58" t="str">
            <v>Testing Engineer</v>
          </cell>
        </row>
        <row r="59">
          <cell r="D59">
            <v>2022837427</v>
          </cell>
          <cell r="E59">
            <v>2201010913</v>
          </cell>
          <cell r="F59" t="str">
            <v>B-Tech CSE-VI A</v>
          </cell>
          <cell r="G59" t="str">
            <v>Bachelor of Technology</v>
          </cell>
          <cell r="H59" t="str">
            <v>2022837427.sarthak@ug.sharda.ac.in</v>
          </cell>
          <cell r="I59" t="str">
            <v>2022837427.kanhaiyalal@pt.sharda.ac.in</v>
          </cell>
          <cell r="J59" t="str">
            <v>977 9813003131</v>
          </cell>
          <cell r="K59" t="str">
            <v>Computer Science</v>
          </cell>
          <cell r="L59" t="str">
            <v>Software Developer</v>
          </cell>
        </row>
        <row r="60">
          <cell r="D60">
            <v>2023248088</v>
          </cell>
          <cell r="E60">
            <v>2301017003</v>
          </cell>
          <cell r="F60" t="str">
            <v>B-Tech CSE-VI A</v>
          </cell>
          <cell r="G60" t="str">
            <v>Bachelor of Technology</v>
          </cell>
          <cell r="H60" t="str">
            <v>2023248088.andrew@ug.sharda.ac.in</v>
          </cell>
          <cell r="I60" t="str">
            <v>2023248088.ch@pt.sharda.ac.in</v>
          </cell>
          <cell r="J60" t="str">
            <v>9013572298</v>
          </cell>
          <cell r="K60" t="str">
            <v>Computer Science</v>
          </cell>
          <cell r="L60" t="str">
            <v>Software Developer</v>
          </cell>
        </row>
        <row r="61">
          <cell r="D61">
            <v>2023583466</v>
          </cell>
          <cell r="E61">
            <v>2301017012</v>
          </cell>
          <cell r="F61" t="str">
            <v>B-Tech CSE-VI A</v>
          </cell>
          <cell r="G61" t="str">
            <v>Bachelor of Technology</v>
          </cell>
          <cell r="H61" t="str">
            <v>2023583466.prashid@ug.sharda.ac.in</v>
          </cell>
          <cell r="I61" t="str">
            <v>2023583466.prakash@pt.sharda.ac.in</v>
          </cell>
          <cell r="J61" t="str">
            <v>7479301653</v>
          </cell>
          <cell r="K61" t="str">
            <v>Computer Science</v>
          </cell>
          <cell r="L61" t="str">
            <v>Android Developer</v>
          </cell>
        </row>
        <row r="62">
          <cell r="D62">
            <v>2023524672</v>
          </cell>
          <cell r="E62">
            <v>2301017018</v>
          </cell>
          <cell r="F62" t="str">
            <v>B-Tech CSE-VI A</v>
          </cell>
          <cell r="G62" t="str">
            <v>Bachelor of Technology</v>
          </cell>
          <cell r="H62" t="str">
            <v>2023524672.sudiksha@ug.sharda.ac.in</v>
          </cell>
          <cell r="I62" t="str">
            <v>2023524672.sunil@pt.sharda.ac.in</v>
          </cell>
          <cell r="J62" t="str">
            <v>8368285187</v>
          </cell>
          <cell r="K62" t="str">
            <v>Computer Science</v>
          </cell>
          <cell r="L62" t="str">
            <v>Data Scientist</v>
          </cell>
        </row>
        <row r="63">
          <cell r="D63">
            <v>2023500162</v>
          </cell>
          <cell r="E63">
            <v>2301017020</v>
          </cell>
          <cell r="F63" t="str">
            <v>B-Tech CSE-VI A</v>
          </cell>
          <cell r="G63" t="str">
            <v>Bachelor of Technology</v>
          </cell>
          <cell r="H63" t="str">
            <v>2023500162.tauhid@ug.sharda.ac.in</v>
          </cell>
          <cell r="I63" t="str">
            <v>2023500162.roshan@pt.sharda.ac.in</v>
          </cell>
          <cell r="J63" t="str">
            <v>9305783117</v>
          </cell>
          <cell r="K63" t="str">
            <v>Computer Science</v>
          </cell>
          <cell r="L63" t="str">
            <v>Full Stack Developer(MERN Stack)</v>
          </cell>
        </row>
        <row r="64">
          <cell r="D64">
            <v>2021479763</v>
          </cell>
          <cell r="E64">
            <v>210101025</v>
          </cell>
          <cell r="F64" t="str">
            <v>B-Tech CSE-VI A</v>
          </cell>
          <cell r="G64" t="str">
            <v>Bachelor of Technology</v>
          </cell>
          <cell r="H64" t="str">
            <v>2021479763.abhishek@ug.sharda.ac.in</v>
          </cell>
          <cell r="I64" t="str">
            <v>2021479763.virendra@pt.sharda.ac.in</v>
          </cell>
          <cell r="J64">
            <v>9140907009</v>
          </cell>
          <cell r="K64" t="str">
            <v>Computer Science</v>
          </cell>
          <cell r="L64">
            <v>0</v>
          </cell>
        </row>
        <row r="65">
          <cell r="D65">
            <v>2024389953</v>
          </cell>
          <cell r="E65">
            <v>0</v>
          </cell>
          <cell r="F65" t="str">
            <v>B-Tech CSE-VI A</v>
          </cell>
          <cell r="G65" t="str">
            <v>Bachelor of Technology</v>
          </cell>
          <cell r="H65">
            <v>0</v>
          </cell>
          <cell r="I65">
            <v>0</v>
          </cell>
          <cell r="J65">
            <v>9693101494</v>
          </cell>
          <cell r="K65" t="str">
            <v>Computer Science</v>
          </cell>
          <cell r="L65">
            <v>0</v>
          </cell>
        </row>
        <row r="66">
          <cell r="D66">
            <v>2019005675</v>
          </cell>
          <cell r="E66">
            <v>190101319</v>
          </cell>
          <cell r="F66" t="str">
            <v>B-Tech CSE-VI B</v>
          </cell>
          <cell r="G66" t="str">
            <v>Bachelor of Technology</v>
          </cell>
          <cell r="H66">
            <v>0</v>
          </cell>
          <cell r="I66">
            <v>0</v>
          </cell>
          <cell r="J66">
            <v>0</v>
          </cell>
          <cell r="K66" t="str">
            <v>Computer Science</v>
          </cell>
          <cell r="L66">
            <v>0</v>
          </cell>
        </row>
        <row r="67">
          <cell r="D67">
            <v>2020516582</v>
          </cell>
          <cell r="E67">
            <v>200101181</v>
          </cell>
          <cell r="F67" t="str">
            <v>B-Tech CSE-VI B</v>
          </cell>
          <cell r="G67" t="str">
            <v>Bachelor of Technology</v>
          </cell>
          <cell r="H67">
            <v>0</v>
          </cell>
          <cell r="I67">
            <v>0</v>
          </cell>
          <cell r="J67">
            <v>9319072044</v>
          </cell>
          <cell r="K67" t="str">
            <v>Computer Science</v>
          </cell>
          <cell r="L67">
            <v>0</v>
          </cell>
        </row>
        <row r="68">
          <cell r="D68">
            <v>2021378869</v>
          </cell>
          <cell r="E68">
            <v>210101036</v>
          </cell>
          <cell r="F68" t="str">
            <v>B-Tech CSE-VI B</v>
          </cell>
          <cell r="G68" t="str">
            <v>Bachelor of Technology</v>
          </cell>
          <cell r="H68">
            <v>0</v>
          </cell>
          <cell r="I68" t="str">
            <v>2021378869.lakshmipati@pt.sharda.ac.in</v>
          </cell>
          <cell r="J68" t="str">
            <v>7718237260</v>
          </cell>
          <cell r="K68" t="str">
            <v>Computer Science</v>
          </cell>
          <cell r="L68">
            <v>0</v>
          </cell>
        </row>
        <row r="69">
          <cell r="D69">
            <v>2021420120</v>
          </cell>
          <cell r="E69">
            <v>210101143</v>
          </cell>
          <cell r="F69" t="str">
            <v>B-Tech CSE-VI B</v>
          </cell>
          <cell r="G69" t="str">
            <v>Bachelor of Technology</v>
          </cell>
          <cell r="H69" t="str">
            <v>2021420120.azeem@ug.sharda.ac.in</v>
          </cell>
          <cell r="I69" t="str">
            <v>2021420120.shahid@pt.sharda.ac.in</v>
          </cell>
          <cell r="J69" t="str">
            <v>7417337133</v>
          </cell>
          <cell r="K69" t="str">
            <v>Computer Science</v>
          </cell>
          <cell r="L69" t="e">
            <v>#N/A</v>
          </cell>
        </row>
        <row r="70">
          <cell r="D70">
            <v>2021003785</v>
          </cell>
          <cell r="E70">
            <v>210101586</v>
          </cell>
          <cell r="F70" t="str">
            <v>B-Tech CSE-VI B</v>
          </cell>
          <cell r="G70" t="str">
            <v>Bachelor of Technology</v>
          </cell>
          <cell r="H70" t="str">
            <v>2021003785.rinjal@ug.sharda.ac.in</v>
          </cell>
          <cell r="I70" t="str">
            <v>2021003785.lalitkumar@pt.sharda.ac.in</v>
          </cell>
          <cell r="J70" t="str">
            <v>9871907908</v>
          </cell>
          <cell r="K70" t="str">
            <v>Computer Science</v>
          </cell>
          <cell r="L70" t="e">
            <v>#N/A</v>
          </cell>
        </row>
        <row r="71">
          <cell r="D71">
            <v>2022003574</v>
          </cell>
          <cell r="E71">
            <v>2201010001</v>
          </cell>
          <cell r="F71" t="str">
            <v>B-Tech CSE-VI B</v>
          </cell>
          <cell r="G71" t="str">
            <v>Bachelor of Technology</v>
          </cell>
          <cell r="H71" t="str">
            <v>2022003574.a@ug.sharda.ac.in</v>
          </cell>
          <cell r="I71" t="str">
            <v>2022003574.rupesh@pt.sharda.ac.in</v>
          </cell>
          <cell r="J71" t="str">
            <v>9971308744</v>
          </cell>
          <cell r="K71" t="str">
            <v>Computer Science</v>
          </cell>
          <cell r="L71" t="str">
            <v>Software Developer</v>
          </cell>
        </row>
        <row r="72">
          <cell r="D72">
            <v>2022360529</v>
          </cell>
          <cell r="E72">
            <v>2201010022</v>
          </cell>
          <cell r="F72" t="str">
            <v>B-Tech CSE-VI B</v>
          </cell>
          <cell r="G72" t="str">
            <v>Bachelor of Technology</v>
          </cell>
          <cell r="H72" t="str">
            <v>2022360529.abhinay@ug.sharda.ac.in</v>
          </cell>
          <cell r="I72" t="str">
            <v>2022360529.harishchandra@pt.sharda.ac.in</v>
          </cell>
          <cell r="J72" t="str">
            <v>7300965989</v>
          </cell>
          <cell r="K72" t="str">
            <v>Computer Science</v>
          </cell>
          <cell r="L72" t="str">
            <v>Cyber Security Analyst</v>
          </cell>
        </row>
        <row r="73">
          <cell r="D73">
            <v>2022538932</v>
          </cell>
          <cell r="E73">
            <v>2201010096</v>
          </cell>
          <cell r="F73" t="str">
            <v>B-Tech CSE-VI B</v>
          </cell>
          <cell r="G73" t="str">
            <v>Bachelor of Technology</v>
          </cell>
          <cell r="H73" t="str">
            <v>2022538932.ankit@ug.sharda.ac.in</v>
          </cell>
          <cell r="I73" t="str">
            <v>2022538932.chandrej@pt.sharda.ac.in</v>
          </cell>
          <cell r="J73" t="str">
            <v>9625789885</v>
          </cell>
          <cell r="K73" t="str">
            <v>Computer Science</v>
          </cell>
          <cell r="L73" t="str">
            <v>Cyber Security Analyst</v>
          </cell>
        </row>
        <row r="74">
          <cell r="D74">
            <v>2022002787</v>
          </cell>
          <cell r="E74">
            <v>2201010105</v>
          </cell>
          <cell r="F74" t="str">
            <v>B-Tech CSE-VI B</v>
          </cell>
          <cell r="G74" t="str">
            <v>Bachelor of Technology</v>
          </cell>
          <cell r="H74" t="str">
            <v>2022002787.anshuman@ug.sharda.ac.in</v>
          </cell>
          <cell r="I74" t="str">
            <v>2022002787.ramprakash@pt.sharda.ac.in</v>
          </cell>
          <cell r="J74" t="str">
            <v>8707433483</v>
          </cell>
          <cell r="K74" t="str">
            <v>Computer Science</v>
          </cell>
          <cell r="L74" t="str">
            <v>Software Developer</v>
          </cell>
        </row>
        <row r="75">
          <cell r="D75">
            <v>2022005229</v>
          </cell>
          <cell r="E75">
            <v>2201010115</v>
          </cell>
          <cell r="F75" t="str">
            <v>B-Tech CSE-VI B</v>
          </cell>
          <cell r="G75" t="str">
            <v>Bachelor of Technology</v>
          </cell>
          <cell r="H75" t="str">
            <v>2022005229.anushka@ug.sharda.ac.in</v>
          </cell>
          <cell r="I75" t="str">
            <v>2022005229.sohanlal@pt.sharda.ac.in</v>
          </cell>
          <cell r="J75" t="str">
            <v>7827845687</v>
          </cell>
          <cell r="K75" t="str">
            <v>Computer Science</v>
          </cell>
          <cell r="L75" t="str">
            <v>Cyber Security Analyst</v>
          </cell>
        </row>
        <row r="76">
          <cell r="D76">
            <v>2022419571</v>
          </cell>
          <cell r="E76">
            <v>2201010146</v>
          </cell>
          <cell r="F76" t="str">
            <v>B-Tech CSE-VI B</v>
          </cell>
          <cell r="G76" t="str">
            <v>Bachelor of Technology</v>
          </cell>
          <cell r="H76" t="str">
            <v>2022419571.aryan@ug.sharda.ac.in</v>
          </cell>
          <cell r="I76" t="str">
            <v>2022419571.sanjaybharat@pt.sharda.ac.in</v>
          </cell>
          <cell r="J76" t="str">
            <v>9779994998</v>
          </cell>
          <cell r="K76" t="str">
            <v>Computer Science</v>
          </cell>
          <cell r="L76" t="str">
            <v>Software Developer</v>
          </cell>
        </row>
        <row r="77">
          <cell r="D77">
            <v>2022433389</v>
          </cell>
          <cell r="E77">
            <v>2201010183</v>
          </cell>
          <cell r="F77" t="str">
            <v>B-Tech CSE-VI B</v>
          </cell>
          <cell r="G77" t="str">
            <v>Bachelor of Technology</v>
          </cell>
          <cell r="H77" t="str">
            <v>2022433389.bolla@ug.sharda.ac.in</v>
          </cell>
          <cell r="I77" t="str">
            <v>2022433389.bollanvssambasiva@pt.sharda.ac.in</v>
          </cell>
          <cell r="J77" t="str">
            <v>9492465566</v>
          </cell>
          <cell r="K77" t="str">
            <v>Computer Science</v>
          </cell>
          <cell r="L77" t="e">
            <v>#N/A</v>
          </cell>
        </row>
        <row r="78">
          <cell r="D78">
            <v>2022002578</v>
          </cell>
          <cell r="E78">
            <v>2201010184</v>
          </cell>
          <cell r="F78" t="str">
            <v>B-Tech CSE-VI B</v>
          </cell>
          <cell r="G78" t="str">
            <v>Bachelor of Technology</v>
          </cell>
          <cell r="H78" t="str">
            <v>2022002578.brahmtej@ug.sharda.ac.in</v>
          </cell>
          <cell r="I78" t="str">
            <v>2022002578.bibhutibhushan@pt.sharda.ac.in</v>
          </cell>
          <cell r="J78" t="str">
            <v>7735324362</v>
          </cell>
          <cell r="K78" t="str">
            <v>Computer Science</v>
          </cell>
          <cell r="L78" t="str">
            <v>Software Developer</v>
          </cell>
        </row>
        <row r="79">
          <cell r="D79">
            <v>2022005228</v>
          </cell>
          <cell r="E79">
            <v>2201010194</v>
          </cell>
          <cell r="F79" t="str">
            <v>B-Tech CSE-VI B</v>
          </cell>
          <cell r="G79" t="str">
            <v>Bachelor of Technology</v>
          </cell>
          <cell r="H79" t="str">
            <v>2022005228.chirag@ug.sharda.ac.in</v>
          </cell>
          <cell r="I79" t="str">
            <v>2022005228.sampurnanand@pt.sharda.ac.in</v>
          </cell>
          <cell r="J79" t="str">
            <v>9267929004</v>
          </cell>
          <cell r="K79" t="str">
            <v>Computer Science</v>
          </cell>
          <cell r="L79" t="str">
            <v>Cyber Security Analyst</v>
          </cell>
        </row>
        <row r="80">
          <cell r="D80">
            <v>2022349970</v>
          </cell>
          <cell r="E80">
            <v>2201010201</v>
          </cell>
          <cell r="F80" t="str">
            <v>B-Tech CSE-VI B</v>
          </cell>
          <cell r="G80" t="str">
            <v>Bachelor of Technology</v>
          </cell>
          <cell r="H80" t="str">
            <v>2022349970.danish@ug.sharda.ac.in</v>
          </cell>
          <cell r="I80" t="str">
            <v>2022349970.manzoor@pt.sharda.ac.in</v>
          </cell>
          <cell r="J80" t="str">
            <v>9873222919</v>
          </cell>
          <cell r="K80" t="str">
            <v>Computer Science</v>
          </cell>
          <cell r="L80" t="str">
            <v>Cyber Security Analyst</v>
          </cell>
        </row>
        <row r="81">
          <cell r="D81">
            <v>2022565603</v>
          </cell>
          <cell r="E81">
            <v>2201010257</v>
          </cell>
          <cell r="F81" t="str">
            <v>B-Tech CSE-VI B</v>
          </cell>
          <cell r="G81" t="str">
            <v>Bachelor of Technology</v>
          </cell>
          <cell r="H81" t="str">
            <v>2022565603.hameem@ug.sharda.ac.in</v>
          </cell>
          <cell r="I81" t="str">
            <v>2022565603.mohammad@pt.sharda.ac.in</v>
          </cell>
          <cell r="J81" t="str">
            <v>9906660583</v>
          </cell>
          <cell r="K81" t="str">
            <v>Computer Science</v>
          </cell>
          <cell r="L81" t="str">
            <v>Software Developer</v>
          </cell>
        </row>
        <row r="82">
          <cell r="D82">
            <v>2022804425</v>
          </cell>
          <cell r="E82">
            <v>2201010297</v>
          </cell>
          <cell r="F82" t="str">
            <v>B-Tech CSE-VI B</v>
          </cell>
          <cell r="G82" t="str">
            <v>Bachelor of Technology</v>
          </cell>
          <cell r="H82" t="str">
            <v>2022804425.jabir@ug.sharda.ac.in</v>
          </cell>
          <cell r="I82" t="str">
            <v>2022804425.ismail@pt.sharda.ac.in</v>
          </cell>
          <cell r="J82" t="str">
            <v>91 9711260822</v>
          </cell>
          <cell r="K82" t="str">
            <v>Computer Science</v>
          </cell>
          <cell r="L82" t="str">
            <v>Cyber Security Analyst</v>
          </cell>
        </row>
        <row r="83">
          <cell r="D83">
            <v>2022003231</v>
          </cell>
          <cell r="E83">
            <v>2201010312</v>
          </cell>
          <cell r="F83" t="str">
            <v>B-Tech CSE-VI B</v>
          </cell>
          <cell r="G83" t="str">
            <v>Bachelor of Technology</v>
          </cell>
          <cell r="H83" t="str">
            <v>2022003231.kadam@ug.sharda.ac.in</v>
          </cell>
          <cell r="I83" t="str">
            <v>2022003231.ashok@pt.sharda.ac.in</v>
          </cell>
          <cell r="J83" t="str">
            <v>9670105704</v>
          </cell>
          <cell r="K83" t="str">
            <v>Computer Science</v>
          </cell>
          <cell r="L83" t="str">
            <v>Cyber Security Analyst</v>
          </cell>
        </row>
        <row r="84">
          <cell r="D84">
            <v>2022004681</v>
          </cell>
          <cell r="E84">
            <v>2201010339</v>
          </cell>
          <cell r="F84" t="str">
            <v>B-Tech CSE-VI B</v>
          </cell>
          <cell r="G84" t="str">
            <v>Bachelor of Technology</v>
          </cell>
          <cell r="H84" t="str">
            <v>2022004681.kritika@ug.sharda.ac.in</v>
          </cell>
          <cell r="I84" t="str">
            <v>2022004681.ganeshsingh@pt.sharda.ac.in</v>
          </cell>
          <cell r="J84" t="str">
            <v>9311608930</v>
          </cell>
          <cell r="K84" t="str">
            <v>Computer Science</v>
          </cell>
          <cell r="L84" t="str">
            <v>Cyber Security Analyst</v>
          </cell>
        </row>
        <row r="85">
          <cell r="D85">
            <v>2022455169</v>
          </cell>
          <cell r="E85">
            <v>2201010348</v>
          </cell>
          <cell r="F85" t="str">
            <v>B-Tech CSE-VI B</v>
          </cell>
          <cell r="G85" t="str">
            <v>Bachelor of Technology</v>
          </cell>
          <cell r="H85" t="str">
            <v>2022455169.kunal@ug.sharda.ac.in</v>
          </cell>
          <cell r="I85" t="str">
            <v>2022455169.vishal@pt.sharda.ac.in</v>
          </cell>
          <cell r="J85" t="str">
            <v>8429045577</v>
          </cell>
          <cell r="K85" t="str">
            <v>Computer Science</v>
          </cell>
          <cell r="L85" t="str">
            <v>Cyber Security Analyst</v>
          </cell>
        </row>
        <row r="86">
          <cell r="D86">
            <v>2022507647</v>
          </cell>
          <cell r="E86">
            <v>2201010353</v>
          </cell>
          <cell r="F86" t="str">
            <v>B-Tech CSE-VI B</v>
          </cell>
          <cell r="G86" t="str">
            <v>Bachelor of Technology</v>
          </cell>
          <cell r="H86" t="str">
            <v>2022507647.lakshay@ug.sharda.ac.in</v>
          </cell>
          <cell r="I86" t="str">
            <v>2022507647.dinesh@pt.sharda.ac.in</v>
          </cell>
          <cell r="J86" t="str">
            <v>8448777978</v>
          </cell>
          <cell r="K86" t="str">
            <v>Computer Science</v>
          </cell>
          <cell r="L86" t="str">
            <v>Cyber Security Analyst</v>
          </cell>
        </row>
        <row r="87">
          <cell r="D87">
            <v>2022384000</v>
          </cell>
          <cell r="E87">
            <v>2201010357</v>
          </cell>
          <cell r="F87" t="str">
            <v>B-Tech CSE-VI B</v>
          </cell>
          <cell r="G87" t="str">
            <v>Bachelor of Technology</v>
          </cell>
          <cell r="H87" t="str">
            <v>2022384000.lavanya@ug.sharda.ac.in</v>
          </cell>
          <cell r="I87" t="str">
            <v>2022384000.pramodkumar@pt.sharda.ac.in</v>
          </cell>
          <cell r="J87" t="str">
            <v>7011772322</v>
          </cell>
          <cell r="K87" t="str">
            <v>Computer Science</v>
          </cell>
          <cell r="L87" t="str">
            <v>Cyber Security Analyst</v>
          </cell>
        </row>
        <row r="88">
          <cell r="D88">
            <v>2022462273</v>
          </cell>
          <cell r="E88">
            <v>2201010360</v>
          </cell>
          <cell r="F88" t="str">
            <v>B-Tech CSE-VI B</v>
          </cell>
          <cell r="G88" t="str">
            <v>Bachelor of Technology</v>
          </cell>
          <cell r="H88" t="str">
            <v>2022462273.lovkesh@ug.sharda.ac.in</v>
          </cell>
          <cell r="I88" t="str">
            <v>2022462273.daulat@pt.sharda.ac.in</v>
          </cell>
          <cell r="J88" t="str">
            <v>9891452413</v>
          </cell>
          <cell r="K88" t="str">
            <v>Computer Science</v>
          </cell>
          <cell r="L88" t="str">
            <v>Full Stack Developer(Spring Boot)</v>
          </cell>
        </row>
        <row r="89">
          <cell r="D89">
            <v>2022308623</v>
          </cell>
          <cell r="E89">
            <v>2201010372</v>
          </cell>
          <cell r="F89" t="str">
            <v>B-Tech CSE-VI B</v>
          </cell>
          <cell r="G89" t="str">
            <v>Bachelor of Technology</v>
          </cell>
          <cell r="H89" t="str">
            <v>2022308623.manish@ug.sharda.ac.in</v>
          </cell>
          <cell r="I89" t="str">
            <v>2022308623.muneshwar@pt.sharda.ac.in</v>
          </cell>
          <cell r="J89" t="str">
            <v>9113385495</v>
          </cell>
          <cell r="K89" t="str">
            <v>Computer Science</v>
          </cell>
          <cell r="L89" t="str">
            <v>Cyber Security Analyst</v>
          </cell>
        </row>
        <row r="90">
          <cell r="D90">
            <v>2022310930</v>
          </cell>
          <cell r="E90">
            <v>2201010376</v>
          </cell>
          <cell r="F90" t="str">
            <v>B-Tech CSE-VI B</v>
          </cell>
          <cell r="G90" t="str">
            <v>Bachelor of Technology</v>
          </cell>
          <cell r="H90" t="str">
            <v>2022310930.manjeet@ug.sharda.ac.in</v>
          </cell>
          <cell r="I90" t="str">
            <v>2022310930.charan@pt.sharda.ac.in</v>
          </cell>
          <cell r="J90" t="str">
            <v>9639101430</v>
          </cell>
          <cell r="K90" t="str">
            <v>Computer Science</v>
          </cell>
          <cell r="L90" t="str">
            <v>Data Scientist</v>
          </cell>
        </row>
        <row r="91">
          <cell r="D91">
            <v>2022532088</v>
          </cell>
          <cell r="E91">
            <v>2201010378</v>
          </cell>
          <cell r="F91" t="str">
            <v>B-Tech CSE-VI B</v>
          </cell>
          <cell r="G91" t="str">
            <v>Bachelor of Technology</v>
          </cell>
          <cell r="H91" t="str">
            <v>2022532088.mansi@ug.sharda.ac.in</v>
          </cell>
          <cell r="I91" t="str">
            <v>2022532088.kripal@pt.sharda.ac.in</v>
          </cell>
          <cell r="J91" t="str">
            <v>9319342611</v>
          </cell>
          <cell r="K91" t="str">
            <v>Computer Science</v>
          </cell>
          <cell r="L91" t="str">
            <v>Cyber Security Analyst</v>
          </cell>
        </row>
        <row r="92">
          <cell r="D92">
            <v>2022355780</v>
          </cell>
          <cell r="E92">
            <v>2201010419</v>
          </cell>
          <cell r="F92" t="str">
            <v>B-Tech CSE-VI B</v>
          </cell>
          <cell r="G92" t="str">
            <v>Bachelor of Technology</v>
          </cell>
          <cell r="H92" t="str">
            <v>2022355780.mohd@ug.sharda.ac.in</v>
          </cell>
          <cell r="I92" t="str">
            <v>2022355780.musharrf@pt.sharda.ac.in</v>
          </cell>
          <cell r="J92" t="str">
            <v>9582959385</v>
          </cell>
          <cell r="K92" t="str">
            <v>Computer Science</v>
          </cell>
          <cell r="L92" t="str">
            <v>Cyber Security Analyst</v>
          </cell>
        </row>
        <row r="93">
          <cell r="D93">
            <v>2022408542</v>
          </cell>
          <cell r="E93">
            <v>2201010422</v>
          </cell>
          <cell r="F93" t="str">
            <v>B-Tech CSE-VI B</v>
          </cell>
          <cell r="G93" t="str">
            <v>Bachelor of Technology</v>
          </cell>
          <cell r="H93" t="str">
            <v>2022408542.mohd@ug.sharda.ac.in</v>
          </cell>
          <cell r="I93" t="str">
            <v>2022408542.ashiq@pt.sharda.ac.in</v>
          </cell>
          <cell r="J93" t="str">
            <v>8795503584</v>
          </cell>
          <cell r="K93" t="str">
            <v>Computer Science</v>
          </cell>
          <cell r="L93" t="str">
            <v>Cyber Security Analyst</v>
          </cell>
        </row>
        <row r="94">
          <cell r="D94">
            <v>2022486143</v>
          </cell>
          <cell r="E94">
            <v>2201010427</v>
          </cell>
          <cell r="F94" t="str">
            <v>B-Tech CSE-VI B</v>
          </cell>
          <cell r="G94" t="str">
            <v>Bachelor of Technology</v>
          </cell>
          <cell r="H94" t="str">
            <v>2022486143.mohd@ug.sharda.ac.in</v>
          </cell>
          <cell r="I94" t="str">
            <v>2022486143.mohdmahmood@pt.sharda.ac.in</v>
          </cell>
          <cell r="J94" t="str">
            <v>9997228919</v>
          </cell>
          <cell r="K94" t="str">
            <v>Computer Science</v>
          </cell>
          <cell r="L94" t="str">
            <v>Full Stack Developer(Spring Boot)</v>
          </cell>
        </row>
        <row r="95">
          <cell r="D95">
            <v>2022001475</v>
          </cell>
          <cell r="E95">
            <v>2201010429</v>
          </cell>
          <cell r="F95" t="str">
            <v>B-Tech CSE-VI B</v>
          </cell>
          <cell r="G95" t="str">
            <v>Bachelor of Technology</v>
          </cell>
          <cell r="H95" t="str">
            <v>2022001475.mohd@ug.sharda.ac.in</v>
          </cell>
          <cell r="I95" t="str">
            <v>2022001475.mohd@pt.sharda.ac.in</v>
          </cell>
          <cell r="J95" t="str">
            <v>7291885856</v>
          </cell>
          <cell r="K95" t="str">
            <v>Computer Science</v>
          </cell>
          <cell r="L95" t="str">
            <v>Cyber Security Analyst</v>
          </cell>
        </row>
        <row r="96">
          <cell r="D96">
            <v>2022368285</v>
          </cell>
          <cell r="E96">
            <v>2201010454</v>
          </cell>
          <cell r="F96" t="str">
            <v>B-Tech CSE-VI B</v>
          </cell>
          <cell r="G96" t="str">
            <v>Bachelor of Technology</v>
          </cell>
          <cell r="H96" t="str">
            <v>2022368285.naman@ug.sharda.ac.in</v>
          </cell>
          <cell r="I96" t="str">
            <v>2022368285.sanjay@pt.sharda.ac.in</v>
          </cell>
          <cell r="J96" t="str">
            <v>7060524955</v>
          </cell>
          <cell r="K96" t="str">
            <v>Computer Science</v>
          </cell>
          <cell r="L96" t="str">
            <v>Full Stack Developer(MERN Stack)</v>
          </cell>
        </row>
        <row r="97">
          <cell r="D97">
            <v>2022005715</v>
          </cell>
          <cell r="E97">
            <v>2201010458</v>
          </cell>
          <cell r="F97" t="str">
            <v>B-Tech CSE-VI B</v>
          </cell>
          <cell r="G97" t="str">
            <v>Bachelor of Technology</v>
          </cell>
          <cell r="H97" t="str">
            <v>2022005715.navdisha@ug.sharda.ac.in</v>
          </cell>
          <cell r="I97" t="str">
            <v>2022005715.ashok@pt.sharda.ac.in</v>
          </cell>
          <cell r="J97" t="str">
            <v>7838600901</v>
          </cell>
          <cell r="K97" t="str">
            <v>Computer Science</v>
          </cell>
          <cell r="L97" t="str">
            <v>Cyber Security Analyst</v>
          </cell>
        </row>
        <row r="98">
          <cell r="D98">
            <v>2022504837</v>
          </cell>
          <cell r="E98">
            <v>2201010464</v>
          </cell>
          <cell r="F98" t="str">
            <v>B-Tech CSE-VI B</v>
          </cell>
          <cell r="G98" t="str">
            <v>Bachelor of Technology</v>
          </cell>
          <cell r="H98" t="str">
            <v>2022504837.nayan@ug.sharda.ac.in</v>
          </cell>
          <cell r="I98" t="str">
            <v>2022504837.pradeepkumar@pt.sharda.ac.in</v>
          </cell>
          <cell r="J98" t="str">
            <v>9938101244</v>
          </cell>
          <cell r="K98" t="str">
            <v>Computer Science</v>
          </cell>
          <cell r="L98" t="str">
            <v>Cyber Security Analyst</v>
          </cell>
        </row>
        <row r="99">
          <cell r="D99">
            <v>2022413491</v>
          </cell>
          <cell r="E99">
            <v>2201010480</v>
          </cell>
          <cell r="F99" t="str">
            <v>B-Tech CSE-VI B</v>
          </cell>
          <cell r="G99" t="str">
            <v>Bachelor of Technology</v>
          </cell>
          <cell r="H99" t="str">
            <v>2022413491.nistha@ug.sharda.ac.in</v>
          </cell>
          <cell r="I99" t="str">
            <v>2022413491.ashish@pt.sharda.ac.in</v>
          </cell>
          <cell r="J99" t="str">
            <v>9315976587</v>
          </cell>
          <cell r="K99" t="str">
            <v>Computer Science</v>
          </cell>
          <cell r="L99" t="str">
            <v>Full Stack Developer(Spring Boot)</v>
          </cell>
        </row>
        <row r="100">
          <cell r="D100">
            <v>2022550696</v>
          </cell>
          <cell r="E100">
            <v>2201010483</v>
          </cell>
          <cell r="F100" t="str">
            <v>B-Tech CSE-VI B</v>
          </cell>
          <cell r="G100" t="str">
            <v>Bachelor of Technology</v>
          </cell>
          <cell r="H100" t="str">
            <v>2022550696.nitish@ug.sharda.ac.in</v>
          </cell>
          <cell r="I100" t="str">
            <v>2022550696.kedar@pt.sharda.ac.in</v>
          </cell>
          <cell r="J100" t="str">
            <v>9805516702</v>
          </cell>
          <cell r="K100" t="str">
            <v>Computer Science</v>
          </cell>
          <cell r="L100" t="str">
            <v>Android Developer</v>
          </cell>
        </row>
        <row r="101">
          <cell r="D101">
            <v>2022492018</v>
          </cell>
          <cell r="E101">
            <v>2201010489</v>
          </cell>
          <cell r="F101" t="str">
            <v>B-Tech CSE-VI B</v>
          </cell>
          <cell r="G101" t="str">
            <v>Bachelor of Technology</v>
          </cell>
          <cell r="H101" t="str">
            <v>2022492018.omit@ug.sharda.ac.in</v>
          </cell>
          <cell r="I101" t="str">
            <v>2022492018.ashokprasad@pt.sharda.ac.in</v>
          </cell>
          <cell r="J101" t="str">
            <v>8235853597</v>
          </cell>
          <cell r="K101" t="str">
            <v>Computer Science</v>
          </cell>
          <cell r="L101" t="str">
            <v>Cyber Security Analyst</v>
          </cell>
        </row>
        <row r="102">
          <cell r="D102">
            <v>2022520753</v>
          </cell>
          <cell r="E102">
            <v>2201010502</v>
          </cell>
          <cell r="F102" t="str">
            <v>B-Tech CSE-VI B</v>
          </cell>
          <cell r="G102" t="str">
            <v>Bachelor of Technology</v>
          </cell>
          <cell r="H102" t="str">
            <v>2022520753.piyush@ug.sharda.ac.in</v>
          </cell>
          <cell r="I102" t="str">
            <v>2022520753.rb@pt.sharda.ac.in</v>
          </cell>
          <cell r="J102" t="str">
            <v>9660767694</v>
          </cell>
          <cell r="K102" t="str">
            <v>Computer Science</v>
          </cell>
          <cell r="L102" t="str">
            <v>Software Developer</v>
          </cell>
        </row>
        <row r="103">
          <cell r="D103">
            <v>2022536903</v>
          </cell>
          <cell r="E103">
            <v>2201010506</v>
          </cell>
          <cell r="F103" t="str">
            <v>B-Tech CSE-VI B</v>
          </cell>
          <cell r="G103" t="str">
            <v>Bachelor of Technology</v>
          </cell>
          <cell r="H103" t="str">
            <v>2022536903.poorab@ug.sharda.ac.in</v>
          </cell>
          <cell r="I103" t="str">
            <v>2022536903.rakesh@pt.sharda.ac.in</v>
          </cell>
          <cell r="J103" t="str">
            <v>6232679748</v>
          </cell>
          <cell r="K103" t="str">
            <v>Computer Science</v>
          </cell>
          <cell r="L103" t="str">
            <v>Data Scientist</v>
          </cell>
        </row>
        <row r="104">
          <cell r="D104">
            <v>2022472521</v>
          </cell>
          <cell r="E104">
            <v>2201010526</v>
          </cell>
          <cell r="F104" t="str">
            <v>B-Tech CSE-VI B</v>
          </cell>
          <cell r="G104" t="str">
            <v>Bachelor of Technology</v>
          </cell>
          <cell r="H104" t="str">
            <v>2022472521.prinsvil@ug.sharda.ac.in</v>
          </cell>
          <cell r="I104" t="str">
            <v>2022472521.pitamsingh@pt.sharda.ac.in</v>
          </cell>
          <cell r="J104" t="str">
            <v>8077924011</v>
          </cell>
          <cell r="K104" t="str">
            <v>Computer Science</v>
          </cell>
          <cell r="L104" t="str">
            <v>Software Developer</v>
          </cell>
        </row>
        <row r="105">
          <cell r="D105">
            <v>2022441764</v>
          </cell>
          <cell r="E105">
            <v>2201010529</v>
          </cell>
          <cell r="F105" t="str">
            <v>B-Tech CSE-VI B</v>
          </cell>
          <cell r="G105" t="str">
            <v>Bachelor of Technology</v>
          </cell>
          <cell r="H105" t="str">
            <v>2022441764.priyanshi@ug.sharda.ac.in</v>
          </cell>
          <cell r="I105" t="str">
            <v>2022441764.uttam@pt.sharda.ac.in</v>
          </cell>
          <cell r="J105" t="str">
            <v>7011672041</v>
          </cell>
          <cell r="K105" t="str">
            <v>Computer Science</v>
          </cell>
          <cell r="L105" t="str">
            <v>Software Developer</v>
          </cell>
        </row>
        <row r="106">
          <cell r="D106">
            <v>2022004682</v>
          </cell>
          <cell r="E106">
            <v>2201010630</v>
          </cell>
          <cell r="F106" t="str">
            <v>B-Tech CSE-VI B</v>
          </cell>
          <cell r="G106" t="str">
            <v>Bachelor of Technology</v>
          </cell>
          <cell r="H106" t="str">
            <v>2022004682.sanchit@ug.sharda.ac.in</v>
          </cell>
          <cell r="I106" t="str">
            <v>2022004682.kaushlendra@pt.sharda.ac.in</v>
          </cell>
          <cell r="J106" t="str">
            <v>7086103151</v>
          </cell>
          <cell r="K106" t="str">
            <v>Computer Science</v>
          </cell>
          <cell r="L106" t="str">
            <v>Full Stack Developer(Spring Boot)</v>
          </cell>
        </row>
        <row r="107">
          <cell r="D107">
            <v>2022002703</v>
          </cell>
          <cell r="E107">
            <v>2201010631</v>
          </cell>
          <cell r="F107" t="str">
            <v>B-Tech CSE-VI B</v>
          </cell>
          <cell r="G107" t="str">
            <v>Bachelor of Technology</v>
          </cell>
          <cell r="H107" t="str">
            <v>2022002703.sandali@ug.sharda.ac.in</v>
          </cell>
          <cell r="I107" t="str">
            <v>2022002703.amar@pt.sharda.ac.in</v>
          </cell>
          <cell r="J107" t="str">
            <v>9773958121</v>
          </cell>
          <cell r="K107" t="str">
            <v>Computer Science</v>
          </cell>
          <cell r="L107" t="str">
            <v>Cyber Security Analyst</v>
          </cell>
        </row>
        <row r="108">
          <cell r="D108">
            <v>2022001659</v>
          </cell>
          <cell r="E108">
            <v>2201010643</v>
          </cell>
          <cell r="F108" t="str">
            <v>B-Tech CSE-VI B</v>
          </cell>
          <cell r="G108" t="str">
            <v>Bachelor of Technology</v>
          </cell>
          <cell r="H108" t="str">
            <v>2022001659.satyendra@ug.sharda.ac.in</v>
          </cell>
          <cell r="I108" t="str">
            <v>2022001659.harindra@pt.sharda.ac.in</v>
          </cell>
          <cell r="J108" t="str">
            <v>8368169523</v>
          </cell>
          <cell r="K108" t="str">
            <v>Computer Science</v>
          </cell>
          <cell r="L108" t="str">
            <v>Software Developer</v>
          </cell>
        </row>
        <row r="109">
          <cell r="D109">
            <v>2022002786</v>
          </cell>
          <cell r="E109">
            <v>2201010667</v>
          </cell>
          <cell r="F109" t="str">
            <v>B-Tech CSE-VI B</v>
          </cell>
          <cell r="G109" t="str">
            <v>Bachelor of Technology</v>
          </cell>
          <cell r="H109" t="str">
            <v>2022002786.shiva@ug.sharda.ac.in</v>
          </cell>
          <cell r="I109" t="str">
            <v>2022002786.durgesh@pt.sharda.ac.in</v>
          </cell>
          <cell r="J109" t="str">
            <v>6388775326</v>
          </cell>
          <cell r="K109" t="str">
            <v>Computer Science</v>
          </cell>
          <cell r="L109" t="str">
            <v>Software Developer</v>
          </cell>
        </row>
        <row r="110">
          <cell r="D110">
            <v>2022437700</v>
          </cell>
          <cell r="E110">
            <v>2201010706</v>
          </cell>
          <cell r="F110" t="str">
            <v>B-Tech CSE-VI B</v>
          </cell>
          <cell r="G110" t="str">
            <v>Bachelor of Technology</v>
          </cell>
          <cell r="H110" t="str">
            <v>2022437700.somil@ug.sharda.ac.in</v>
          </cell>
          <cell r="I110" t="str">
            <v>2022437700.santosh@pt.sharda.ac.in</v>
          </cell>
          <cell r="J110" t="str">
            <v>9917060828</v>
          </cell>
          <cell r="K110" t="str">
            <v>Computer Science</v>
          </cell>
          <cell r="L110" t="str">
            <v>Cyber Security Analyst</v>
          </cell>
        </row>
        <row r="111">
          <cell r="D111">
            <v>2022001846</v>
          </cell>
          <cell r="E111">
            <v>2201010715</v>
          </cell>
          <cell r="F111" t="str">
            <v>B-Tech CSE-VI B</v>
          </cell>
          <cell r="G111" t="str">
            <v>Bachelor of Technology</v>
          </cell>
          <cell r="H111" t="str">
            <v>2022001846.sparsh@ug.sharda.ac.in</v>
          </cell>
          <cell r="I111" t="str">
            <v>2022001846.narendra@pt.sharda.ac.in</v>
          </cell>
          <cell r="J111" t="str">
            <v>6307068781</v>
          </cell>
          <cell r="K111" t="str">
            <v>Computer Science</v>
          </cell>
          <cell r="L111" t="str">
            <v>Full Stack Developer(MERN Stack)</v>
          </cell>
        </row>
        <row r="112">
          <cell r="D112">
            <v>2022461609</v>
          </cell>
          <cell r="E112">
            <v>2201010734</v>
          </cell>
          <cell r="F112" t="str">
            <v>B-Tech CSE-VI B</v>
          </cell>
          <cell r="G112" t="str">
            <v>Bachelor of Technology</v>
          </cell>
          <cell r="H112" t="str">
            <v>2022461609.swarn@ug.sharda.ac.in</v>
          </cell>
          <cell r="I112" t="str">
            <v>2022461609.pushpendra@pt.sharda.ac.in</v>
          </cell>
          <cell r="J112" t="str">
            <v>8171454014</v>
          </cell>
          <cell r="K112" t="str">
            <v>Computer Science</v>
          </cell>
          <cell r="L112" t="str">
            <v>Cyber Security Analyst</v>
          </cell>
        </row>
        <row r="113">
          <cell r="D113">
            <v>2022559074</v>
          </cell>
          <cell r="E113">
            <v>2201010762</v>
          </cell>
          <cell r="F113" t="str">
            <v>B-Tech CSE-VI B</v>
          </cell>
          <cell r="G113" t="str">
            <v>Bachelor of Technology</v>
          </cell>
          <cell r="H113" t="str">
            <v>2022559074.upendra@ug.sharda.ac.in</v>
          </cell>
          <cell r="I113" t="str">
            <v>2022559074.harindra@pt.sharda.ac.in</v>
          </cell>
          <cell r="J113" t="str">
            <v>8957910748</v>
          </cell>
          <cell r="K113" t="str">
            <v>Computer Science</v>
          </cell>
          <cell r="L113" t="str">
            <v>Cyber Security Analyst</v>
          </cell>
        </row>
        <row r="114">
          <cell r="D114">
            <v>2022545204</v>
          </cell>
          <cell r="E114">
            <v>2201010778</v>
          </cell>
          <cell r="F114" t="str">
            <v>B-Tech CSE-VI B</v>
          </cell>
          <cell r="G114" t="str">
            <v>Bachelor of Technology</v>
          </cell>
          <cell r="H114" t="str">
            <v>2022545204.varshita@ug.sharda.ac.in</v>
          </cell>
          <cell r="I114" t="str">
            <v>2022545204.vinitkumar@pt.sharda.ac.in</v>
          </cell>
          <cell r="J114" t="str">
            <v>7992322057</v>
          </cell>
          <cell r="K114" t="str">
            <v>Computer Science</v>
          </cell>
          <cell r="L114" t="str">
            <v>Cyber Security Analyst</v>
          </cell>
        </row>
        <row r="115">
          <cell r="D115">
            <v>2022473978</v>
          </cell>
          <cell r="E115">
            <v>2201010781</v>
          </cell>
          <cell r="F115" t="str">
            <v>B-Tech CSE-VI B</v>
          </cell>
          <cell r="G115" t="str">
            <v>Bachelor of Technology</v>
          </cell>
          <cell r="H115" t="str">
            <v>2022473978.vedanshu@ug.sharda.ac.in</v>
          </cell>
          <cell r="I115" t="str">
            <v>2022473978.haribansh@pt.sharda.ac.in</v>
          </cell>
          <cell r="J115" t="str">
            <v>8528324138</v>
          </cell>
          <cell r="K115" t="str">
            <v>Computer Science</v>
          </cell>
          <cell r="L115" t="str">
            <v>Cyber Security Analyst</v>
          </cell>
        </row>
        <row r="116">
          <cell r="D116">
            <v>2022470797</v>
          </cell>
          <cell r="E116">
            <v>2201010810</v>
          </cell>
          <cell r="F116" t="str">
            <v>B-Tech CSE-VI B</v>
          </cell>
          <cell r="G116" t="str">
            <v>Bachelor of Technology</v>
          </cell>
          <cell r="H116" t="str">
            <v>2022470797.yash@ug.sharda.ac.in</v>
          </cell>
          <cell r="I116" t="str">
            <v>2022470797.pushpendra@pt.sharda.ac.in</v>
          </cell>
          <cell r="J116" t="str">
            <v>8630299246</v>
          </cell>
          <cell r="K116" t="str">
            <v>Computer Science</v>
          </cell>
          <cell r="L116" t="str">
            <v>Cloud Engineer</v>
          </cell>
        </row>
        <row r="117">
          <cell r="D117">
            <v>2022415397</v>
          </cell>
          <cell r="E117">
            <v>2201010811</v>
          </cell>
          <cell r="F117" t="str">
            <v>B-Tech CSE-VI B</v>
          </cell>
          <cell r="G117" t="str">
            <v>Bachelor of Technology</v>
          </cell>
          <cell r="H117" t="str">
            <v>2022415397.yash@ug.sharda.ac.in</v>
          </cell>
          <cell r="I117" t="str">
            <v>2022415397.dharmendra@pt.sharda.ac.in</v>
          </cell>
          <cell r="J117" t="str">
            <v>6299651541</v>
          </cell>
          <cell r="K117" t="str">
            <v>Computer Science</v>
          </cell>
          <cell r="L117" t="str">
            <v>Cyber Security Analyst</v>
          </cell>
        </row>
        <row r="118">
          <cell r="D118">
            <v>2022004909</v>
          </cell>
          <cell r="E118">
            <v>2201010827</v>
          </cell>
          <cell r="F118" t="str">
            <v>B-Tech CSE-VI B</v>
          </cell>
          <cell r="G118" t="str">
            <v>Bachelor of Technology</v>
          </cell>
          <cell r="H118" t="str">
            <v>2022004909.zaid@ug.sharda.ac.in</v>
          </cell>
          <cell r="I118" t="str">
            <v>2022004909.sajidmahammad@pt.sharda.ac.in</v>
          </cell>
          <cell r="J118" t="str">
            <v>9729927709</v>
          </cell>
          <cell r="K118" t="str">
            <v>Computer Science</v>
          </cell>
          <cell r="L118" t="str">
            <v>Full Stack Developer(Spring Boot)</v>
          </cell>
        </row>
        <row r="119">
          <cell r="D119">
            <v>2022003923</v>
          </cell>
          <cell r="E119">
            <v>2201010829</v>
          </cell>
          <cell r="F119" t="str">
            <v>B-Tech CSE-VI B</v>
          </cell>
          <cell r="G119" t="str">
            <v>Bachelor of Technology</v>
          </cell>
          <cell r="H119" t="str">
            <v>2022003923.mohammad@ug.sharda.ac.in</v>
          </cell>
          <cell r="I119" t="str">
            <v>2022003923.muzaffarjan@pt.sharda.ac.in</v>
          </cell>
          <cell r="J119" t="str">
            <v>7006813062</v>
          </cell>
          <cell r="K119" t="str">
            <v>Computer Science</v>
          </cell>
          <cell r="L119" t="str">
            <v>Cyber Security Analyst</v>
          </cell>
        </row>
        <row r="120">
          <cell r="D120">
            <v>2022006973</v>
          </cell>
          <cell r="E120">
            <v>2201010835</v>
          </cell>
          <cell r="F120" t="str">
            <v>B-Tech CSE-VI B</v>
          </cell>
          <cell r="G120" t="str">
            <v>Bachelor of Technology</v>
          </cell>
          <cell r="H120" t="str">
            <v>2022006973.keshav@ug.sharda.ac.in</v>
          </cell>
          <cell r="I120" t="str">
            <v>2022006973.arwind@pt.sharda.ac.in</v>
          </cell>
          <cell r="J120" t="str">
            <v>7294102434</v>
          </cell>
          <cell r="K120" t="str">
            <v>Computer Science</v>
          </cell>
          <cell r="L120" t="str">
            <v>Full Stack Developer(Spring Boot)</v>
          </cell>
        </row>
        <row r="121">
          <cell r="D121">
            <v>2022007308</v>
          </cell>
          <cell r="E121">
            <v>2201010841</v>
          </cell>
          <cell r="F121" t="str">
            <v>B-Tech CSE-VI B</v>
          </cell>
          <cell r="G121" t="str">
            <v>Bachelor of Technology</v>
          </cell>
          <cell r="H121" t="str">
            <v>2022007308.khushi@ug.sharda.ac.in</v>
          </cell>
          <cell r="I121" t="str">
            <v>2022007308.kaushalkishore@pt.sharda.ac.in</v>
          </cell>
          <cell r="J121" t="str">
            <v>9310027574</v>
          </cell>
          <cell r="K121" t="str">
            <v>Computer Science</v>
          </cell>
          <cell r="L121" t="str">
            <v>Software Developer</v>
          </cell>
        </row>
        <row r="122">
          <cell r="D122">
            <v>2022008336</v>
          </cell>
          <cell r="E122">
            <v>2201010867</v>
          </cell>
          <cell r="F122" t="str">
            <v>B-Tech CSE-VI B</v>
          </cell>
          <cell r="G122" t="str">
            <v>Bachelor of Technology</v>
          </cell>
          <cell r="H122" t="str">
            <v>2022008336.ahmedma@ug.sharda.ac.in</v>
          </cell>
          <cell r="I122" t="str">
            <v>2022008336.mahmoudam@pt.sharda.ac.in</v>
          </cell>
          <cell r="J122" t="str">
            <v>0091 9958658295</v>
          </cell>
          <cell r="K122" t="str">
            <v>Computer Science</v>
          </cell>
          <cell r="L122" t="str">
            <v>Cyber Security Analyst</v>
          </cell>
        </row>
        <row r="123">
          <cell r="D123">
            <v>2022402175</v>
          </cell>
          <cell r="E123">
            <v>2201010871</v>
          </cell>
          <cell r="F123" t="str">
            <v>B-Tech CSE-VI B</v>
          </cell>
          <cell r="G123" t="str">
            <v>Bachelor of Technology</v>
          </cell>
          <cell r="H123" t="str">
            <v>2022402175.saahil@ug.sharda.ac.in</v>
          </cell>
          <cell r="I123" t="str">
            <v>2022402175.sandeep@pt.sharda.ac.in</v>
          </cell>
          <cell r="J123" t="str">
            <v>9125623998</v>
          </cell>
          <cell r="K123" t="str">
            <v>Computer Science</v>
          </cell>
          <cell r="L123" t="str">
            <v>Software Developer</v>
          </cell>
        </row>
        <row r="124">
          <cell r="D124">
            <v>2022615611</v>
          </cell>
          <cell r="E124">
            <v>2201010902</v>
          </cell>
          <cell r="F124" t="str">
            <v>B-Tech CSE-VI B</v>
          </cell>
          <cell r="G124" t="str">
            <v>Bachelor of Technology</v>
          </cell>
          <cell r="H124" t="str">
            <v>2022615611.syed@ug.sharda.ac.in</v>
          </cell>
          <cell r="I124" t="str">
            <v>2022615611.syedashiq@pt.sharda.ac.in</v>
          </cell>
          <cell r="J124" t="str">
            <v>7006541442</v>
          </cell>
          <cell r="K124" t="str">
            <v>Computer Science</v>
          </cell>
          <cell r="L124" t="str">
            <v>Cyber Security Analyst</v>
          </cell>
        </row>
        <row r="125">
          <cell r="D125">
            <v>2022624448</v>
          </cell>
          <cell r="E125">
            <v>2201010907</v>
          </cell>
          <cell r="F125" t="str">
            <v>B-Tech CSE-VI B</v>
          </cell>
          <cell r="G125" t="str">
            <v>Bachelor of Technology</v>
          </cell>
          <cell r="H125" t="str">
            <v>2022624448.priyanshu@ug.sharda.ac.in</v>
          </cell>
          <cell r="I125" t="str">
            <v>2022624448.gorelal@pt.sharda.ac.in</v>
          </cell>
          <cell r="J125" t="str">
            <v>9693543744</v>
          </cell>
          <cell r="K125" t="str">
            <v>Computer Science</v>
          </cell>
          <cell r="L125" t="str">
            <v>Cyber Security Analyst</v>
          </cell>
        </row>
        <row r="126">
          <cell r="D126">
            <v>2022831961</v>
          </cell>
          <cell r="E126">
            <v>2201010909</v>
          </cell>
          <cell r="F126" t="str">
            <v>B-Tech CSE-VI B</v>
          </cell>
          <cell r="G126" t="str">
            <v>Bachelor of Technology</v>
          </cell>
          <cell r="H126" t="str">
            <v>2022831961.togon@ug.sharda.ac.in</v>
          </cell>
          <cell r="I126" t="str">
            <v>2022831961.alokbrata@pt.sharda.ac.in</v>
          </cell>
          <cell r="J126" t="str">
            <v>91 9990596179</v>
          </cell>
          <cell r="K126" t="str">
            <v>Computer Science</v>
          </cell>
          <cell r="L126" t="str">
            <v>Cyber Security Analyst</v>
          </cell>
        </row>
        <row r="127">
          <cell r="D127">
            <v>2022836161</v>
          </cell>
          <cell r="E127">
            <v>2201010911</v>
          </cell>
          <cell r="F127" t="str">
            <v>B-Tech CSE-VI B</v>
          </cell>
          <cell r="G127" t="str">
            <v>Bachelor of Technology</v>
          </cell>
          <cell r="H127" t="str">
            <v>2022836161.avik@ug.sharda.ac.in</v>
          </cell>
          <cell r="I127" t="str">
            <v>2022836161.apurba@pt.sharda.ac.in</v>
          </cell>
          <cell r="J127" t="str">
            <v>91 9674775066</v>
          </cell>
          <cell r="K127" t="str">
            <v>Computer Science</v>
          </cell>
          <cell r="L127" t="str">
            <v>Software Developer</v>
          </cell>
        </row>
        <row r="128">
          <cell r="D128">
            <v>2023526347</v>
          </cell>
          <cell r="E128">
            <v>2301017007</v>
          </cell>
          <cell r="F128" t="str">
            <v>B-Tech CSE-VI B</v>
          </cell>
          <cell r="G128" t="str">
            <v>Bachelor of Technology</v>
          </cell>
          <cell r="H128" t="str">
            <v>2023526347.harshit@ug.sharda.ac.in</v>
          </cell>
          <cell r="I128" t="str">
            <v>2023526347.pravendra@pt.sharda.ac.in</v>
          </cell>
          <cell r="J128" t="str">
            <v>9639357428</v>
          </cell>
          <cell r="K128" t="str">
            <v>Computer Science</v>
          </cell>
          <cell r="L128" t="str">
            <v>Cyber Security Analyst</v>
          </cell>
        </row>
        <row r="129">
          <cell r="D129">
            <v>2021463218</v>
          </cell>
          <cell r="E129">
            <v>210101493</v>
          </cell>
          <cell r="F129" t="str">
            <v>B-Tech CSE-VI C</v>
          </cell>
          <cell r="G129" t="str">
            <v>Bachelor of Technology</v>
          </cell>
          <cell r="H129" t="str">
            <v>2021463218.siddharth@ug.sharda.ac.in</v>
          </cell>
          <cell r="I129" t="str">
            <v>2021463218.sushanta@pt.sharda.ac.in</v>
          </cell>
          <cell r="J129" t="str">
            <v>9832307047</v>
          </cell>
          <cell r="K129" t="str">
            <v>Computer Science</v>
          </cell>
          <cell r="L129" t="e">
            <v>#N/A</v>
          </cell>
        </row>
        <row r="130">
          <cell r="D130">
            <v>2022509625</v>
          </cell>
          <cell r="E130">
            <v>2201010018</v>
          </cell>
          <cell r="F130" t="str">
            <v>B-Tech CSE-VI C</v>
          </cell>
          <cell r="G130" t="str">
            <v>Bachelor of Technology</v>
          </cell>
          <cell r="H130" t="str">
            <v>2022509625.abhinav@ug.sharda.ac.in</v>
          </cell>
          <cell r="I130" t="str">
            <v>2022509625.bhuwanchandra@pt.sharda.ac.in</v>
          </cell>
          <cell r="J130" t="str">
            <v>9873301731</v>
          </cell>
          <cell r="K130" t="str">
            <v>Computer Science</v>
          </cell>
          <cell r="L130" t="str">
            <v>Full Stack Developer(MERN Stack)</v>
          </cell>
        </row>
        <row r="131">
          <cell r="D131">
            <v>2022344459</v>
          </cell>
          <cell r="E131">
            <v>2201010069</v>
          </cell>
          <cell r="F131" t="str">
            <v>B-Tech CSE-VI C</v>
          </cell>
          <cell r="G131" t="str">
            <v>Bachelor of Technology</v>
          </cell>
          <cell r="H131" t="str">
            <v>2022344459.al@ug.sharda.ac.in</v>
          </cell>
          <cell r="I131" t="str">
            <v>2022344459.foraj@pt.sharda.ac.in</v>
          </cell>
          <cell r="J131" t="str">
            <v>6002934584</v>
          </cell>
          <cell r="K131" t="str">
            <v>Computer Science</v>
          </cell>
          <cell r="L131" t="str">
            <v>Full Stack Developer(MERN Stack)</v>
          </cell>
        </row>
        <row r="132">
          <cell r="D132">
            <v>2022448509</v>
          </cell>
          <cell r="E132">
            <v>2201010118</v>
          </cell>
          <cell r="F132" t="str">
            <v>B-Tech CSE-VI C</v>
          </cell>
          <cell r="G132" t="str">
            <v>Bachelor of Technology</v>
          </cell>
          <cell r="H132" t="str">
            <v>2022448509.apoorv@ug.sharda.ac.in</v>
          </cell>
          <cell r="I132" t="str">
            <v>2022448509.chandraprakash@pt.sharda.ac.in</v>
          </cell>
          <cell r="J132" t="str">
            <v>9044002858</v>
          </cell>
          <cell r="K132" t="str">
            <v>Computer Science</v>
          </cell>
          <cell r="L132" t="str">
            <v>Full Stack Developer(MERN Stack)</v>
          </cell>
        </row>
        <row r="133">
          <cell r="D133">
            <v>2022480934</v>
          </cell>
          <cell r="E133">
            <v>2201010119</v>
          </cell>
          <cell r="F133" t="str">
            <v>B-Tech CSE-VI C</v>
          </cell>
          <cell r="G133" t="str">
            <v>Bachelor of Technology</v>
          </cell>
          <cell r="H133" t="str">
            <v>2022480934.aradhya@ug.sharda.ac.in</v>
          </cell>
          <cell r="I133" t="str">
            <v>2022480934.sanjivkumar@pt.sharda.ac.in</v>
          </cell>
          <cell r="J133" t="str">
            <v>9412810713</v>
          </cell>
          <cell r="K133" t="str">
            <v>Computer Science</v>
          </cell>
          <cell r="L133" t="str">
            <v>Full Stack Developer(MERN Stack)</v>
          </cell>
        </row>
        <row r="134">
          <cell r="D134">
            <v>2022000982</v>
          </cell>
          <cell r="E134">
            <v>2201010125</v>
          </cell>
          <cell r="F134" t="str">
            <v>B-Tech CSE-VI C</v>
          </cell>
          <cell r="G134" t="str">
            <v>Bachelor of Technology</v>
          </cell>
          <cell r="H134" t="str">
            <v>2022000982.arfat@ug.sharda.ac.in</v>
          </cell>
          <cell r="I134" t="str">
            <v>2022000982.mdafroz@pt.sharda.ac.in</v>
          </cell>
          <cell r="J134" t="str">
            <v>8929586849</v>
          </cell>
          <cell r="K134" t="str">
            <v>Computer Science</v>
          </cell>
          <cell r="L134" t="str">
            <v>Software Developer</v>
          </cell>
        </row>
        <row r="135">
          <cell r="D135">
            <v>2022506074</v>
          </cell>
          <cell r="E135">
            <v>2201010150</v>
          </cell>
          <cell r="F135" t="str">
            <v>B-Tech CSE-VI C</v>
          </cell>
          <cell r="G135" t="str">
            <v>Bachelor of Technology</v>
          </cell>
          <cell r="H135" t="str">
            <v>2022506074.aryan@ug.sharda.ac.in</v>
          </cell>
          <cell r="I135" t="str">
            <v>2022506074.rajeev@pt.sharda.ac.in</v>
          </cell>
          <cell r="J135" t="str">
            <v>8595724282</v>
          </cell>
          <cell r="K135" t="str">
            <v>Computer Science</v>
          </cell>
          <cell r="L135" t="str">
            <v>Full Stack Developer(MERN Stack)</v>
          </cell>
        </row>
        <row r="136">
          <cell r="D136">
            <v>2022446378</v>
          </cell>
          <cell r="E136">
            <v>2201010160</v>
          </cell>
          <cell r="F136" t="str">
            <v>B-Tech CSE-VI C</v>
          </cell>
          <cell r="G136" t="str">
            <v>Bachelor of Technology</v>
          </cell>
          <cell r="H136" t="str">
            <v>2022446378.asmit@ug.sharda.ac.in</v>
          </cell>
          <cell r="I136" t="str">
            <v>2022446378.arun@pt.sharda.ac.in</v>
          </cell>
          <cell r="J136" t="str">
            <v>6201817713</v>
          </cell>
          <cell r="K136" t="str">
            <v>Computer Science</v>
          </cell>
          <cell r="L136" t="str">
            <v>Software Developer</v>
          </cell>
        </row>
        <row r="137">
          <cell r="D137">
            <v>2022462663</v>
          </cell>
          <cell r="E137">
            <v>2201010204</v>
          </cell>
          <cell r="F137" t="str">
            <v>B-Tech CSE-VI C</v>
          </cell>
          <cell r="G137" t="str">
            <v>Bachelor of Technology</v>
          </cell>
          <cell r="H137" t="str">
            <v>2022462663.deepali@ug.sharda.ac.in</v>
          </cell>
          <cell r="I137" t="str">
            <v>2022462663.naurang@pt.sharda.ac.in</v>
          </cell>
          <cell r="J137" t="str">
            <v>9350536399</v>
          </cell>
          <cell r="K137" t="str">
            <v>Computer Science</v>
          </cell>
          <cell r="L137" t="str">
            <v>Software Developer</v>
          </cell>
        </row>
        <row r="138">
          <cell r="D138">
            <v>2022487133</v>
          </cell>
          <cell r="E138">
            <v>2201010227</v>
          </cell>
          <cell r="F138" t="str">
            <v>B-Tech CSE-VI C</v>
          </cell>
          <cell r="G138" t="str">
            <v>Bachelor of Technology</v>
          </cell>
          <cell r="H138" t="str">
            <v>2022487133.divyansh@ug.sharda.ac.in</v>
          </cell>
          <cell r="I138" t="str">
            <v>2022487133.bhudeo@pt.sharda.ac.in</v>
          </cell>
          <cell r="J138" t="str">
            <v>7253008620</v>
          </cell>
          <cell r="K138" t="str">
            <v>Computer Science</v>
          </cell>
          <cell r="L138" t="str">
            <v>Software Developer</v>
          </cell>
        </row>
        <row r="139">
          <cell r="D139">
            <v>2022476992</v>
          </cell>
          <cell r="E139">
            <v>2201010263</v>
          </cell>
          <cell r="F139" t="str">
            <v>B-Tech CSE-VI C</v>
          </cell>
          <cell r="G139" t="str">
            <v>Bachelor of Technology</v>
          </cell>
          <cell r="H139" t="str">
            <v>2022476992.harsh@ug.sharda.ac.in</v>
          </cell>
          <cell r="I139" t="str">
            <v>2022476992.ram@pt.sharda.ac.in</v>
          </cell>
          <cell r="J139" t="str">
            <v>7007382747</v>
          </cell>
          <cell r="K139" t="str">
            <v>Computer Science</v>
          </cell>
          <cell r="L139" t="str">
            <v>Cloud Engineer</v>
          </cell>
        </row>
        <row r="140">
          <cell r="D140">
            <v>2022482951</v>
          </cell>
          <cell r="E140">
            <v>2201010270</v>
          </cell>
          <cell r="F140" t="str">
            <v>B-Tech CSE-VI C</v>
          </cell>
          <cell r="G140" t="str">
            <v>Bachelor of Technology</v>
          </cell>
          <cell r="H140" t="str">
            <v>2022482951.harsh@ug.sharda.ac.in</v>
          </cell>
          <cell r="I140" t="str">
            <v>2022482951.bobinder@pt.sharda.ac.in</v>
          </cell>
          <cell r="J140" t="str">
            <v>8439358060</v>
          </cell>
          <cell r="K140" t="str">
            <v>Computer Science</v>
          </cell>
          <cell r="L140" t="str">
            <v>Software Developer</v>
          </cell>
        </row>
        <row r="141">
          <cell r="D141">
            <v>2022441875</v>
          </cell>
          <cell r="E141">
            <v>2201010284</v>
          </cell>
          <cell r="F141" t="str">
            <v>B-Tech CSE-VI C</v>
          </cell>
          <cell r="G141" t="str">
            <v>Bachelor of Technology</v>
          </cell>
          <cell r="H141" t="str">
            <v>2022441875.hemant@ug.sharda.ac.in</v>
          </cell>
          <cell r="I141" t="str">
            <v>2022441875.rajesh@pt.sharda.ac.in</v>
          </cell>
          <cell r="J141" t="str">
            <v>8766227298</v>
          </cell>
          <cell r="K141" t="str">
            <v>Computer Science</v>
          </cell>
          <cell r="L141" t="str">
            <v>Full Stack Developer(MERN Stack)</v>
          </cell>
        </row>
        <row r="142">
          <cell r="D142">
            <v>2022472005</v>
          </cell>
          <cell r="E142">
            <v>2201010296</v>
          </cell>
          <cell r="F142" t="str">
            <v>B-Tech CSE-VI C</v>
          </cell>
          <cell r="G142" t="str">
            <v>Bachelor of Technology</v>
          </cell>
          <cell r="H142" t="str">
            <v>2022472005.ishita@ug.sharda.ac.in</v>
          </cell>
          <cell r="I142" t="str">
            <v>2022472005.arunkumar@pt.sharda.ac.in</v>
          </cell>
          <cell r="J142" t="str">
            <v>8434862779</v>
          </cell>
          <cell r="K142" t="str">
            <v>Computer Science</v>
          </cell>
          <cell r="L142" t="str">
            <v>Full Stack Developer(Spring Boot)</v>
          </cell>
        </row>
        <row r="143">
          <cell r="D143">
            <v>2022004703</v>
          </cell>
          <cell r="E143">
            <v>2201010314</v>
          </cell>
          <cell r="F143" t="str">
            <v>B-Tech CSE-VI C</v>
          </cell>
          <cell r="G143" t="str">
            <v>Bachelor of Technology</v>
          </cell>
          <cell r="H143" t="str">
            <v>2022004703.kalpana@ug.sharda.ac.in</v>
          </cell>
          <cell r="I143" t="str">
            <v>2022004703.mangala@pt.sharda.ac.in</v>
          </cell>
          <cell r="J143" t="str">
            <v>7428770861</v>
          </cell>
          <cell r="K143" t="str">
            <v>Computer Science</v>
          </cell>
          <cell r="L143" t="str">
            <v>Software Developer</v>
          </cell>
        </row>
        <row r="144">
          <cell r="D144">
            <v>2022301943</v>
          </cell>
          <cell r="E144">
            <v>2201010318</v>
          </cell>
          <cell r="F144" t="str">
            <v>B-Tech CSE-VI C</v>
          </cell>
          <cell r="G144" t="str">
            <v>Bachelor of Technology</v>
          </cell>
          <cell r="H144" t="str">
            <v>2022301943.karan@ug.sharda.ac.in</v>
          </cell>
          <cell r="I144" t="str">
            <v>2022301943.b@pt.sharda.ac.in</v>
          </cell>
          <cell r="J144" t="str">
            <v>9205507667</v>
          </cell>
          <cell r="K144" t="str">
            <v>Computer Science</v>
          </cell>
          <cell r="L144" t="str">
            <v>Software Developer</v>
          </cell>
        </row>
        <row r="145">
          <cell r="D145">
            <v>2022004442</v>
          </cell>
          <cell r="E145">
            <v>2201010379</v>
          </cell>
          <cell r="F145" t="str">
            <v>B-Tech CSE-VI C</v>
          </cell>
          <cell r="G145" t="str">
            <v>Bachelor of Technology</v>
          </cell>
          <cell r="H145" t="str">
            <v>2022004442.mantasha@ug.sharda.ac.in</v>
          </cell>
          <cell r="I145" t="str">
            <v>2022004442.ehtasham@pt.sharda.ac.in</v>
          </cell>
          <cell r="J145" t="str">
            <v>9958225120</v>
          </cell>
          <cell r="K145" t="str">
            <v>Computer Science</v>
          </cell>
          <cell r="L145" t="str">
            <v>Full Stack Developer(MERN Stack)</v>
          </cell>
        </row>
        <row r="146">
          <cell r="D146">
            <v>2022480728</v>
          </cell>
          <cell r="E146">
            <v>2201010389</v>
          </cell>
          <cell r="F146" t="str">
            <v>B-Tech CSE-VI C</v>
          </cell>
          <cell r="G146" t="str">
            <v>Bachelor of Technology</v>
          </cell>
          <cell r="H146" t="str">
            <v>2022480728.md@ug.sharda.ac.in</v>
          </cell>
          <cell r="I146" t="str">
            <v>2022480728.md@pt.sharda.ac.in</v>
          </cell>
          <cell r="J146" t="str">
            <v>9717511182</v>
          </cell>
          <cell r="K146" t="str">
            <v>Computer Science</v>
          </cell>
          <cell r="L146" t="str">
            <v>Software Developer</v>
          </cell>
        </row>
        <row r="147">
          <cell r="D147">
            <v>2022512176</v>
          </cell>
          <cell r="E147">
            <v>2201010399</v>
          </cell>
          <cell r="F147" t="str">
            <v>B-Tech CSE-VI C</v>
          </cell>
          <cell r="G147" t="str">
            <v>Bachelor of Technology</v>
          </cell>
          <cell r="H147" t="str">
            <v>2022512176.megha@ug.sharda.ac.in</v>
          </cell>
          <cell r="I147" t="str">
            <v>2022512176.surendrapal@pt.sharda.ac.in</v>
          </cell>
          <cell r="J147" t="str">
            <v>9818358499</v>
          </cell>
          <cell r="K147" t="str">
            <v>Computer Science</v>
          </cell>
          <cell r="L147" t="str">
            <v>Software Developer</v>
          </cell>
        </row>
        <row r="148">
          <cell r="D148">
            <v>2022497340</v>
          </cell>
          <cell r="E148">
            <v>2201010409</v>
          </cell>
          <cell r="F148" t="str">
            <v>B-Tech CSE-VI C</v>
          </cell>
          <cell r="G148" t="str">
            <v>Bachelor of Technology</v>
          </cell>
          <cell r="H148" t="str">
            <v>2022497340.mohammadfaisal@ug.sharda.ac.in</v>
          </cell>
          <cell r="I148" t="str">
            <v>2022497340.sk@pt.sharda.ac.in</v>
          </cell>
          <cell r="J148" t="str">
            <v>9128944978</v>
          </cell>
          <cell r="K148" t="str">
            <v>Computer Science</v>
          </cell>
          <cell r="L148" t="str">
            <v>Full Stack Developer(Spring Boot)</v>
          </cell>
        </row>
        <row r="149">
          <cell r="D149">
            <v>2022815775</v>
          </cell>
          <cell r="E149">
            <v>2201010416</v>
          </cell>
          <cell r="F149" t="str">
            <v>B-Tech CSE-VI C</v>
          </cell>
          <cell r="G149" t="str">
            <v>Bachelor of Technology</v>
          </cell>
          <cell r="H149" t="str">
            <v>2022815775.mohammed@ug.sharda.ac.in</v>
          </cell>
          <cell r="I149" t="str">
            <v>2022815775.haziqsayeed@pt.sharda.ac.in</v>
          </cell>
          <cell r="J149" t="str">
            <v>9773621064</v>
          </cell>
          <cell r="K149" t="str">
            <v>Computer Science</v>
          </cell>
          <cell r="L149" t="str">
            <v>Full Stack Developer(MERN Stack)</v>
          </cell>
        </row>
        <row r="150">
          <cell r="D150">
            <v>2022824586</v>
          </cell>
          <cell r="E150">
            <v>2201010435</v>
          </cell>
          <cell r="F150" t="str">
            <v>B-Tech CSE-VI C</v>
          </cell>
          <cell r="G150" t="str">
            <v>Bachelor of Technology</v>
          </cell>
          <cell r="H150" t="str">
            <v>2022824586.moses@ug.sharda.ac.in</v>
          </cell>
          <cell r="I150" t="str">
            <v>2022824586.msumi@pt.sharda.ac.in</v>
          </cell>
          <cell r="J150" t="str">
            <v>960012907</v>
          </cell>
          <cell r="K150" t="str">
            <v>Computer Science</v>
          </cell>
          <cell r="L150" t="str">
            <v>Software Developer</v>
          </cell>
        </row>
        <row r="151">
          <cell r="D151">
            <v>2022504261</v>
          </cell>
          <cell r="E151">
            <v>2201010475</v>
          </cell>
          <cell r="F151" t="str">
            <v>B-Tech CSE-VI C</v>
          </cell>
          <cell r="G151" t="str">
            <v>Bachelor of Technology</v>
          </cell>
          <cell r="H151" t="str">
            <v>2022504261.nikita@ug.sharda.ac.in</v>
          </cell>
          <cell r="I151" t="str">
            <v>2022504261.arunkumar@pt.sharda.ac.in</v>
          </cell>
          <cell r="J151" t="str">
            <v>8797904778</v>
          </cell>
          <cell r="K151" t="str">
            <v>Computer Science</v>
          </cell>
          <cell r="L151" t="str">
            <v>Full Stack Developer(Spring Boot)</v>
          </cell>
        </row>
        <row r="152">
          <cell r="D152">
            <v>2022472932</v>
          </cell>
          <cell r="E152">
            <v>2201010477</v>
          </cell>
          <cell r="F152" t="str">
            <v>B-Tech CSE-VI C</v>
          </cell>
          <cell r="G152" t="str">
            <v>Bachelor of Technology</v>
          </cell>
          <cell r="H152" t="str">
            <v>2022472932.nishant@ug.sharda.ac.in</v>
          </cell>
          <cell r="I152" t="str">
            <v>2022472932.ravinder@pt.sharda.ac.in</v>
          </cell>
          <cell r="J152" t="str">
            <v>9310501448</v>
          </cell>
          <cell r="K152" t="str">
            <v>Computer Science</v>
          </cell>
          <cell r="L152" t="str">
            <v>Full Stack Developer(MERN Stack)</v>
          </cell>
        </row>
        <row r="153">
          <cell r="D153">
            <v>2022807476</v>
          </cell>
          <cell r="E153">
            <v>2201010485</v>
          </cell>
          <cell r="F153" t="str">
            <v>B-Tech CSE-VI C</v>
          </cell>
          <cell r="G153" t="str">
            <v>Bachelor of Technology</v>
          </cell>
          <cell r="H153" t="str">
            <v>2022807476.nkenglefack@ug.sharda.ac.in</v>
          </cell>
          <cell r="I153" t="str">
            <v>2022807476.williams@pt.sharda.ac.in</v>
          </cell>
          <cell r="J153" t="str">
            <v>8794720814</v>
          </cell>
          <cell r="K153" t="str">
            <v>Computer Science</v>
          </cell>
          <cell r="L153" t="str">
            <v>Full Stack Developer(MERN Stack)</v>
          </cell>
        </row>
        <row r="154">
          <cell r="D154">
            <v>2022005582</v>
          </cell>
          <cell r="E154">
            <v>2201010505</v>
          </cell>
          <cell r="F154" t="str">
            <v>B-Tech CSE-VI C</v>
          </cell>
          <cell r="G154" t="str">
            <v>Bachelor of Technology</v>
          </cell>
          <cell r="H154" t="str">
            <v>2022005582.pooja@ug.sharda.ac.in</v>
          </cell>
          <cell r="I154" t="str">
            <v>2022005582.praveenkumar@pt.sharda.ac.in</v>
          </cell>
          <cell r="J154" t="str">
            <v>8383846696</v>
          </cell>
          <cell r="K154" t="str">
            <v>Computer Science</v>
          </cell>
          <cell r="L154" t="str">
            <v>Full Stack Developer(MERN Stack)</v>
          </cell>
        </row>
        <row r="155">
          <cell r="D155">
            <v>2022003695</v>
          </cell>
          <cell r="E155">
            <v>2201010515</v>
          </cell>
          <cell r="F155" t="str">
            <v>B-Tech CSE-VI C</v>
          </cell>
          <cell r="G155" t="str">
            <v>Bachelor of Technology</v>
          </cell>
          <cell r="H155" t="str">
            <v>2022003695.prateek@ug.sharda.ac.in</v>
          </cell>
          <cell r="I155" t="str">
            <v>2022003695.anup@pt.sharda.ac.in</v>
          </cell>
          <cell r="J155" t="str">
            <v>7903443437</v>
          </cell>
          <cell r="K155" t="str">
            <v>Computer Science</v>
          </cell>
          <cell r="L155" t="str">
            <v>Software Developer</v>
          </cell>
        </row>
        <row r="156">
          <cell r="D156">
            <v>2022372515</v>
          </cell>
          <cell r="E156">
            <v>2201010518</v>
          </cell>
          <cell r="F156" t="str">
            <v>B-Tech CSE-VI C</v>
          </cell>
          <cell r="G156" t="str">
            <v>Bachelor of Technology</v>
          </cell>
          <cell r="H156" t="str">
            <v>2022372515.pratham@ug.sharda.ac.in</v>
          </cell>
          <cell r="I156" t="str">
            <v>2022372515.virendra@pt.sharda.ac.in</v>
          </cell>
          <cell r="J156" t="str">
            <v>8409635355</v>
          </cell>
          <cell r="K156" t="str">
            <v>Computer Science</v>
          </cell>
          <cell r="L156" t="str">
            <v>Software Developer</v>
          </cell>
        </row>
        <row r="157">
          <cell r="D157">
            <v>2022506127</v>
          </cell>
          <cell r="E157">
            <v>2201010521</v>
          </cell>
          <cell r="F157" t="str">
            <v>B-Tech CSE-VI C</v>
          </cell>
          <cell r="G157" t="str">
            <v>Bachelor of Technology</v>
          </cell>
          <cell r="H157" t="str">
            <v>2022506127.pratyush@ug.sharda.ac.in</v>
          </cell>
          <cell r="I157" t="str">
            <v>2022506127.prasantakumar@pt.sharda.ac.in</v>
          </cell>
          <cell r="J157" t="str">
            <v>9315709293</v>
          </cell>
          <cell r="K157" t="str">
            <v>Computer Science</v>
          </cell>
          <cell r="L157" t="str">
            <v>Machine Learning Engineer</v>
          </cell>
        </row>
        <row r="158">
          <cell r="D158">
            <v>2022005818</v>
          </cell>
          <cell r="E158">
            <v>2201010531</v>
          </cell>
          <cell r="F158" t="str">
            <v>B-Tech CSE-VI C</v>
          </cell>
          <cell r="G158" t="str">
            <v>Bachelor of Technology</v>
          </cell>
          <cell r="H158" t="str">
            <v>2022005818.priyanshu@ug.sharda.ac.in</v>
          </cell>
          <cell r="I158" t="str">
            <v>2022005818.deepakkumar@pt.sharda.ac.in</v>
          </cell>
          <cell r="J158" t="str">
            <v>8882946326</v>
          </cell>
          <cell r="K158" t="str">
            <v>Computer Science</v>
          </cell>
          <cell r="L158" t="str">
            <v>Full Stack Developer(MERN Stack)</v>
          </cell>
        </row>
        <row r="159">
          <cell r="D159">
            <v>2022506580</v>
          </cell>
          <cell r="E159">
            <v>2201010556</v>
          </cell>
          <cell r="F159" t="str">
            <v>B-Tech CSE-VI C</v>
          </cell>
          <cell r="G159" t="str">
            <v>Bachelor of Technology</v>
          </cell>
          <cell r="H159" t="str">
            <v>2022506580.rajesh@ug.sharda.ac.in</v>
          </cell>
          <cell r="I159" t="str">
            <v>2022506580.ramchandra@pt.sharda.ac.in</v>
          </cell>
          <cell r="J159" t="str">
            <v>6200734740</v>
          </cell>
          <cell r="K159" t="str">
            <v>Computer Science</v>
          </cell>
          <cell r="L159" t="str">
            <v>Full Stack Developer(MERN Stack)</v>
          </cell>
        </row>
        <row r="160">
          <cell r="D160">
            <v>2022306733</v>
          </cell>
          <cell r="E160">
            <v>2201010564</v>
          </cell>
          <cell r="F160" t="str">
            <v>B-Tech CSE-VI C</v>
          </cell>
          <cell r="G160" t="str">
            <v>Bachelor of Technology</v>
          </cell>
          <cell r="H160" t="str">
            <v>2022306733.rayyaantasaduq@ug.sharda.ac.in</v>
          </cell>
          <cell r="I160" t="str">
            <v>2022306733.tasaduqahmad@pt.sharda.ac.in</v>
          </cell>
          <cell r="J160" t="str">
            <v>9149764797</v>
          </cell>
          <cell r="K160" t="str">
            <v>Computer Science</v>
          </cell>
          <cell r="L160" t="str">
            <v>Software Developer</v>
          </cell>
        </row>
        <row r="161">
          <cell r="D161">
            <v>2022463682</v>
          </cell>
          <cell r="E161">
            <v>2201010570</v>
          </cell>
          <cell r="F161" t="str">
            <v>B-Tech CSE-VI C</v>
          </cell>
          <cell r="G161" t="str">
            <v>Bachelor of Technology</v>
          </cell>
          <cell r="H161" t="str">
            <v>2022463682.richa@ug.sharda.ac.in</v>
          </cell>
          <cell r="I161" t="str">
            <v>2022463682.deviprasad@pt.sharda.ac.in</v>
          </cell>
          <cell r="J161" t="str">
            <v>8368486434</v>
          </cell>
          <cell r="K161" t="str">
            <v>Computer Science</v>
          </cell>
          <cell r="L161" t="str">
            <v>Full Stack Developer(MERN Stack)</v>
          </cell>
        </row>
        <row r="162">
          <cell r="D162">
            <v>2022306401</v>
          </cell>
          <cell r="E162">
            <v>2201010585</v>
          </cell>
          <cell r="F162" t="str">
            <v>B-Tech CSE-VI C</v>
          </cell>
          <cell r="G162" t="str">
            <v>Bachelor of Technology</v>
          </cell>
          <cell r="H162" t="str">
            <v>2022306401.riti@ug.sharda.ac.in</v>
          </cell>
          <cell r="I162" t="str">
            <v>2022306401.naveen@pt.sharda.ac.in</v>
          </cell>
          <cell r="J162" t="str">
            <v>8595590409</v>
          </cell>
          <cell r="K162" t="str">
            <v>Computer Science</v>
          </cell>
          <cell r="L162" t="str">
            <v>Software Developer</v>
          </cell>
        </row>
        <row r="163">
          <cell r="D163">
            <v>2022359008</v>
          </cell>
          <cell r="E163">
            <v>2201010586</v>
          </cell>
          <cell r="F163" t="str">
            <v>B-Tech CSE-VI C</v>
          </cell>
          <cell r="G163" t="str">
            <v>Bachelor of Technology</v>
          </cell>
          <cell r="H163" t="str">
            <v>2022359008.ritika@ug.sharda.ac.in</v>
          </cell>
          <cell r="I163" t="str">
            <v>2022359008.atul@pt.sharda.ac.in</v>
          </cell>
          <cell r="J163" t="str">
            <v>8218723077</v>
          </cell>
          <cell r="K163" t="str">
            <v>Computer Science</v>
          </cell>
          <cell r="L163" t="str">
            <v>Full Stack Developer(MERN Stack)</v>
          </cell>
        </row>
        <row r="164">
          <cell r="D164">
            <v>2022004737</v>
          </cell>
          <cell r="E164">
            <v>2201010594</v>
          </cell>
          <cell r="F164" t="str">
            <v>B-Tech CSE-VI C</v>
          </cell>
          <cell r="G164" t="str">
            <v>Bachelor of Technology</v>
          </cell>
          <cell r="H164" t="str">
            <v>2022004737.riya@ug.sharda.ac.in</v>
          </cell>
          <cell r="I164" t="str">
            <v>2022004737.sudhir@pt.sharda.ac.in</v>
          </cell>
          <cell r="J164" t="str">
            <v>8700933859</v>
          </cell>
          <cell r="K164" t="str">
            <v>Computer Science</v>
          </cell>
          <cell r="L164" t="str">
            <v>Full Stack Developer(Spring Boot)</v>
          </cell>
        </row>
        <row r="165">
          <cell r="D165">
            <v>2022004675</v>
          </cell>
          <cell r="E165">
            <v>2201010596</v>
          </cell>
          <cell r="F165" t="str">
            <v>B-Tech CSE-VI C</v>
          </cell>
          <cell r="G165" t="str">
            <v>Bachelor of Technology</v>
          </cell>
          <cell r="H165" t="str">
            <v>2022004675.rohan@ug.sharda.ac.in</v>
          </cell>
          <cell r="I165" t="str">
            <v>2022004675.manish@pt.sharda.ac.in</v>
          </cell>
          <cell r="J165" t="str">
            <v>9199424192</v>
          </cell>
          <cell r="K165" t="str">
            <v>Computer Science</v>
          </cell>
          <cell r="L165" t="str">
            <v>Software Developer</v>
          </cell>
        </row>
        <row r="166">
          <cell r="D166">
            <v>2022478479</v>
          </cell>
          <cell r="E166">
            <v>2201010602</v>
          </cell>
          <cell r="F166" t="str">
            <v>B-Tech CSE-VI C</v>
          </cell>
          <cell r="G166" t="str">
            <v>Bachelor of Technology</v>
          </cell>
          <cell r="H166" t="str">
            <v>2022478479.rohit@ug.sharda.ac.in</v>
          </cell>
          <cell r="I166" t="str">
            <v>2022478479.satendra@pt.sharda.ac.in</v>
          </cell>
          <cell r="J166" t="str">
            <v>9311867527</v>
          </cell>
          <cell r="K166" t="str">
            <v>Computer Science</v>
          </cell>
          <cell r="L166" t="str">
            <v>Full Stack Developer(MERN Stack)</v>
          </cell>
        </row>
        <row r="167">
          <cell r="D167">
            <v>2022502729</v>
          </cell>
          <cell r="E167">
            <v>2201010622</v>
          </cell>
          <cell r="F167" t="str">
            <v>B-Tech CSE-VI C</v>
          </cell>
          <cell r="G167" t="str">
            <v>Bachelor of Technology</v>
          </cell>
          <cell r="H167" t="str">
            <v>2022502729.saloni@ug.sharda.ac.in</v>
          </cell>
          <cell r="I167" t="str">
            <v>2022502729.brijmohan@pt.sharda.ac.in</v>
          </cell>
          <cell r="J167" t="str">
            <v>9334319291</v>
          </cell>
          <cell r="K167" t="str">
            <v>Computer Science</v>
          </cell>
          <cell r="L167" t="str">
            <v>Cyber Security Analyst</v>
          </cell>
        </row>
        <row r="168">
          <cell r="D168">
            <v>2022481225</v>
          </cell>
          <cell r="E168">
            <v>2201010652</v>
          </cell>
          <cell r="F168" t="str">
            <v>B-Tech CSE-VI C</v>
          </cell>
          <cell r="G168" t="str">
            <v>Bachelor of Technology</v>
          </cell>
          <cell r="H168" t="str">
            <v>2022481225.shailesh@ug.sharda.ac.in</v>
          </cell>
          <cell r="I168" t="str">
            <v>2022481225.umeshkumar@pt.sharda.ac.in</v>
          </cell>
          <cell r="J168" t="str">
            <v>8271470307</v>
          </cell>
          <cell r="K168" t="str">
            <v>Computer Science</v>
          </cell>
          <cell r="L168" t="str">
            <v>Full Stack Developer(MERN Stack)</v>
          </cell>
        </row>
        <row r="169">
          <cell r="D169">
            <v>2022437807</v>
          </cell>
          <cell r="E169">
            <v>2201010669</v>
          </cell>
          <cell r="F169" t="str">
            <v>B-Tech CSE-VI C</v>
          </cell>
          <cell r="G169" t="str">
            <v>Bachelor of Technology</v>
          </cell>
          <cell r="H169" t="str">
            <v>2022437807.shivam@ug.sharda.ac.in</v>
          </cell>
          <cell r="I169" t="str">
            <v>2022437807.arvind@pt.sharda.ac.in</v>
          </cell>
          <cell r="J169" t="str">
            <v>8742919690</v>
          </cell>
          <cell r="K169" t="str">
            <v>Computer Science</v>
          </cell>
          <cell r="L169" t="str">
            <v>Software Developer</v>
          </cell>
        </row>
        <row r="170">
          <cell r="D170">
            <v>2022005275</v>
          </cell>
          <cell r="E170">
            <v>2201010675</v>
          </cell>
          <cell r="F170" t="str">
            <v>B-Tech CSE-VI C</v>
          </cell>
          <cell r="G170" t="str">
            <v>Bachelor of Technology</v>
          </cell>
          <cell r="H170" t="str">
            <v>2022005275.shivam@ug.sharda.ac.in</v>
          </cell>
          <cell r="I170" t="str">
            <v>2022005275.vijendra@pt.sharda.ac.in</v>
          </cell>
          <cell r="J170" t="str">
            <v>8787096109</v>
          </cell>
          <cell r="K170" t="str">
            <v>Computer Science</v>
          </cell>
          <cell r="L170" t="str">
            <v>Full Stack Developer(MERN Stack)</v>
          </cell>
        </row>
        <row r="171">
          <cell r="D171">
            <v>2022506607</v>
          </cell>
          <cell r="E171">
            <v>2201010680</v>
          </cell>
          <cell r="F171" t="str">
            <v>B-Tech CSE-VI C</v>
          </cell>
          <cell r="G171" t="str">
            <v>Bachelor of Technology</v>
          </cell>
          <cell r="H171" t="str">
            <v>2022506607.shiwangi@ug.sharda.ac.in</v>
          </cell>
          <cell r="I171" t="str">
            <v>2022506607.shyamnath@pt.sharda.ac.in</v>
          </cell>
          <cell r="J171" t="str">
            <v>7903140320</v>
          </cell>
          <cell r="K171" t="str">
            <v>Computer Science</v>
          </cell>
          <cell r="L171" t="str">
            <v>Full Stack Developer(MERN Stack)</v>
          </cell>
        </row>
        <row r="172">
          <cell r="D172">
            <v>2022414495</v>
          </cell>
          <cell r="E172">
            <v>2201010682</v>
          </cell>
          <cell r="F172" t="str">
            <v>B-Tech CSE-VI C</v>
          </cell>
          <cell r="G172" t="str">
            <v>Bachelor of Technology</v>
          </cell>
          <cell r="H172" t="str">
            <v>2022414495.shourya@ug.sharda.ac.in</v>
          </cell>
          <cell r="I172" t="str">
            <v>2022414495.anil@pt.sharda.ac.in</v>
          </cell>
          <cell r="J172" t="str">
            <v>8929988090</v>
          </cell>
          <cell r="K172" t="str">
            <v>Computer Science</v>
          </cell>
          <cell r="L172" t="e">
            <v>#N/A</v>
          </cell>
        </row>
        <row r="173">
          <cell r="D173">
            <v>2022005992</v>
          </cell>
          <cell r="E173">
            <v>2201010733</v>
          </cell>
          <cell r="F173" t="str">
            <v>B-Tech CSE-VI C</v>
          </cell>
          <cell r="G173" t="str">
            <v>Bachelor of Technology</v>
          </cell>
          <cell r="H173" t="str">
            <v>2022005992.swaraj@ug.sharda.ac.in</v>
          </cell>
          <cell r="I173" t="str">
            <v>2022005992.harish@pt.sharda.ac.in</v>
          </cell>
          <cell r="J173" t="str">
            <v>9318402815</v>
          </cell>
          <cell r="K173" t="str">
            <v>Computer Science</v>
          </cell>
          <cell r="L173" t="str">
            <v>Software Developer</v>
          </cell>
        </row>
        <row r="174">
          <cell r="D174">
            <v>2022002431</v>
          </cell>
          <cell r="E174">
            <v>2201010745</v>
          </cell>
          <cell r="F174" t="str">
            <v>B-Tech CSE-VI C</v>
          </cell>
          <cell r="G174" t="str">
            <v>Bachelor of Technology</v>
          </cell>
          <cell r="H174" t="str">
            <v>2022002431.tanvee@ug.sharda.ac.in</v>
          </cell>
          <cell r="I174" t="str">
            <v>2022002431.manjesh@pt.sharda.ac.in</v>
          </cell>
          <cell r="J174" t="str">
            <v>8851522509</v>
          </cell>
          <cell r="K174" t="str">
            <v>Computer Science</v>
          </cell>
          <cell r="L174" t="str">
            <v>Data Scientist</v>
          </cell>
        </row>
        <row r="175">
          <cell r="D175">
            <v>2022005567</v>
          </cell>
          <cell r="E175">
            <v>2201010747</v>
          </cell>
          <cell r="F175" t="str">
            <v>B-Tech CSE-VI C</v>
          </cell>
          <cell r="G175" t="str">
            <v>Bachelor of Technology</v>
          </cell>
          <cell r="H175" t="str">
            <v>2022005567.tanya@ug.sharda.ac.in</v>
          </cell>
          <cell r="I175" t="str">
            <v>2022005567.rajneeshkumar@pt.sharda.ac.in</v>
          </cell>
          <cell r="J175" t="str">
            <v>9415690996</v>
          </cell>
          <cell r="K175" t="str">
            <v>Computer Science</v>
          </cell>
          <cell r="L175" t="str">
            <v>Software Developer</v>
          </cell>
        </row>
        <row r="176">
          <cell r="D176">
            <v>2022418998</v>
          </cell>
          <cell r="E176">
            <v>2201010756</v>
          </cell>
          <cell r="F176" t="str">
            <v>B-Tech CSE-VI C</v>
          </cell>
          <cell r="G176" t="str">
            <v>Bachelor of Technology</v>
          </cell>
          <cell r="H176" t="str">
            <v>2022418998.uday@ug.sharda.ac.in</v>
          </cell>
          <cell r="I176" t="str">
            <v>2022418998.inder@pt.sharda.ac.in</v>
          </cell>
          <cell r="J176" t="str">
            <v>8076622787</v>
          </cell>
          <cell r="K176" t="str">
            <v>Computer Science</v>
          </cell>
          <cell r="L176" t="str">
            <v>Software Developer</v>
          </cell>
        </row>
        <row r="177">
          <cell r="D177">
            <v>2022307471</v>
          </cell>
          <cell r="E177">
            <v>2201010763</v>
          </cell>
          <cell r="F177" t="str">
            <v>B-Tech CSE-VI C</v>
          </cell>
          <cell r="G177" t="str">
            <v>Bachelor of Technology</v>
          </cell>
          <cell r="H177" t="str">
            <v>2022307471.utkarsh@ug.sharda.ac.in</v>
          </cell>
          <cell r="I177" t="str">
            <v>2022307471.laxminarayan@pt.sharda.ac.in</v>
          </cell>
          <cell r="J177" t="str">
            <v>6394434558</v>
          </cell>
          <cell r="K177" t="str">
            <v>Computer Science</v>
          </cell>
          <cell r="L177" t="str">
            <v>Android Developer</v>
          </cell>
        </row>
        <row r="178">
          <cell r="D178">
            <v>2022005062</v>
          </cell>
          <cell r="E178">
            <v>2201010764</v>
          </cell>
          <cell r="F178" t="str">
            <v>B-Tech CSE-VI C</v>
          </cell>
          <cell r="G178" t="str">
            <v>Bachelor of Technology</v>
          </cell>
          <cell r="H178" t="str">
            <v>2022005062.utkarsh@ug.sharda.ac.in</v>
          </cell>
          <cell r="I178" t="str">
            <v>2022005062.varunpratap@pt.sharda.ac.in</v>
          </cell>
          <cell r="J178" t="str">
            <v>9058561411</v>
          </cell>
          <cell r="K178" t="str">
            <v>Computer Science</v>
          </cell>
          <cell r="L178" t="str">
            <v>Full Stack Developer(MERN Stack)</v>
          </cell>
        </row>
        <row r="179">
          <cell r="D179">
            <v>2022003889</v>
          </cell>
          <cell r="E179">
            <v>2201010770</v>
          </cell>
          <cell r="F179" t="str">
            <v>B-Tech CSE-VI C</v>
          </cell>
          <cell r="G179" t="str">
            <v>Bachelor of Technology</v>
          </cell>
          <cell r="H179" t="str">
            <v>2022003889.vaibhav@ug.sharda.ac.in</v>
          </cell>
          <cell r="I179" t="str">
            <v>2022003889.subhash@pt.sharda.ac.in</v>
          </cell>
          <cell r="J179" t="str">
            <v>9034265709</v>
          </cell>
          <cell r="K179" t="str">
            <v>Computer Science</v>
          </cell>
          <cell r="L179" t="str">
            <v>Full Stack Developer(Spring Boot)</v>
          </cell>
        </row>
        <row r="180">
          <cell r="D180">
            <v>2022511135</v>
          </cell>
          <cell r="E180">
            <v>2201010774</v>
          </cell>
          <cell r="F180" t="str">
            <v>B-Tech CSE-VI C</v>
          </cell>
          <cell r="G180" t="str">
            <v>Bachelor of Technology</v>
          </cell>
          <cell r="H180" t="str">
            <v>2022511135.vanshika@ug.sharda.ac.in</v>
          </cell>
          <cell r="I180" t="str">
            <v>2022511135.ajaykumar@pt.sharda.ac.in</v>
          </cell>
          <cell r="J180" t="str">
            <v>8887729889</v>
          </cell>
          <cell r="K180" t="str">
            <v>Computer Science</v>
          </cell>
          <cell r="L180" t="str">
            <v>Full Stack Developer(MERN Stack)</v>
          </cell>
        </row>
        <row r="181">
          <cell r="D181">
            <v>2022004757</v>
          </cell>
          <cell r="E181">
            <v>2201010779</v>
          </cell>
          <cell r="F181" t="str">
            <v>B-Tech CSE-VI C</v>
          </cell>
          <cell r="G181" t="str">
            <v>Bachelor of Technology</v>
          </cell>
          <cell r="H181" t="str">
            <v>2022004757.vats@ug.sharda.ac.in</v>
          </cell>
          <cell r="I181" t="str">
            <v>2022004757.pramod@pt.sharda.ac.in</v>
          </cell>
          <cell r="J181" t="str">
            <v>8210881736</v>
          </cell>
          <cell r="K181" t="str">
            <v>Computer Science</v>
          </cell>
          <cell r="L181" t="str">
            <v>Full Stack Developer(MERN Stack)</v>
          </cell>
        </row>
        <row r="182">
          <cell r="D182">
            <v>2022498812</v>
          </cell>
          <cell r="E182">
            <v>2201010796</v>
          </cell>
          <cell r="F182" t="str">
            <v>B-Tech CSE-VI C</v>
          </cell>
          <cell r="G182" t="str">
            <v>Bachelor of Technology</v>
          </cell>
          <cell r="H182" t="str">
            <v>2022498812.vishal@ug.sharda.ac.in</v>
          </cell>
          <cell r="I182" t="str">
            <v>2022498812.mukesh@pt.sharda.ac.in</v>
          </cell>
          <cell r="J182" t="str">
            <v>9910261441</v>
          </cell>
          <cell r="K182" t="str">
            <v>Computer Science</v>
          </cell>
          <cell r="L182" t="str">
            <v>Full Stack Developer(MERN Stack)</v>
          </cell>
        </row>
        <row r="183">
          <cell r="D183">
            <v>2022527904</v>
          </cell>
          <cell r="E183">
            <v>2201010799</v>
          </cell>
          <cell r="F183" t="str">
            <v>B-Tech CSE-VI C</v>
          </cell>
          <cell r="G183" t="str">
            <v>Bachelor of Technology</v>
          </cell>
          <cell r="H183" t="str">
            <v>2022527904.vivek@ug.sharda.ac.in</v>
          </cell>
          <cell r="I183" t="str">
            <v>2022527904.tarkeshwarprasad@pt.sharda.ac.in</v>
          </cell>
          <cell r="J183" t="str">
            <v>7001523353</v>
          </cell>
          <cell r="K183" t="str">
            <v>Computer Science</v>
          </cell>
          <cell r="L183" t="e">
            <v>#N/A</v>
          </cell>
        </row>
        <row r="184">
          <cell r="D184">
            <v>2022006361</v>
          </cell>
          <cell r="E184">
            <v>2201010830</v>
          </cell>
          <cell r="F184" t="str">
            <v>B-Tech CSE-VI C</v>
          </cell>
          <cell r="G184" t="str">
            <v>Bachelor of Technology</v>
          </cell>
          <cell r="H184" t="str">
            <v>2022006361.sarwesh@ug.sharda.ac.in</v>
          </cell>
          <cell r="I184" t="str">
            <v>2022006361.shyamanand@pt.sharda.ac.in</v>
          </cell>
          <cell r="J184" t="str">
            <v>9576657850</v>
          </cell>
          <cell r="K184" t="str">
            <v>Computer Science</v>
          </cell>
          <cell r="L184" t="str">
            <v>Software Developer</v>
          </cell>
        </row>
        <row r="185">
          <cell r="D185">
            <v>2022006932</v>
          </cell>
          <cell r="E185">
            <v>2201010834</v>
          </cell>
          <cell r="F185" t="str">
            <v>B-Tech CSE-VI C</v>
          </cell>
          <cell r="G185" t="str">
            <v>Bachelor of Technology</v>
          </cell>
          <cell r="H185" t="str">
            <v>2022006932.ujjwal@ug.sharda.ac.in</v>
          </cell>
          <cell r="I185" t="str">
            <v>2022006932.avdesh@pt.sharda.ac.in</v>
          </cell>
          <cell r="J185" t="str">
            <v>9310460810</v>
          </cell>
          <cell r="K185" t="str">
            <v>Computer Science</v>
          </cell>
          <cell r="L185" t="str">
            <v>Software Developer</v>
          </cell>
        </row>
        <row r="186">
          <cell r="D186">
            <v>2022007788</v>
          </cell>
          <cell r="E186">
            <v>2201010864</v>
          </cell>
          <cell r="F186" t="str">
            <v>B-Tech CSE-VI C</v>
          </cell>
          <cell r="G186" t="str">
            <v>Bachelor of Technology</v>
          </cell>
          <cell r="H186" t="str">
            <v>2022007788.vishal@ug.sharda.ac.in</v>
          </cell>
          <cell r="I186" t="str">
            <v>2022007788.ajay@pt.sharda.ac.in</v>
          </cell>
          <cell r="J186" t="str">
            <v>8235930751</v>
          </cell>
          <cell r="K186" t="str">
            <v>Computer Science</v>
          </cell>
          <cell r="L186" t="str">
            <v>Software Developer</v>
          </cell>
        </row>
        <row r="187">
          <cell r="D187">
            <v>2022505059</v>
          </cell>
          <cell r="E187">
            <v>2201010875</v>
          </cell>
          <cell r="F187" t="str">
            <v>B-Tech CSE-VI C</v>
          </cell>
          <cell r="G187" t="str">
            <v>Bachelor of Technology</v>
          </cell>
          <cell r="H187" t="str">
            <v>2022505059.aman@ug.sharda.ac.in</v>
          </cell>
          <cell r="I187" t="str">
            <v>2022505059.ashok@pt.sharda.ac.in</v>
          </cell>
          <cell r="J187" t="str">
            <v>7903070334</v>
          </cell>
          <cell r="K187" t="str">
            <v>Computer Science</v>
          </cell>
          <cell r="L187" t="str">
            <v>Software Developer</v>
          </cell>
        </row>
        <row r="188">
          <cell r="D188">
            <v>2022591631</v>
          </cell>
          <cell r="E188">
            <v>2201010888</v>
          </cell>
          <cell r="F188" t="str">
            <v>B-Tech CSE-VI C</v>
          </cell>
          <cell r="G188" t="str">
            <v>Bachelor of Technology</v>
          </cell>
          <cell r="H188" t="str">
            <v>2022591631.aditya@ug.sharda.ac.in</v>
          </cell>
          <cell r="I188" t="str">
            <v>2022591631.ajitkumar@pt.sharda.ac.in</v>
          </cell>
          <cell r="J188" t="str">
            <v>7979841252</v>
          </cell>
          <cell r="K188" t="str">
            <v>Computer Science</v>
          </cell>
          <cell r="L188" t="str">
            <v>Software Developer</v>
          </cell>
        </row>
        <row r="189">
          <cell r="D189">
            <v>2022608746</v>
          </cell>
          <cell r="E189">
            <v>2201010898</v>
          </cell>
          <cell r="F189" t="str">
            <v>B-Tech CSE-VI C</v>
          </cell>
          <cell r="G189" t="str">
            <v>Bachelor of Technology</v>
          </cell>
          <cell r="H189" t="str">
            <v>2022608746.vidhi@ug.sharda.ac.in</v>
          </cell>
          <cell r="I189" t="str">
            <v>2022608746.sachin@pt.sharda.ac.in</v>
          </cell>
          <cell r="J189" t="str">
            <v>9068356626</v>
          </cell>
          <cell r="K189" t="str">
            <v>Computer Science</v>
          </cell>
          <cell r="L189" t="str">
            <v>Testing Engineer</v>
          </cell>
        </row>
        <row r="190">
          <cell r="D190">
            <v>2022614550</v>
          </cell>
          <cell r="E190">
            <v>2201010901</v>
          </cell>
          <cell r="F190" t="str">
            <v>B-Tech CSE-VI C</v>
          </cell>
          <cell r="G190" t="str">
            <v>Bachelor of Technology</v>
          </cell>
          <cell r="H190" t="str">
            <v>2022614550.raikindi@ug.sharda.ac.in</v>
          </cell>
          <cell r="I190" t="str">
            <v>2022614550.raikindi@pt.sharda.ac.in</v>
          </cell>
          <cell r="J190" t="str">
            <v>8639664896</v>
          </cell>
          <cell r="K190" t="str">
            <v>Computer Science</v>
          </cell>
          <cell r="L190" t="str">
            <v>Full Stack Developer(MERN Stack)</v>
          </cell>
        </row>
        <row r="191">
          <cell r="D191">
            <v>2023322783</v>
          </cell>
          <cell r="E191">
            <v>2301017004</v>
          </cell>
          <cell r="F191" t="str">
            <v>B-Tech CSE-VI C</v>
          </cell>
          <cell r="G191" t="str">
            <v>Bachelor of Technology</v>
          </cell>
          <cell r="H191" t="str">
            <v>2023322783.avinash@ug.sharda.ac.in</v>
          </cell>
          <cell r="I191" t="str">
            <v>2023322783.mr@pt.sharda.ac.in</v>
          </cell>
          <cell r="J191" t="str">
            <v>9027213643</v>
          </cell>
          <cell r="K191" t="str">
            <v>Computer Science</v>
          </cell>
          <cell r="L191" t="str">
            <v>Software Developer</v>
          </cell>
        </row>
        <row r="192">
          <cell r="D192">
            <v>2023263567</v>
          </cell>
          <cell r="E192">
            <v>2301017005</v>
          </cell>
          <cell r="F192" t="str">
            <v>B-Tech CSE-VI C</v>
          </cell>
          <cell r="G192" t="str">
            <v>Bachelor of Technology</v>
          </cell>
          <cell r="H192" t="str">
            <v>2023263567.ayush@ug.sharda.ac.in</v>
          </cell>
          <cell r="I192" t="str">
            <v>2023263567.arun@pt.sharda.ac.in</v>
          </cell>
          <cell r="J192" t="str">
            <v>8092097291</v>
          </cell>
          <cell r="K192" t="str">
            <v>Computer Science</v>
          </cell>
          <cell r="L192" t="e">
            <v>#N/A</v>
          </cell>
        </row>
        <row r="193">
          <cell r="D193">
            <v>2023205860</v>
          </cell>
          <cell r="E193">
            <v>2301017011</v>
          </cell>
          <cell r="F193" t="str">
            <v>B-Tech CSE-VI C</v>
          </cell>
          <cell r="G193" t="str">
            <v>Bachelor of Technology</v>
          </cell>
          <cell r="H193" t="str">
            <v>2023205860.niranjan@ug.sharda.ac.in</v>
          </cell>
          <cell r="I193" t="str">
            <v>2023205860.shrikant@pt.sharda.ac.in</v>
          </cell>
          <cell r="J193" t="str">
            <v>8651305726</v>
          </cell>
          <cell r="K193" t="str">
            <v>Computer Science</v>
          </cell>
          <cell r="L193" t="str">
            <v>Software Developer</v>
          </cell>
        </row>
        <row r="194">
          <cell r="D194">
            <v>2022508346</v>
          </cell>
          <cell r="E194">
            <v>2201010003</v>
          </cell>
          <cell r="F194" t="str">
            <v>B-Tech CSE-VI D</v>
          </cell>
          <cell r="G194" t="str">
            <v>Bachelor of Technology</v>
          </cell>
          <cell r="H194" t="str">
            <v>2022508346.aaditya@ug.sharda.ac.in</v>
          </cell>
          <cell r="I194" t="str">
            <v>2022508346.anil@pt.sharda.ac.in</v>
          </cell>
          <cell r="J194" t="str">
            <v>7505018957</v>
          </cell>
          <cell r="K194" t="str">
            <v>Computer Science</v>
          </cell>
          <cell r="L194" t="str">
            <v>Full Stack Developer(MERN Stack)</v>
          </cell>
        </row>
        <row r="195">
          <cell r="D195">
            <v>2022552819</v>
          </cell>
          <cell r="E195">
            <v>2201010005</v>
          </cell>
          <cell r="F195" t="str">
            <v>B-Tech CSE-VI D</v>
          </cell>
          <cell r="G195" t="str">
            <v>Bachelor of Technology</v>
          </cell>
          <cell r="H195" t="str">
            <v>2022552819.aakriti@ug.sharda.ac.in</v>
          </cell>
          <cell r="I195" t="str">
            <v>2022552819.d.k@pt.sharda.ac.in</v>
          </cell>
          <cell r="J195" t="str">
            <v>8077831479</v>
          </cell>
          <cell r="K195" t="str">
            <v>Computer Science</v>
          </cell>
          <cell r="L195" t="str">
            <v>Android Developer</v>
          </cell>
        </row>
        <row r="196">
          <cell r="D196">
            <v>2022469915</v>
          </cell>
          <cell r="E196">
            <v>2201010008</v>
          </cell>
          <cell r="F196" t="str">
            <v>B-Tech CSE-VI D</v>
          </cell>
          <cell r="G196" t="str">
            <v>Bachelor of Technology</v>
          </cell>
          <cell r="H196" t="str">
            <v>2022469915.aashna@ug.sharda.ac.in</v>
          </cell>
          <cell r="I196" t="str">
            <v>2022469915.kailash@pt.sharda.ac.in</v>
          </cell>
          <cell r="J196" t="str">
            <v>8700390171</v>
          </cell>
          <cell r="K196" t="str">
            <v>Computer Science</v>
          </cell>
          <cell r="L196" t="str">
            <v>Software Developer</v>
          </cell>
        </row>
        <row r="197">
          <cell r="D197">
            <v>2022410342</v>
          </cell>
          <cell r="E197">
            <v>2201010039</v>
          </cell>
          <cell r="F197" t="str">
            <v>B-Tech CSE-VI D</v>
          </cell>
          <cell r="G197" t="str">
            <v>Bachelor of Technology</v>
          </cell>
          <cell r="H197" t="str">
            <v>2022410342.aditya@ug.sharda.ac.in</v>
          </cell>
          <cell r="I197" t="str">
            <v>2022410342.shriprakash@pt.sharda.ac.in</v>
          </cell>
          <cell r="J197" t="str">
            <v>9122841000</v>
          </cell>
          <cell r="K197" t="str">
            <v>Computer Science</v>
          </cell>
          <cell r="L197" t="str">
            <v>Full Stack Developer(MERN Stack)</v>
          </cell>
        </row>
        <row r="198">
          <cell r="D198">
            <v>2022405479</v>
          </cell>
          <cell r="E198">
            <v>2201010062</v>
          </cell>
          <cell r="F198" t="str">
            <v>B-Tech CSE-VI D</v>
          </cell>
          <cell r="G198" t="str">
            <v>Bachelor of Technology</v>
          </cell>
          <cell r="H198" t="str">
            <v>2022405479.akash@ug.sharda.ac.in</v>
          </cell>
          <cell r="I198" t="str">
            <v>2022405479.arvindkumar@pt.sharda.ac.in</v>
          </cell>
          <cell r="J198" t="str">
            <v>9936616269</v>
          </cell>
          <cell r="K198" t="str">
            <v>Computer Science</v>
          </cell>
          <cell r="L198" t="str">
            <v>Full Stack Developer(MERN Stack)</v>
          </cell>
        </row>
        <row r="199">
          <cell r="D199">
            <v>2022448964</v>
          </cell>
          <cell r="E199">
            <v>2201010080</v>
          </cell>
          <cell r="F199" t="str">
            <v>B-Tech CSE-VI D</v>
          </cell>
          <cell r="G199" t="str">
            <v>Bachelor of Technology</v>
          </cell>
          <cell r="H199" t="str">
            <v>2022448964.amritanshu@ug.sharda.ac.in</v>
          </cell>
          <cell r="I199" t="str">
            <v>2022448964.rakesh@pt.sharda.ac.in</v>
          </cell>
          <cell r="J199" t="str">
            <v>8521759941</v>
          </cell>
          <cell r="K199" t="str">
            <v>Computer Science</v>
          </cell>
          <cell r="L199" t="str">
            <v>Software Developer</v>
          </cell>
        </row>
        <row r="200">
          <cell r="D200">
            <v>2022516410</v>
          </cell>
          <cell r="E200">
            <v>2201010082</v>
          </cell>
          <cell r="F200" t="str">
            <v>B-Tech CSE-VI D</v>
          </cell>
          <cell r="G200" t="str">
            <v>Bachelor of Technology</v>
          </cell>
          <cell r="H200" t="str">
            <v>2022516410.anand@ug.sharda.ac.in</v>
          </cell>
          <cell r="I200" t="str">
            <v>2022516410.manoj@pt.sharda.ac.in</v>
          </cell>
          <cell r="J200" t="str">
            <v>7717742710</v>
          </cell>
          <cell r="K200" t="str">
            <v>Computer Science</v>
          </cell>
          <cell r="L200" t="str">
            <v>Software Developer</v>
          </cell>
        </row>
        <row r="201">
          <cell r="D201">
            <v>2022433429</v>
          </cell>
          <cell r="E201">
            <v>2201010083</v>
          </cell>
          <cell r="F201" t="str">
            <v>B-Tech CSE-VI D</v>
          </cell>
          <cell r="G201" t="str">
            <v>Bachelor of Technology</v>
          </cell>
          <cell r="H201" t="str">
            <v>2022433429.ananya@ug.sharda.ac.in</v>
          </cell>
          <cell r="I201" t="str">
            <v>2022433429.manoj@pt.sharda.ac.in</v>
          </cell>
          <cell r="J201" t="str">
            <v>8869839030</v>
          </cell>
          <cell r="K201" t="str">
            <v>Computer Science</v>
          </cell>
          <cell r="L201" t="str">
            <v>Software Developer</v>
          </cell>
        </row>
        <row r="202">
          <cell r="D202">
            <v>2022544781</v>
          </cell>
          <cell r="E202">
            <v>2201010131</v>
          </cell>
          <cell r="F202" t="str">
            <v>B-Tech CSE-VI D</v>
          </cell>
          <cell r="G202" t="str">
            <v>Bachelor of Technology</v>
          </cell>
          <cell r="H202" t="str">
            <v>2022544781.arpit@ug.sharda.ac.in</v>
          </cell>
          <cell r="I202" t="str">
            <v>2022544781.chandrashekhar@pt.sharda.ac.in</v>
          </cell>
          <cell r="J202" t="str">
            <v>9204633508</v>
          </cell>
          <cell r="K202" t="str">
            <v>Computer Science</v>
          </cell>
          <cell r="L202" t="e">
            <v>#N/A</v>
          </cell>
        </row>
        <row r="203">
          <cell r="D203">
            <v>2022413603</v>
          </cell>
          <cell r="E203">
            <v>2201010153</v>
          </cell>
          <cell r="F203" t="str">
            <v>B-Tech CSE-VI D</v>
          </cell>
          <cell r="G203" t="str">
            <v>Bachelor of Technology</v>
          </cell>
          <cell r="H203" t="str">
            <v>2022413603.ashutosh@ug.sharda.ac.in</v>
          </cell>
          <cell r="I203" t="str">
            <v>2022413603.chnachal@pt.sharda.ac.in</v>
          </cell>
          <cell r="J203" t="str">
            <v>7895527454</v>
          </cell>
          <cell r="K203" t="str">
            <v>Computer Science</v>
          </cell>
          <cell r="L203" t="str">
            <v>Full Stack Developer(MERN Stack)</v>
          </cell>
        </row>
        <row r="204">
          <cell r="D204">
            <v>2022531916</v>
          </cell>
          <cell r="E204">
            <v>2201010163</v>
          </cell>
          <cell r="F204" t="str">
            <v>B-Tech CSE-VI D</v>
          </cell>
          <cell r="G204" t="str">
            <v>Bachelor of Technology</v>
          </cell>
          <cell r="H204" t="str">
            <v>2022531916.atul@ug.sharda.ac.in</v>
          </cell>
          <cell r="I204" t="str">
            <v>2022531916.anoj@pt.sharda.ac.in</v>
          </cell>
          <cell r="J204" t="str">
            <v>6204638315</v>
          </cell>
          <cell r="K204" t="str">
            <v>Computer Science</v>
          </cell>
          <cell r="L204" t="str">
            <v>Software Developer</v>
          </cell>
        </row>
        <row r="205">
          <cell r="D205">
            <v>2022519020</v>
          </cell>
          <cell r="E205">
            <v>2201010185</v>
          </cell>
          <cell r="F205" t="str">
            <v>B-Tech CSE-VI D</v>
          </cell>
          <cell r="G205" t="str">
            <v>Bachelor of Technology</v>
          </cell>
          <cell r="H205" t="str">
            <v>2022519020.brijesh@ug.sharda.ac.in</v>
          </cell>
          <cell r="I205" t="str">
            <v>2022519020.chhedi@pt.sharda.ac.in</v>
          </cell>
          <cell r="J205" t="str">
            <v>9161767047</v>
          </cell>
          <cell r="K205" t="str">
            <v>Computer Science</v>
          </cell>
          <cell r="L205" t="str">
            <v>Full Stack Developer(MERN Stack)</v>
          </cell>
        </row>
        <row r="206">
          <cell r="D206">
            <v>2022528415</v>
          </cell>
          <cell r="E206">
            <v>2201010188</v>
          </cell>
          <cell r="F206" t="str">
            <v>B-Tech CSE-VI D</v>
          </cell>
          <cell r="G206" t="str">
            <v>Bachelor of Technology</v>
          </cell>
          <cell r="H206" t="str">
            <v>2022528415.chandni@ug.sharda.ac.in</v>
          </cell>
          <cell r="I206" t="str">
            <v>2022528415.gaurav@pt.sharda.ac.in</v>
          </cell>
          <cell r="J206">
            <v>0</v>
          </cell>
          <cell r="K206" t="str">
            <v>Computer Science</v>
          </cell>
          <cell r="L206" t="str">
            <v>Software Developer</v>
          </cell>
        </row>
        <row r="207">
          <cell r="D207">
            <v>2022003287</v>
          </cell>
          <cell r="E207">
            <v>2201010190</v>
          </cell>
          <cell r="F207" t="str">
            <v>B-Tech CSE-VI D</v>
          </cell>
          <cell r="G207" t="str">
            <v>Bachelor of Technology</v>
          </cell>
          <cell r="H207" t="str">
            <v>2022003287.chetan@ug.sharda.ac.in</v>
          </cell>
          <cell r="I207" t="str">
            <v>2022003287.chandraveer@pt.sharda.ac.in</v>
          </cell>
          <cell r="J207" t="str">
            <v>9119729502</v>
          </cell>
          <cell r="K207" t="str">
            <v>Computer Science</v>
          </cell>
          <cell r="L207" t="str">
            <v>Software Developer</v>
          </cell>
        </row>
        <row r="208">
          <cell r="D208">
            <v>2022514536</v>
          </cell>
          <cell r="E208">
            <v>2201010203</v>
          </cell>
          <cell r="F208" t="str">
            <v>B-Tech CSE-VI D</v>
          </cell>
          <cell r="G208" t="str">
            <v>Bachelor of Technology</v>
          </cell>
          <cell r="H208" t="str">
            <v>2022514536.deepak@ug.sharda.ac.in</v>
          </cell>
          <cell r="I208" t="str">
            <v>2022514536.brij@pt.sharda.ac.in</v>
          </cell>
          <cell r="J208" t="str">
            <v>9772621230</v>
          </cell>
          <cell r="K208" t="str">
            <v>Computer Science</v>
          </cell>
          <cell r="L208" t="str">
            <v>Software Developer</v>
          </cell>
        </row>
        <row r="209">
          <cell r="D209">
            <v>2022481431</v>
          </cell>
          <cell r="E209">
            <v>2201010213</v>
          </cell>
          <cell r="F209" t="str">
            <v>B-Tech CSE-VI D</v>
          </cell>
          <cell r="G209" t="str">
            <v>Bachelor of Technology</v>
          </cell>
          <cell r="H209" t="str">
            <v>2022481431.devashish@ug.sharda.ac.in</v>
          </cell>
          <cell r="I209" t="str">
            <v>2022481431.ashish@pt.sharda.ac.in</v>
          </cell>
          <cell r="J209" t="str">
            <v>8271442413</v>
          </cell>
          <cell r="K209" t="str">
            <v>Computer Science</v>
          </cell>
          <cell r="L209" t="str">
            <v>Full Stack Developer(MERN Stack)</v>
          </cell>
        </row>
        <row r="210">
          <cell r="D210">
            <v>2022497244</v>
          </cell>
          <cell r="E210">
            <v>2201010237</v>
          </cell>
          <cell r="F210" t="str">
            <v>B-Tech CSE-VI D</v>
          </cell>
          <cell r="G210" t="str">
            <v>Bachelor of Technology</v>
          </cell>
          <cell r="H210" t="str">
            <v>2022497244.faiz@ug.sharda.ac.in</v>
          </cell>
          <cell r="I210" t="str">
            <v>2022497244.anwar@pt.sharda.ac.in</v>
          </cell>
          <cell r="J210" t="str">
            <v>8630446523</v>
          </cell>
          <cell r="K210" t="str">
            <v>Computer Science</v>
          </cell>
          <cell r="L210" t="str">
            <v>Full Stack Developer(MERN Stack)</v>
          </cell>
        </row>
        <row r="211">
          <cell r="D211">
            <v>2022000239</v>
          </cell>
          <cell r="E211">
            <v>2201010239</v>
          </cell>
          <cell r="F211" t="str">
            <v>B-Tech CSE-VI D</v>
          </cell>
          <cell r="G211" t="str">
            <v>Bachelor of Technology</v>
          </cell>
          <cell r="H211" t="str">
            <v>2022000239.fardeen@ug.sharda.ac.in</v>
          </cell>
          <cell r="I211" t="str">
            <v>2022000239.shahbuddin@pt.sharda.ac.in</v>
          </cell>
          <cell r="J211" t="str">
            <v>9355642786</v>
          </cell>
          <cell r="K211" t="str">
            <v>Computer Science</v>
          </cell>
          <cell r="L211" t="str">
            <v>Software Developer</v>
          </cell>
        </row>
        <row r="212">
          <cell r="D212">
            <v>2022003691</v>
          </cell>
          <cell r="E212">
            <v>2201010245</v>
          </cell>
          <cell r="F212" t="str">
            <v>B-Tech CSE-VI D</v>
          </cell>
          <cell r="G212" t="str">
            <v>Bachelor of Technology</v>
          </cell>
          <cell r="H212" t="str">
            <v>2022003691.gaurav@ug.sharda.ac.in</v>
          </cell>
          <cell r="I212" t="str">
            <v>2022003691.jitendra@pt.sharda.ac.in</v>
          </cell>
          <cell r="J212" t="str">
            <v>9368976764</v>
          </cell>
          <cell r="K212" t="str">
            <v>Computer Science</v>
          </cell>
          <cell r="L212" t="str">
            <v>Full Stack Developer(MERN Stack)</v>
          </cell>
        </row>
        <row r="213">
          <cell r="D213">
            <v>2022540214</v>
          </cell>
          <cell r="E213">
            <v>2201010246</v>
          </cell>
          <cell r="F213" t="str">
            <v>B-Tech CSE-VI D</v>
          </cell>
          <cell r="G213" t="str">
            <v>Bachelor of Technology</v>
          </cell>
          <cell r="H213" t="str">
            <v>2022540214.gaurav@ug.sharda.ac.in</v>
          </cell>
          <cell r="I213" t="str">
            <v>2022540214.haribhajan@pt.sharda.ac.in</v>
          </cell>
          <cell r="J213" t="str">
            <v>8210055072</v>
          </cell>
          <cell r="K213" t="str">
            <v>Computer Science</v>
          </cell>
          <cell r="L213" t="str">
            <v>Software Developer</v>
          </cell>
        </row>
        <row r="214">
          <cell r="D214">
            <v>2022413331</v>
          </cell>
          <cell r="E214">
            <v>2201010271</v>
          </cell>
          <cell r="F214" t="str">
            <v>B-Tech CSE-VI D</v>
          </cell>
          <cell r="G214" t="str">
            <v>Bachelor of Technology</v>
          </cell>
          <cell r="H214" t="str">
            <v>2022413331.harsh@ug.sharda.ac.in</v>
          </cell>
          <cell r="I214" t="str">
            <v>2022413331.charansingh@pt.sharda.ac.in</v>
          </cell>
          <cell r="J214" t="str">
            <v>9528799256</v>
          </cell>
          <cell r="K214" t="str">
            <v>Computer Science</v>
          </cell>
          <cell r="L214" t="str">
            <v>Software Developer</v>
          </cell>
        </row>
        <row r="215">
          <cell r="D215">
            <v>2022005252</v>
          </cell>
          <cell r="E215">
            <v>2201010278</v>
          </cell>
          <cell r="F215" t="str">
            <v>B-Tech CSE-VI D</v>
          </cell>
          <cell r="G215" t="str">
            <v>Bachelor of Technology</v>
          </cell>
          <cell r="H215" t="str">
            <v>2022005252.harshit@ug.sharda.ac.in</v>
          </cell>
          <cell r="I215" t="str">
            <v>2022005252.sunil@pt.sharda.ac.in</v>
          </cell>
          <cell r="J215" t="str">
            <v>9548484695</v>
          </cell>
          <cell r="K215" t="str">
            <v>Computer Science</v>
          </cell>
          <cell r="L215" t="str">
            <v>Full Stack Developer(Spring Boot)</v>
          </cell>
        </row>
        <row r="216">
          <cell r="D216">
            <v>2022006470</v>
          </cell>
          <cell r="E216">
            <v>2201010281</v>
          </cell>
          <cell r="F216" t="str">
            <v>B-Tech CSE-VI D</v>
          </cell>
          <cell r="G216" t="str">
            <v>Bachelor of Technology</v>
          </cell>
          <cell r="H216" t="str">
            <v>2022006470.harshita@ug.sharda.ac.in</v>
          </cell>
          <cell r="I216" t="str">
            <v>2022006470.jaiprakash@pt.sharda.ac.in</v>
          </cell>
          <cell r="J216" t="str">
            <v>9263230458</v>
          </cell>
          <cell r="K216" t="str">
            <v>Computer Science</v>
          </cell>
          <cell r="L216" t="str">
            <v>Software Developer</v>
          </cell>
        </row>
        <row r="217">
          <cell r="D217">
            <v>2022484179</v>
          </cell>
          <cell r="E217">
            <v>2201010285</v>
          </cell>
          <cell r="F217" t="str">
            <v>B-Tech CSE-VI D</v>
          </cell>
          <cell r="G217" t="str">
            <v>Bachelor of Technology</v>
          </cell>
          <cell r="H217" t="str">
            <v>2022484179.hemant@ug.sharda.ac.in</v>
          </cell>
          <cell r="I217" t="str">
            <v>2022484179.pramodkumar@pt.sharda.ac.in</v>
          </cell>
          <cell r="J217" t="str">
            <v>9304389808</v>
          </cell>
          <cell r="K217" t="str">
            <v>Computer Science</v>
          </cell>
          <cell r="L217" t="str">
            <v>Full Stack Developer(MERN Stack)</v>
          </cell>
        </row>
        <row r="218">
          <cell r="D218">
            <v>2022469745</v>
          </cell>
          <cell r="E218">
            <v>2201010306</v>
          </cell>
          <cell r="F218" t="str">
            <v>B-Tech CSE-VI D</v>
          </cell>
          <cell r="G218" t="str">
            <v>Bachelor of Technology</v>
          </cell>
          <cell r="H218" t="str">
            <v>2022469745.jay@ug.sharda.ac.in</v>
          </cell>
          <cell r="I218" t="str">
            <v>2022469745.bharat@pt.sharda.ac.in</v>
          </cell>
          <cell r="J218" t="str">
            <v>7678437824</v>
          </cell>
          <cell r="K218" t="str">
            <v>Computer Science</v>
          </cell>
          <cell r="L218" t="str">
            <v>Software Developer</v>
          </cell>
        </row>
        <row r="219">
          <cell r="D219">
            <v>2022005495</v>
          </cell>
          <cell r="E219">
            <v>2201010329</v>
          </cell>
          <cell r="F219" t="str">
            <v>B-Tech CSE-VI D</v>
          </cell>
          <cell r="G219" t="str">
            <v>Bachelor of Technology</v>
          </cell>
          <cell r="H219" t="str">
            <v>2022005495.khushi@ug.sharda.ac.in</v>
          </cell>
          <cell r="I219" t="str">
            <v>2022005495.pradeep@pt.sharda.ac.in</v>
          </cell>
          <cell r="J219" t="str">
            <v>8826755885</v>
          </cell>
          <cell r="K219" t="str">
            <v>Computer Science</v>
          </cell>
          <cell r="L219" t="str">
            <v>Software Developer</v>
          </cell>
        </row>
        <row r="220">
          <cell r="D220">
            <v>2022567867</v>
          </cell>
          <cell r="E220">
            <v>2201010333</v>
          </cell>
          <cell r="F220" t="str">
            <v>B-Tech CSE-VI D</v>
          </cell>
          <cell r="G220" t="str">
            <v>Bachelor of Technology</v>
          </cell>
          <cell r="H220" t="str">
            <v>2022567867.kirtiman@ug.sharda.ac.in</v>
          </cell>
          <cell r="I220" t="str">
            <v>2022567867.ajitkumar@pt.sharda.ac.in</v>
          </cell>
          <cell r="J220" t="str">
            <v>9721049602</v>
          </cell>
          <cell r="K220" t="str">
            <v>Computer Science</v>
          </cell>
          <cell r="L220" t="str">
            <v>Full Stack Developer(MERN Stack)</v>
          </cell>
        </row>
        <row r="221">
          <cell r="D221">
            <v>2022395723</v>
          </cell>
          <cell r="E221">
            <v>2201010346</v>
          </cell>
          <cell r="F221" t="str">
            <v>B-Tech CSE-VI D</v>
          </cell>
          <cell r="G221" t="str">
            <v>Bachelor of Technology</v>
          </cell>
          <cell r="H221" t="str">
            <v>2022395723.kunal@ug.sharda.ac.in</v>
          </cell>
          <cell r="I221" t="str">
            <v>2022395723.neeraj@pt.sharda.ac.in</v>
          </cell>
          <cell r="J221" t="str">
            <v>9873045302</v>
          </cell>
          <cell r="K221" t="str">
            <v>Computer Science</v>
          </cell>
          <cell r="L221" t="str">
            <v>Software Developer</v>
          </cell>
        </row>
        <row r="222">
          <cell r="D222">
            <v>2022515249</v>
          </cell>
          <cell r="E222">
            <v>2201010352</v>
          </cell>
          <cell r="F222" t="str">
            <v>B-Tech CSE-VI D</v>
          </cell>
          <cell r="G222" t="str">
            <v>Bachelor of Technology</v>
          </cell>
          <cell r="H222" t="str">
            <v>2022515249.lakshay@ug.sharda.ac.in</v>
          </cell>
          <cell r="I222" t="str">
            <v>2022515249.mukesh@pt.sharda.ac.in</v>
          </cell>
          <cell r="J222" t="str">
            <v>9129848274</v>
          </cell>
          <cell r="K222" t="str">
            <v>Computer Science</v>
          </cell>
          <cell r="L222" t="str">
            <v>Full Stack Developer(MERN Stack)</v>
          </cell>
        </row>
        <row r="223">
          <cell r="D223">
            <v>2022369814</v>
          </cell>
          <cell r="E223">
            <v>2201010367</v>
          </cell>
          <cell r="F223" t="str">
            <v>B-Tech CSE-VI D</v>
          </cell>
          <cell r="G223" t="str">
            <v>Bachelor of Technology</v>
          </cell>
          <cell r="H223" t="str">
            <v>2022369814.manav@ug.sharda.ac.in</v>
          </cell>
          <cell r="I223" t="str">
            <v>2022369814.jai@pt.sharda.ac.in</v>
          </cell>
          <cell r="J223" t="str">
            <v>8923735824</v>
          </cell>
          <cell r="K223" t="str">
            <v>Computer Science</v>
          </cell>
          <cell r="L223" t="str">
            <v>Software Developer</v>
          </cell>
        </row>
        <row r="224">
          <cell r="D224">
            <v>2022517877</v>
          </cell>
          <cell r="E224">
            <v>2201010401</v>
          </cell>
          <cell r="F224" t="str">
            <v>B-Tech CSE-VI D</v>
          </cell>
          <cell r="G224" t="str">
            <v>Bachelor of Technology</v>
          </cell>
          <cell r="H224" t="str">
            <v>2022517877.mehran@ug.sharda.ac.in</v>
          </cell>
          <cell r="I224" t="str">
            <v>2022517877.mehboob@pt.sharda.ac.in</v>
          </cell>
          <cell r="J224" t="str">
            <v>8218268108</v>
          </cell>
          <cell r="K224" t="str">
            <v>Computer Science</v>
          </cell>
          <cell r="L224" t="str">
            <v>Full Stack Developer(MERN Stack)</v>
          </cell>
        </row>
        <row r="225">
          <cell r="D225">
            <v>2022366848</v>
          </cell>
          <cell r="E225">
            <v>2201010414</v>
          </cell>
          <cell r="F225" t="str">
            <v>B-Tech CSE-VI D</v>
          </cell>
          <cell r="G225" t="str">
            <v>Bachelor of Technology</v>
          </cell>
          <cell r="H225" t="str">
            <v>2022366848.mohammad@ug.sharda.ac.in</v>
          </cell>
          <cell r="I225" t="str">
            <v>2022366848.mohammad@pt.sharda.ac.in</v>
          </cell>
          <cell r="J225" t="str">
            <v>7505115911</v>
          </cell>
          <cell r="K225" t="str">
            <v>Computer Science</v>
          </cell>
          <cell r="L225" t="str">
            <v>Software Developer</v>
          </cell>
        </row>
        <row r="226">
          <cell r="D226">
            <v>2022003834</v>
          </cell>
          <cell r="E226">
            <v>2201010418</v>
          </cell>
          <cell r="F226" t="str">
            <v>B-Tech CSE-VI D</v>
          </cell>
          <cell r="G226" t="str">
            <v>Bachelor of Technology</v>
          </cell>
          <cell r="H226" t="str">
            <v>2022003834.mohd@ug.sharda.ac.in</v>
          </cell>
          <cell r="I226" t="str">
            <v>2022003834.mohd@pt.sharda.ac.in</v>
          </cell>
          <cell r="J226" t="str">
            <v>7037612173</v>
          </cell>
          <cell r="K226" t="str">
            <v>Computer Science</v>
          </cell>
          <cell r="L226" t="str">
            <v>Full Stack Developer(MERN Stack)</v>
          </cell>
        </row>
        <row r="227">
          <cell r="D227">
            <v>2022808929</v>
          </cell>
          <cell r="E227">
            <v>2201010445</v>
          </cell>
          <cell r="F227" t="str">
            <v>B-Tech CSE-VI D</v>
          </cell>
          <cell r="G227" t="str">
            <v>Bachelor of Technology</v>
          </cell>
          <cell r="H227" t="str">
            <v>2022808929.sonali@ug.sharda.ac.in</v>
          </cell>
          <cell r="I227" t="str">
            <v>2022808929.sanjeetkumar@pt.sharda.ac.in</v>
          </cell>
          <cell r="J227" t="str">
            <v>9812369000</v>
          </cell>
          <cell r="K227" t="str">
            <v>Computer Science</v>
          </cell>
          <cell r="L227" t="str">
            <v>Cloud Engineer</v>
          </cell>
        </row>
        <row r="228">
          <cell r="D228">
            <v>2022541296</v>
          </cell>
          <cell r="E228">
            <v>2201010466</v>
          </cell>
          <cell r="F228" t="str">
            <v>B-Tech CSE-VI D</v>
          </cell>
          <cell r="G228" t="str">
            <v>Bachelor of Technology</v>
          </cell>
          <cell r="H228" t="str">
            <v>2022541296.nehal@ug.sharda.ac.in</v>
          </cell>
          <cell r="I228" t="str">
            <v>2022541296.mdagsar@pt.sharda.ac.in</v>
          </cell>
          <cell r="J228" t="str">
            <v>6367679744</v>
          </cell>
          <cell r="K228" t="str">
            <v>Computer Science</v>
          </cell>
          <cell r="L228" t="str">
            <v>Software Developer</v>
          </cell>
        </row>
        <row r="229">
          <cell r="D229">
            <v>2022544783</v>
          </cell>
          <cell r="E229">
            <v>2201010481</v>
          </cell>
          <cell r="F229" t="str">
            <v>B-Tech CSE-VI D</v>
          </cell>
          <cell r="G229" t="str">
            <v>Bachelor of Technology</v>
          </cell>
          <cell r="H229" t="str">
            <v>2022544783.nitesh@ug.sharda.ac.in</v>
          </cell>
          <cell r="I229" t="str">
            <v>2022544783.ramkumar@pt.sharda.ac.in</v>
          </cell>
          <cell r="J229" t="str">
            <v>6203504840</v>
          </cell>
          <cell r="K229" t="str">
            <v>Computer Science</v>
          </cell>
          <cell r="L229" t="str">
            <v>Software Developer</v>
          </cell>
        </row>
        <row r="230">
          <cell r="D230">
            <v>2022346624</v>
          </cell>
          <cell r="E230">
            <v>2201010537</v>
          </cell>
          <cell r="F230" t="str">
            <v>B-Tech CSE-VI D</v>
          </cell>
          <cell r="G230" t="str">
            <v>Bachelor of Technology</v>
          </cell>
          <cell r="H230" t="str">
            <v>2022346624.priyesh@ug.sharda.ac.in</v>
          </cell>
          <cell r="I230" t="str">
            <v>2022346624.amresh@pt.sharda.ac.in</v>
          </cell>
          <cell r="J230" t="str">
            <v>7007466990</v>
          </cell>
          <cell r="K230" t="str">
            <v>Computer Science</v>
          </cell>
          <cell r="L230" t="str">
            <v>Android Developer</v>
          </cell>
        </row>
        <row r="231">
          <cell r="D231">
            <v>2022443216</v>
          </cell>
          <cell r="E231">
            <v>2201010545</v>
          </cell>
          <cell r="F231" t="str">
            <v>B-Tech CSE-VI D</v>
          </cell>
          <cell r="G231" t="str">
            <v>Bachelor of Technology</v>
          </cell>
          <cell r="H231" t="str">
            <v>2022443216.rahul@ug.sharda.ac.in</v>
          </cell>
          <cell r="I231" t="str">
            <v>2022443216.ajit@pt.sharda.ac.in</v>
          </cell>
          <cell r="J231" t="str">
            <v>8252780783</v>
          </cell>
          <cell r="K231" t="str">
            <v>Computer Science</v>
          </cell>
          <cell r="L231" t="str">
            <v>Software Developer</v>
          </cell>
        </row>
        <row r="232">
          <cell r="D232">
            <v>2022474990</v>
          </cell>
          <cell r="E232">
            <v>2201010553</v>
          </cell>
          <cell r="F232" t="str">
            <v>B-Tech CSE-VI D</v>
          </cell>
          <cell r="G232" t="str">
            <v>Bachelor of Technology</v>
          </cell>
          <cell r="H232" t="str">
            <v>2022474990.rajat@ug.sharda.ac.in</v>
          </cell>
          <cell r="I232" t="str">
            <v>2022474990.manish@pt.sharda.ac.in</v>
          </cell>
          <cell r="J232" t="str">
            <v>9760197197</v>
          </cell>
          <cell r="K232" t="str">
            <v>Computer Science</v>
          </cell>
          <cell r="L232" t="e">
            <v>#N/A</v>
          </cell>
        </row>
        <row r="233">
          <cell r="D233">
            <v>2022312023</v>
          </cell>
          <cell r="E233">
            <v>2201010569</v>
          </cell>
          <cell r="F233" t="str">
            <v>B-Tech CSE-VI D</v>
          </cell>
          <cell r="G233" t="str">
            <v>Bachelor of Technology</v>
          </cell>
          <cell r="H233" t="str">
            <v>2022312023.reshma@ug.sharda.ac.in</v>
          </cell>
          <cell r="I233" t="str">
            <v>2022312023.ramesh@pt.sharda.ac.in</v>
          </cell>
          <cell r="J233" t="str">
            <v>8955060862</v>
          </cell>
          <cell r="K233" t="str">
            <v>Computer Science</v>
          </cell>
          <cell r="L233" t="str">
            <v>Software Developer</v>
          </cell>
        </row>
        <row r="234">
          <cell r="D234">
            <v>2022448095</v>
          </cell>
          <cell r="E234">
            <v>2201010575</v>
          </cell>
          <cell r="F234" t="str">
            <v>B-Tech CSE-VI D</v>
          </cell>
          <cell r="G234" t="str">
            <v>Bachelor of Technology</v>
          </cell>
          <cell r="H234" t="str">
            <v>2022448095.rishabh@ug.sharda.ac.in</v>
          </cell>
          <cell r="I234" t="str">
            <v>2022448095.rameshkumar@pt.sharda.ac.in</v>
          </cell>
          <cell r="J234" t="str">
            <v>9120743440</v>
          </cell>
          <cell r="K234" t="str">
            <v>Computer Science</v>
          </cell>
          <cell r="L234" t="str">
            <v>Software Developer</v>
          </cell>
        </row>
        <row r="235">
          <cell r="D235">
            <v>2022526985</v>
          </cell>
          <cell r="E235">
            <v>2201010581</v>
          </cell>
          <cell r="F235" t="str">
            <v>B-Tech CSE-VI D</v>
          </cell>
          <cell r="G235" t="str">
            <v>Bachelor of Technology</v>
          </cell>
          <cell r="H235" t="str">
            <v>2022526985.rishita@ug.sharda.ac.in</v>
          </cell>
          <cell r="I235" t="str">
            <v>2022526985.rajeshkumar@pt.sharda.ac.in</v>
          </cell>
          <cell r="J235" t="str">
            <v>9569076557</v>
          </cell>
          <cell r="K235" t="str">
            <v>Computer Science</v>
          </cell>
          <cell r="L235" t="str">
            <v>Full Stack Developer(Spring Boot)</v>
          </cell>
        </row>
        <row r="236">
          <cell r="D236">
            <v>2022404040</v>
          </cell>
          <cell r="E236">
            <v>2201010583</v>
          </cell>
          <cell r="F236" t="str">
            <v>B-Tech CSE-VI D</v>
          </cell>
          <cell r="G236" t="str">
            <v>Bachelor of Technology</v>
          </cell>
          <cell r="H236" t="str">
            <v>2022404040.ritanshu@ug.sharda.ac.in</v>
          </cell>
          <cell r="I236" t="str">
            <v>2022404040.jitendra@pt.sharda.ac.in</v>
          </cell>
          <cell r="J236" t="str">
            <v>9368171807</v>
          </cell>
          <cell r="K236" t="str">
            <v>Computer Science</v>
          </cell>
          <cell r="L236" t="str">
            <v>Software Developer</v>
          </cell>
        </row>
        <row r="237">
          <cell r="D237">
            <v>2022004280</v>
          </cell>
          <cell r="E237">
            <v>2201010591</v>
          </cell>
          <cell r="F237" t="str">
            <v>B-Tech CSE-VI D</v>
          </cell>
          <cell r="G237" t="str">
            <v>Bachelor of Technology</v>
          </cell>
          <cell r="H237" t="str">
            <v>2022004280.riya@ug.sharda.ac.in</v>
          </cell>
          <cell r="I237" t="str">
            <v>2022004280.deepak@pt.sharda.ac.in</v>
          </cell>
          <cell r="J237" t="str">
            <v>9878949921</v>
          </cell>
          <cell r="K237" t="str">
            <v>Computer Science</v>
          </cell>
          <cell r="L237" t="str">
            <v>Software Developer</v>
          </cell>
        </row>
        <row r="238">
          <cell r="D238">
            <v>2022501361</v>
          </cell>
          <cell r="E238">
            <v>2201010601</v>
          </cell>
          <cell r="F238" t="str">
            <v>B-Tech CSE-VI D</v>
          </cell>
          <cell r="G238" t="str">
            <v>Bachelor of Technology</v>
          </cell>
          <cell r="H238" t="str">
            <v>2022501361.rohit@ug.sharda.ac.in</v>
          </cell>
          <cell r="I238" t="str">
            <v>2022501361.rajiv@pt.sharda.ac.in</v>
          </cell>
          <cell r="J238" t="str">
            <v>8809669347</v>
          </cell>
          <cell r="K238" t="str">
            <v>Computer Science</v>
          </cell>
          <cell r="L238" t="str">
            <v>Software Developer</v>
          </cell>
        </row>
        <row r="239">
          <cell r="D239">
            <v>2022452725</v>
          </cell>
          <cell r="E239">
            <v>2201010603</v>
          </cell>
          <cell r="F239" t="str">
            <v>B-Tech CSE-VI D</v>
          </cell>
          <cell r="G239" t="str">
            <v>Bachelor of Technology</v>
          </cell>
          <cell r="H239" t="str">
            <v>2022452725.rohit@ug.sharda.ac.in</v>
          </cell>
          <cell r="I239" t="str">
            <v>2022452725.rajendra@pt.sharda.ac.in</v>
          </cell>
          <cell r="J239" t="str">
            <v>9627722971</v>
          </cell>
          <cell r="K239" t="str">
            <v>Computer Science</v>
          </cell>
          <cell r="L239" t="str">
            <v>Full Stack Developer(Spring Boot)</v>
          </cell>
        </row>
        <row r="240">
          <cell r="D240">
            <v>2022001775</v>
          </cell>
          <cell r="E240">
            <v>2201010641</v>
          </cell>
          <cell r="F240" t="str">
            <v>B-Tech CSE-VI D</v>
          </cell>
          <cell r="G240" t="str">
            <v>Bachelor of Technology</v>
          </cell>
          <cell r="H240" t="str">
            <v>2022001775.satyam@ug.sharda.ac.in</v>
          </cell>
          <cell r="I240" t="str">
            <v>2022001775.samarjeet@pt.sharda.ac.in</v>
          </cell>
          <cell r="J240" t="str">
            <v>8292258424</v>
          </cell>
          <cell r="K240" t="str">
            <v>Computer Science</v>
          </cell>
          <cell r="L240" t="str">
            <v>Cloud Engineer</v>
          </cell>
        </row>
        <row r="241">
          <cell r="D241">
            <v>2022475752</v>
          </cell>
          <cell r="E241">
            <v>2201010645</v>
          </cell>
          <cell r="F241" t="str">
            <v>B-Tech CSE-VI D</v>
          </cell>
          <cell r="G241" t="str">
            <v>Bachelor of Technology</v>
          </cell>
          <cell r="H241" t="str">
            <v>2022475752.saumya@ug.sharda.ac.in</v>
          </cell>
          <cell r="I241" t="str">
            <v>2022475752.vijendra@pt.sharda.ac.in</v>
          </cell>
          <cell r="J241" t="str">
            <v>9413593360</v>
          </cell>
          <cell r="K241" t="str">
            <v>Computer Science</v>
          </cell>
          <cell r="L241" t="str">
            <v>Software Developer</v>
          </cell>
        </row>
        <row r="242">
          <cell r="D242">
            <v>2022526278</v>
          </cell>
          <cell r="E242">
            <v>2201010651</v>
          </cell>
          <cell r="F242" t="str">
            <v>B-Tech CSE-VI D</v>
          </cell>
          <cell r="G242" t="str">
            <v>Bachelor of Technology</v>
          </cell>
          <cell r="H242" t="str">
            <v>2022526278.sehaj@ug.sharda.ac.in</v>
          </cell>
          <cell r="I242" t="str">
            <v>2022526278.kuldeepraj@pt.sharda.ac.in</v>
          </cell>
          <cell r="J242" t="str">
            <v>9906207996</v>
          </cell>
          <cell r="K242" t="str">
            <v>Computer Science</v>
          </cell>
          <cell r="L242" t="str">
            <v>Software Developer</v>
          </cell>
        </row>
        <row r="243">
          <cell r="D243">
            <v>2022404783</v>
          </cell>
          <cell r="E243">
            <v>2201010679</v>
          </cell>
          <cell r="F243" t="str">
            <v>B-Tech CSE-VI D</v>
          </cell>
          <cell r="G243" t="str">
            <v>Bachelor of Technology</v>
          </cell>
          <cell r="H243" t="str">
            <v>2022404783.shivansh@ug.sharda.ac.in</v>
          </cell>
          <cell r="I243" t="str">
            <v>2022404783.sudhirkumar@pt.sharda.ac.in</v>
          </cell>
          <cell r="J243" t="str">
            <v>8979566862</v>
          </cell>
          <cell r="K243" t="str">
            <v>Computer Science</v>
          </cell>
          <cell r="L243" t="str">
            <v>Software Developer</v>
          </cell>
        </row>
        <row r="244">
          <cell r="D244">
            <v>2022502947</v>
          </cell>
          <cell r="E244">
            <v>2201010698</v>
          </cell>
          <cell r="F244" t="str">
            <v>B-Tech CSE-VI D</v>
          </cell>
          <cell r="G244" t="str">
            <v>Bachelor of Technology</v>
          </cell>
          <cell r="H244" t="str">
            <v>2022502947.sneha@ug.sharda.ac.in</v>
          </cell>
          <cell r="I244" t="str">
            <v>2022502947.jai@pt.sharda.ac.in</v>
          </cell>
          <cell r="J244" t="str">
            <v>9315149393</v>
          </cell>
          <cell r="K244" t="str">
            <v>Computer Science</v>
          </cell>
          <cell r="L244" t="str">
            <v>Cloud Engineer</v>
          </cell>
        </row>
        <row r="245">
          <cell r="D245">
            <v>2022521244</v>
          </cell>
          <cell r="E245">
            <v>2201010700</v>
          </cell>
          <cell r="F245" t="str">
            <v>B-Tech CSE-VI D</v>
          </cell>
          <cell r="G245" t="str">
            <v>Bachelor of Technology</v>
          </cell>
          <cell r="H245" t="str">
            <v>2022521244.sneha@ug.sharda.ac.in</v>
          </cell>
          <cell r="I245" t="str">
            <v>2022521244.bansilal@pt.sharda.ac.in</v>
          </cell>
          <cell r="J245" t="str">
            <v>8595849890</v>
          </cell>
          <cell r="K245" t="str">
            <v>Computer Science</v>
          </cell>
          <cell r="L245" t="str">
            <v>Software Developer</v>
          </cell>
        </row>
        <row r="246">
          <cell r="D246">
            <v>2022387392</v>
          </cell>
          <cell r="E246">
            <v>2201010713</v>
          </cell>
          <cell r="F246" t="str">
            <v>B-Tech CSE-VI D</v>
          </cell>
          <cell r="G246" t="str">
            <v>Bachelor of Technology</v>
          </cell>
          <cell r="H246" t="str">
            <v>2022387392.souptik@ug.sharda.ac.in</v>
          </cell>
          <cell r="I246" t="str">
            <v>2022387392.soumen@pt.sharda.ac.in</v>
          </cell>
          <cell r="J246" t="str">
            <v>8145257669</v>
          </cell>
          <cell r="K246" t="str">
            <v>Computer Science</v>
          </cell>
          <cell r="L246" t="str">
            <v>Software Developer</v>
          </cell>
        </row>
        <row r="247">
          <cell r="D247">
            <v>2022484252</v>
          </cell>
          <cell r="E247">
            <v>2201010731</v>
          </cell>
          <cell r="F247" t="str">
            <v>B-Tech CSE-VI D</v>
          </cell>
          <cell r="G247" t="str">
            <v>Bachelor of Technology</v>
          </cell>
          <cell r="H247" t="str">
            <v>2022484252.surya@ug.sharda.ac.in</v>
          </cell>
          <cell r="I247" t="str">
            <v>2022484252.manoj@pt.sharda.ac.in</v>
          </cell>
          <cell r="J247" t="str">
            <v>8210930523</v>
          </cell>
          <cell r="K247" t="str">
            <v>Computer Science</v>
          </cell>
          <cell r="L247" t="str">
            <v>Full Stack Developer(MERN Stack)</v>
          </cell>
        </row>
        <row r="248">
          <cell r="D248">
            <v>2022413369</v>
          </cell>
          <cell r="E248">
            <v>2201010732</v>
          </cell>
          <cell r="F248" t="str">
            <v>B-Tech CSE-VI D</v>
          </cell>
          <cell r="G248" t="str">
            <v>Bachelor of Technology</v>
          </cell>
          <cell r="H248" t="str">
            <v>2022413369.sushant@ug.sharda.ac.in</v>
          </cell>
          <cell r="I248" t="str">
            <v>2022413369.ranjankumar@pt.sharda.ac.in</v>
          </cell>
          <cell r="J248" t="str">
            <v>8252741969</v>
          </cell>
          <cell r="K248" t="str">
            <v>Computer Science</v>
          </cell>
          <cell r="L248" t="str">
            <v>Software Developer</v>
          </cell>
        </row>
        <row r="249">
          <cell r="D249">
            <v>2022005800</v>
          </cell>
          <cell r="E249">
            <v>2201010740</v>
          </cell>
          <cell r="F249" t="str">
            <v>B-Tech CSE-VI D</v>
          </cell>
          <cell r="G249" t="str">
            <v>Bachelor of Technology</v>
          </cell>
          <cell r="H249" t="str">
            <v>2022005800.tanishqa@ug.sharda.ac.in</v>
          </cell>
          <cell r="I249" t="str">
            <v>2022005800.bijendrak@pt.sharda.ac.in</v>
          </cell>
          <cell r="J249" t="str">
            <v>8527273409</v>
          </cell>
          <cell r="K249" t="str">
            <v>Computer Science</v>
          </cell>
          <cell r="L249" t="str">
            <v>Software Developer</v>
          </cell>
        </row>
        <row r="250">
          <cell r="D250">
            <v>2022457752</v>
          </cell>
          <cell r="E250">
            <v>2201010741</v>
          </cell>
          <cell r="F250" t="str">
            <v>B-Tech CSE-VI D</v>
          </cell>
          <cell r="G250" t="str">
            <v>Bachelor of Technology</v>
          </cell>
          <cell r="H250" t="str">
            <v>2022457752.taniya@ug.sharda.ac.in</v>
          </cell>
          <cell r="I250" t="str">
            <v>2022457752.sanjeev@pt.sharda.ac.in</v>
          </cell>
          <cell r="J250" t="str">
            <v>8532959985</v>
          </cell>
          <cell r="K250" t="str">
            <v>Computer Science</v>
          </cell>
          <cell r="L250" t="str">
            <v>Data Scientist</v>
          </cell>
        </row>
        <row r="251">
          <cell r="D251">
            <v>2022003580</v>
          </cell>
          <cell r="E251">
            <v>2201010782</v>
          </cell>
          <cell r="F251" t="str">
            <v>B-Tech CSE-VI D</v>
          </cell>
          <cell r="G251" t="str">
            <v>Bachelor of Technology</v>
          </cell>
          <cell r="H251" t="str">
            <v>2022003580.vedant@ug.sharda.ac.in</v>
          </cell>
          <cell r="I251" t="str">
            <v>2022003580.shivram@pt.sharda.ac.in</v>
          </cell>
          <cell r="J251" t="str">
            <v>9424991187</v>
          </cell>
          <cell r="K251" t="str">
            <v>Computer Science</v>
          </cell>
          <cell r="L251" t="str">
            <v>Android Developer</v>
          </cell>
        </row>
        <row r="252">
          <cell r="D252">
            <v>2022484682</v>
          </cell>
          <cell r="E252">
            <v>2201010807</v>
          </cell>
          <cell r="F252" t="str">
            <v>B-Tech CSE-VI D</v>
          </cell>
          <cell r="G252" t="str">
            <v>Bachelor of Technology</v>
          </cell>
          <cell r="H252" t="str">
            <v>2022484682.yash@ug.sharda.ac.in</v>
          </cell>
          <cell r="I252" t="str">
            <v>2022484682.arjun@pt.sharda.ac.in</v>
          </cell>
          <cell r="J252" t="str">
            <v>9414268820</v>
          </cell>
          <cell r="K252" t="str">
            <v>Computer Science</v>
          </cell>
          <cell r="L252" t="str">
            <v>Full Stack Developer(MERN Stack)</v>
          </cell>
        </row>
        <row r="253">
          <cell r="D253">
            <v>2022003238</v>
          </cell>
          <cell r="E253">
            <v>2201010817</v>
          </cell>
          <cell r="F253" t="str">
            <v>B-Tech CSE-VI D</v>
          </cell>
          <cell r="G253" t="str">
            <v>Bachelor of Technology</v>
          </cell>
          <cell r="H253" t="str">
            <v>2022003238.yashovardhan@ug.sharda.ac.in</v>
          </cell>
          <cell r="I253" t="str">
            <v>2022003238.omkar@pt.sharda.ac.in</v>
          </cell>
          <cell r="J253" t="str">
            <v>9540302937</v>
          </cell>
          <cell r="K253" t="str">
            <v>Computer Science</v>
          </cell>
          <cell r="L253" t="str">
            <v>Software Developer</v>
          </cell>
        </row>
        <row r="254">
          <cell r="D254">
            <v>2022007543</v>
          </cell>
          <cell r="E254">
            <v>2201010851</v>
          </cell>
          <cell r="F254" t="str">
            <v>B-Tech CSE-VI D</v>
          </cell>
          <cell r="G254" t="str">
            <v>Bachelor of Technology</v>
          </cell>
          <cell r="H254" t="str">
            <v>2022007543.dharmender@ug.sharda.ac.in</v>
          </cell>
          <cell r="I254" t="str">
            <v>2022007543.rajesh@pt.sharda.ac.in</v>
          </cell>
          <cell r="J254" t="str">
            <v>9625563966</v>
          </cell>
          <cell r="K254" t="str">
            <v>Computer Science</v>
          </cell>
          <cell r="L254" t="str">
            <v>Full Stack Developer(MERN Stack)</v>
          </cell>
        </row>
        <row r="255">
          <cell r="D255">
            <v>2022007728</v>
          </cell>
          <cell r="E255">
            <v>2201010862</v>
          </cell>
          <cell r="F255" t="str">
            <v>B-Tech CSE-VI D</v>
          </cell>
          <cell r="G255" t="str">
            <v>Bachelor of Technology</v>
          </cell>
          <cell r="H255" t="str">
            <v>2022007728.md@ug.sharda.ac.in</v>
          </cell>
          <cell r="I255" t="str">
            <v>2022007728.mdwasim@pt.sharda.ac.in</v>
          </cell>
          <cell r="J255" t="str">
            <v>8709670822</v>
          </cell>
          <cell r="K255" t="str">
            <v>Computer Science</v>
          </cell>
          <cell r="L255" t="str">
            <v>Software Developer</v>
          </cell>
        </row>
        <row r="256">
          <cell r="D256">
            <v>2022536274</v>
          </cell>
          <cell r="E256">
            <v>2201010878</v>
          </cell>
          <cell r="F256" t="str">
            <v>B-Tech CSE-VI D</v>
          </cell>
          <cell r="G256" t="str">
            <v>Bachelor of Technology</v>
          </cell>
          <cell r="H256" t="str">
            <v>2022536274.himanshu@ug.sharda.ac.in</v>
          </cell>
          <cell r="I256" t="str">
            <v>2022536274.ajay@pt.sharda.ac.in</v>
          </cell>
          <cell r="J256" t="str">
            <v>7065509551</v>
          </cell>
          <cell r="K256" t="str">
            <v>Computer Science</v>
          </cell>
          <cell r="L256" t="str">
            <v>Software Developer</v>
          </cell>
        </row>
        <row r="257">
          <cell r="D257">
            <v>2022607404</v>
          </cell>
          <cell r="E257">
            <v>2201010896</v>
          </cell>
          <cell r="F257" t="str">
            <v>B-Tech CSE-VI D</v>
          </cell>
          <cell r="G257" t="str">
            <v>Bachelor of Technology</v>
          </cell>
          <cell r="H257" t="str">
            <v>2022607404.kadugula@ug.sharda.ac.in</v>
          </cell>
          <cell r="I257" t="str">
            <v>2022607404.kadugulaamulya@pt.sharda.ac.in</v>
          </cell>
          <cell r="J257" t="str">
            <v>9958983309</v>
          </cell>
          <cell r="K257" t="str">
            <v>Computer Science</v>
          </cell>
          <cell r="L257" t="str">
            <v>Full Stack Developer(MERN Stack)</v>
          </cell>
        </row>
        <row r="258">
          <cell r="D258">
            <v>2023000910</v>
          </cell>
          <cell r="E258">
            <v>2301017001</v>
          </cell>
          <cell r="F258" t="str">
            <v>B-Tech CSE-VI D</v>
          </cell>
          <cell r="G258" t="str">
            <v>Bachelor of Technology</v>
          </cell>
          <cell r="H258" t="str">
            <v>2023000910.abhay@ug.sharda.ac.in</v>
          </cell>
          <cell r="I258" t="str">
            <v>2023000910.ajay@pt.sharda.ac.in</v>
          </cell>
          <cell r="J258" t="str">
            <v>9455644313</v>
          </cell>
          <cell r="K258" t="str">
            <v>Computer Science</v>
          </cell>
          <cell r="L258" t="str">
            <v>Full Stack Developer(MERN Stack)</v>
          </cell>
        </row>
        <row r="259">
          <cell r="D259">
            <v>2021369177</v>
          </cell>
          <cell r="E259">
            <v>210101120</v>
          </cell>
          <cell r="F259" t="str">
            <v>B-Tech CSE-VI E</v>
          </cell>
          <cell r="G259" t="str">
            <v>Bachelor of Technology</v>
          </cell>
          <cell r="H259" t="str">
            <v>2021369177.aryanshu@ug.sharda.ac.in</v>
          </cell>
          <cell r="I259" t="str">
            <v>2021369177.shailendrapratap@pt.sharda.ac.in</v>
          </cell>
          <cell r="J259" t="str">
            <v>7599538528</v>
          </cell>
          <cell r="K259" t="str">
            <v>Computer Science</v>
          </cell>
          <cell r="L259" t="e">
            <v>#N/A</v>
          </cell>
        </row>
        <row r="260">
          <cell r="D260">
            <v>2021375907</v>
          </cell>
          <cell r="E260">
            <v>210101149</v>
          </cell>
          <cell r="F260" t="str">
            <v>B-Tech CSE-VI E</v>
          </cell>
          <cell r="G260" t="str">
            <v>Bachelor of Technology</v>
          </cell>
          <cell r="H260" t="str">
            <v>2021375907.chandan@ug.sharda.ac.in</v>
          </cell>
          <cell r="I260" t="str">
            <v>2021375907.prashantkumar@pt.sharda.ac.in</v>
          </cell>
          <cell r="J260" t="str">
            <v>9122439887</v>
          </cell>
          <cell r="K260" t="str">
            <v>Computer Science</v>
          </cell>
          <cell r="L260" t="e">
            <v>#N/A</v>
          </cell>
        </row>
        <row r="261">
          <cell r="D261">
            <v>2021001342</v>
          </cell>
          <cell r="E261">
            <v>210101351</v>
          </cell>
          <cell r="F261" t="str">
            <v>B-Tech CSE-VI E</v>
          </cell>
          <cell r="G261" t="str">
            <v>Bachelor of Technology</v>
          </cell>
          <cell r="H261" t="str">
            <v>2021001342.param@ug.sharda.ac.in</v>
          </cell>
          <cell r="I261" t="str">
            <v>2021001342.sudhir@pt.sharda.ac.in</v>
          </cell>
          <cell r="J261" t="str">
            <v>8448124468</v>
          </cell>
          <cell r="K261" t="str">
            <v>Computer Science</v>
          </cell>
          <cell r="L261" t="e">
            <v>#N/A</v>
          </cell>
        </row>
        <row r="262">
          <cell r="D262">
            <v>2022007029</v>
          </cell>
          <cell r="E262">
            <v>2201010009</v>
          </cell>
          <cell r="F262" t="str">
            <v>B-Tech CSE-VI E</v>
          </cell>
          <cell r="G262" t="str">
            <v>Bachelor of Technology</v>
          </cell>
          <cell r="H262" t="str">
            <v>2022007029.aayush@ug.sharda.ac.in</v>
          </cell>
          <cell r="I262" t="str">
            <v>2022007029.ashok@pt.sharda.ac.in</v>
          </cell>
          <cell r="J262" t="str">
            <v>7065582311</v>
          </cell>
          <cell r="K262" t="str">
            <v>Computer Science</v>
          </cell>
          <cell r="L262" t="str">
            <v>Software Developer</v>
          </cell>
        </row>
        <row r="263">
          <cell r="D263">
            <v>2022438394</v>
          </cell>
          <cell r="E263">
            <v>2201010012</v>
          </cell>
          <cell r="F263" t="str">
            <v>B-Tech CSE-VI E</v>
          </cell>
          <cell r="G263" t="str">
            <v>Bachelor of Technology</v>
          </cell>
          <cell r="H263" t="str">
            <v>2022438394.abdul@ug.sharda.ac.in</v>
          </cell>
          <cell r="I263" t="str">
            <v>2022438394.mdnoor@pt.sharda.ac.in</v>
          </cell>
          <cell r="J263" t="str">
            <v>6206046943</v>
          </cell>
          <cell r="K263" t="str">
            <v>Computer Science</v>
          </cell>
          <cell r="L263" t="str">
            <v>Software Developer</v>
          </cell>
        </row>
        <row r="264">
          <cell r="D264">
            <v>2022433132</v>
          </cell>
          <cell r="E264">
            <v>2201010015</v>
          </cell>
          <cell r="F264" t="str">
            <v>B-Tech CSE-VI E</v>
          </cell>
          <cell r="G264" t="str">
            <v>Bachelor of Technology</v>
          </cell>
          <cell r="H264" t="str">
            <v>2022433132.abesh@ug.sharda.ac.in</v>
          </cell>
          <cell r="I264" t="str">
            <v>2022433132.amal@pt.sharda.ac.in</v>
          </cell>
          <cell r="J264" t="str">
            <v>9026662038</v>
          </cell>
          <cell r="K264" t="str">
            <v>Computer Science</v>
          </cell>
          <cell r="L264" t="str">
            <v>Software Developer</v>
          </cell>
        </row>
        <row r="265">
          <cell r="D265">
            <v>2022004546</v>
          </cell>
          <cell r="E265">
            <v>2201010038</v>
          </cell>
          <cell r="F265" t="str">
            <v>B-Tech CSE-VI E</v>
          </cell>
          <cell r="G265" t="str">
            <v>Bachelor of Technology</v>
          </cell>
          <cell r="H265" t="str">
            <v>2022004546.aditya@ug.sharda.ac.in</v>
          </cell>
          <cell r="I265" t="str">
            <v>2022004546.premkishore@pt.sharda.ac.in</v>
          </cell>
          <cell r="J265" t="str">
            <v>9868040160</v>
          </cell>
          <cell r="K265" t="str">
            <v>Computer Science</v>
          </cell>
          <cell r="L265" t="str">
            <v>Full Stack Developer(MERN Stack)</v>
          </cell>
        </row>
        <row r="266">
          <cell r="D266">
            <v>2022535859</v>
          </cell>
          <cell r="E266">
            <v>2201010043</v>
          </cell>
          <cell r="F266" t="str">
            <v>B-Tech CSE-VI E</v>
          </cell>
          <cell r="G266" t="str">
            <v>Bachelor of Technology</v>
          </cell>
          <cell r="H266" t="str">
            <v>2022535859.aditya@ug.sharda.ac.in</v>
          </cell>
          <cell r="I266" t="str">
            <v>2022535859.manojkumar@pt.sharda.ac.in</v>
          </cell>
          <cell r="J266" t="str">
            <v>9708761089</v>
          </cell>
          <cell r="K266" t="str">
            <v>Computer Science</v>
          </cell>
          <cell r="L266" t="str">
            <v>Software Developer</v>
          </cell>
        </row>
        <row r="267">
          <cell r="D267">
            <v>2022536473</v>
          </cell>
          <cell r="E267">
            <v>2201010049</v>
          </cell>
          <cell r="F267" t="str">
            <v>B-Tech CSE-VI E</v>
          </cell>
          <cell r="G267" t="str">
            <v>Bachelor of Technology</v>
          </cell>
          <cell r="H267" t="str">
            <v>2022536473.aditya@ug.sharda.ac.in</v>
          </cell>
          <cell r="I267" t="str">
            <v>2022536473.vijaykumar@pt.sharda.ac.in</v>
          </cell>
          <cell r="J267" t="str">
            <v>8349621902</v>
          </cell>
          <cell r="K267" t="str">
            <v>Computer Science</v>
          </cell>
          <cell r="L267" t="str">
            <v>Software Developer</v>
          </cell>
        </row>
        <row r="268">
          <cell r="D268">
            <v>2022001884</v>
          </cell>
          <cell r="E268">
            <v>2201010055</v>
          </cell>
          <cell r="F268" t="str">
            <v>B-Tech CSE-VI E</v>
          </cell>
          <cell r="G268" t="str">
            <v>Bachelor of Technology</v>
          </cell>
          <cell r="H268" t="str">
            <v>2022001884.agrim@ug.sharda.ac.in</v>
          </cell>
          <cell r="I268" t="str">
            <v>2022001884.chandraprakash@pt.sharda.ac.in</v>
          </cell>
          <cell r="J268" t="str">
            <v>8394910079</v>
          </cell>
          <cell r="K268" t="str">
            <v>Computer Science</v>
          </cell>
          <cell r="L268" t="str">
            <v>Full Stack Developer(MERN Stack)</v>
          </cell>
        </row>
        <row r="269">
          <cell r="D269">
            <v>2022559297</v>
          </cell>
          <cell r="E269">
            <v>2201010066</v>
          </cell>
          <cell r="F269" t="str">
            <v>B-Tech CSE-VI E</v>
          </cell>
          <cell r="G269" t="str">
            <v>Bachelor of Technology</v>
          </cell>
          <cell r="H269" t="str">
            <v>2022559297.akshat@ug.sharda.ac.in</v>
          </cell>
          <cell r="I269" t="str">
            <v>2022559297.arvindkumar@pt.sharda.ac.in</v>
          </cell>
          <cell r="J269" t="str">
            <v>9899849201</v>
          </cell>
          <cell r="K269" t="str">
            <v>Computer Science</v>
          </cell>
          <cell r="L269" t="str">
            <v>Software Developer</v>
          </cell>
        </row>
        <row r="270">
          <cell r="D270">
            <v>2022516167</v>
          </cell>
          <cell r="E270">
            <v>2201010073</v>
          </cell>
          <cell r="F270" t="str">
            <v>B-Tech CSE-VI E</v>
          </cell>
          <cell r="G270" t="str">
            <v>Bachelor of Technology</v>
          </cell>
          <cell r="H270" t="str">
            <v>2022516167.aman@ug.sharda.ac.in</v>
          </cell>
          <cell r="I270" t="str">
            <v>2022516167.dharmendra@pt.sharda.ac.in</v>
          </cell>
          <cell r="J270" t="str">
            <v>6395490110</v>
          </cell>
          <cell r="K270" t="str">
            <v>Computer Science</v>
          </cell>
          <cell r="L270" t="str">
            <v>Software Developer</v>
          </cell>
        </row>
        <row r="271">
          <cell r="D271">
            <v>2022006210</v>
          </cell>
          <cell r="E271">
            <v>2201010109</v>
          </cell>
          <cell r="F271" t="str">
            <v>B-Tech CSE-VI E</v>
          </cell>
          <cell r="G271" t="str">
            <v>Bachelor of Technology</v>
          </cell>
          <cell r="H271" t="str">
            <v>2022006210.anubhav@ug.sharda.ac.in</v>
          </cell>
          <cell r="I271" t="str">
            <v>2022006210.bhupender@pt.sharda.ac.in</v>
          </cell>
          <cell r="J271" t="str">
            <v>9212917076</v>
          </cell>
          <cell r="K271" t="str">
            <v>Computer Science</v>
          </cell>
          <cell r="L271" t="str">
            <v>Software Developer</v>
          </cell>
        </row>
        <row r="272">
          <cell r="D272">
            <v>2022508678</v>
          </cell>
          <cell r="E272">
            <v>2201010116</v>
          </cell>
          <cell r="F272" t="str">
            <v>B-Tech CSE-VI E</v>
          </cell>
          <cell r="G272" t="str">
            <v>Bachelor of Technology</v>
          </cell>
          <cell r="H272" t="str">
            <v>2022508678.anushka@ug.sharda.ac.in</v>
          </cell>
          <cell r="I272" t="str">
            <v>2022508678.ajay@pt.sharda.ac.in</v>
          </cell>
          <cell r="J272" t="str">
            <v>8859093114</v>
          </cell>
          <cell r="K272" t="str">
            <v>Computer Science</v>
          </cell>
          <cell r="L272" t="str">
            <v>Software Developer</v>
          </cell>
        </row>
        <row r="273">
          <cell r="D273">
            <v>2022540466</v>
          </cell>
          <cell r="E273">
            <v>2201010135</v>
          </cell>
          <cell r="F273" t="str">
            <v>B-Tech CSE-VI E</v>
          </cell>
          <cell r="G273" t="str">
            <v>Bachelor of Technology</v>
          </cell>
          <cell r="H273" t="str">
            <v>2022540466.arvind@ug.sharda.ac.in</v>
          </cell>
          <cell r="I273" t="str">
            <v>2022540466.jagga@pt.sharda.ac.in</v>
          </cell>
          <cell r="J273" t="str">
            <v>9462607285</v>
          </cell>
          <cell r="K273" t="str">
            <v>Computer Science</v>
          </cell>
          <cell r="L273" t="str">
            <v>Full Stack Developer(MERN Stack)</v>
          </cell>
        </row>
        <row r="274">
          <cell r="D274">
            <v>2022334212</v>
          </cell>
          <cell r="E274">
            <v>2201010157</v>
          </cell>
          <cell r="F274" t="str">
            <v>B-Tech CSE-VI E</v>
          </cell>
          <cell r="G274" t="str">
            <v>Bachelor of Technology</v>
          </cell>
          <cell r="H274" t="str">
            <v>2022334212.ashutosh@ug.sharda.ac.in</v>
          </cell>
          <cell r="I274" t="str">
            <v>2022334212.munish@pt.sharda.ac.in</v>
          </cell>
          <cell r="J274" t="str">
            <v>7982794898</v>
          </cell>
          <cell r="K274" t="str">
            <v>Computer Science</v>
          </cell>
          <cell r="L274" t="str">
            <v>Android Developer</v>
          </cell>
        </row>
        <row r="275">
          <cell r="D275">
            <v>2022345566</v>
          </cell>
          <cell r="E275">
            <v>2201010189</v>
          </cell>
          <cell r="F275" t="str">
            <v>B-Tech CSE-VI E</v>
          </cell>
          <cell r="G275" t="str">
            <v>Bachelor of Technology</v>
          </cell>
          <cell r="H275" t="str">
            <v>2022345566.chetan@ug.sharda.ac.in</v>
          </cell>
          <cell r="I275" t="str">
            <v>2022345566.santar@pt.sharda.ac.in</v>
          </cell>
          <cell r="J275" t="str">
            <v>7983655180</v>
          </cell>
          <cell r="K275" t="str">
            <v>Computer Science</v>
          </cell>
          <cell r="L275" t="str">
            <v>Software Developer</v>
          </cell>
        </row>
        <row r="276">
          <cell r="D276">
            <v>2022006402</v>
          </cell>
          <cell r="E276">
            <v>2201010229</v>
          </cell>
          <cell r="F276" t="str">
            <v>B-Tech CSE-VI E</v>
          </cell>
          <cell r="G276" t="str">
            <v>Bachelor of Technology</v>
          </cell>
          <cell r="H276" t="str">
            <v>2022006402.divyesh@ug.sharda.ac.in</v>
          </cell>
          <cell r="I276" t="str">
            <v>2022006402.jaisingh@pt.sharda.ac.in</v>
          </cell>
          <cell r="J276" t="str">
            <v>8368408465</v>
          </cell>
          <cell r="K276" t="str">
            <v>Computer Science</v>
          </cell>
          <cell r="L276" t="str">
            <v>Software Developer</v>
          </cell>
        </row>
        <row r="277">
          <cell r="D277">
            <v>2022307961</v>
          </cell>
          <cell r="E277">
            <v>2201010238</v>
          </cell>
          <cell r="F277" t="str">
            <v>B-Tech CSE-VI E</v>
          </cell>
          <cell r="G277" t="str">
            <v>Bachelor of Technology</v>
          </cell>
          <cell r="H277" t="str">
            <v>2022307961.faizan@ug.sharda.ac.in</v>
          </cell>
          <cell r="I277" t="str">
            <v>2022307961.alfaz@pt.sharda.ac.in</v>
          </cell>
          <cell r="J277" t="str">
            <v>7015668319</v>
          </cell>
          <cell r="K277" t="str">
            <v>Computer Science</v>
          </cell>
          <cell r="L277" t="str">
            <v>Software Developer</v>
          </cell>
        </row>
        <row r="278">
          <cell r="D278">
            <v>2022006272</v>
          </cell>
          <cell r="E278">
            <v>2201010269</v>
          </cell>
          <cell r="F278" t="str">
            <v>B-Tech CSE-VI E</v>
          </cell>
          <cell r="G278" t="str">
            <v>Bachelor of Technology</v>
          </cell>
          <cell r="H278" t="str">
            <v>2022006272.harsh@ug.sharda.ac.in</v>
          </cell>
          <cell r="I278" t="str">
            <v>2022006272.nilmany@pt.sharda.ac.in</v>
          </cell>
          <cell r="J278" t="str">
            <v>6203386550</v>
          </cell>
          <cell r="K278" t="str">
            <v>Computer Science</v>
          </cell>
          <cell r="L278" t="str">
            <v>Software Developer</v>
          </cell>
        </row>
        <row r="279">
          <cell r="D279">
            <v>2022530377</v>
          </cell>
          <cell r="E279">
            <v>2201010273</v>
          </cell>
          <cell r="F279" t="str">
            <v>B-Tech CSE-VI E</v>
          </cell>
          <cell r="G279" t="str">
            <v>Bachelor of Technology</v>
          </cell>
          <cell r="H279" t="str">
            <v>2022530377.harsh@ug.sharda.ac.in</v>
          </cell>
          <cell r="I279" t="str">
            <v>2022530377.harishankar@pt.sharda.ac.in</v>
          </cell>
          <cell r="J279" t="str">
            <v>7668900069</v>
          </cell>
          <cell r="K279" t="str">
            <v>Computer Science</v>
          </cell>
          <cell r="L279" t="str">
            <v>Software Developer</v>
          </cell>
        </row>
        <row r="280">
          <cell r="D280">
            <v>2022506880</v>
          </cell>
          <cell r="E280">
            <v>2201010275</v>
          </cell>
          <cell r="F280" t="str">
            <v>B-Tech CSE-VI E</v>
          </cell>
          <cell r="G280" t="str">
            <v>Bachelor of Technology</v>
          </cell>
          <cell r="H280" t="str">
            <v>2022506880.harshada@ug.sharda.ac.in</v>
          </cell>
          <cell r="I280" t="str">
            <v>2022506880.durga@pt.sharda.ac.in</v>
          </cell>
          <cell r="J280" t="str">
            <v>7060867763</v>
          </cell>
          <cell r="K280" t="str">
            <v>Computer Science</v>
          </cell>
          <cell r="L280" t="str">
            <v>Full Stack Developer(MERN Stack)</v>
          </cell>
        </row>
        <row r="281">
          <cell r="D281">
            <v>2022002383</v>
          </cell>
          <cell r="E281">
            <v>2201010292</v>
          </cell>
          <cell r="F281" t="str">
            <v>B-Tech CSE-VI E</v>
          </cell>
          <cell r="G281" t="str">
            <v>Bachelor of Technology</v>
          </cell>
          <cell r="H281" t="str">
            <v>2022002383.isha@ug.sharda.ac.in</v>
          </cell>
          <cell r="I281" t="str">
            <v>2022002383.vikendra@pt.sharda.ac.in</v>
          </cell>
          <cell r="J281" t="str">
            <v>9319854930</v>
          </cell>
          <cell r="K281" t="str">
            <v>Computer Science</v>
          </cell>
          <cell r="L281" t="str">
            <v>Software Developer</v>
          </cell>
        </row>
        <row r="282">
          <cell r="D282">
            <v>2022548161</v>
          </cell>
          <cell r="E282">
            <v>2201010317</v>
          </cell>
          <cell r="F282" t="str">
            <v>B-Tech CSE-VI E</v>
          </cell>
          <cell r="G282" t="str">
            <v>Bachelor of Technology</v>
          </cell>
          <cell r="H282" t="str">
            <v>2022548161.karan@ug.sharda.ac.in</v>
          </cell>
          <cell r="I282" t="str">
            <v>2022548161.subodhchandra@pt.sharda.ac.in</v>
          </cell>
          <cell r="J282" t="str">
            <v>6207071618</v>
          </cell>
          <cell r="K282" t="str">
            <v>Computer Science</v>
          </cell>
          <cell r="L282" t="str">
            <v>Software Developer</v>
          </cell>
        </row>
        <row r="283">
          <cell r="D283">
            <v>2022521021</v>
          </cell>
          <cell r="E283">
            <v>2201010323</v>
          </cell>
          <cell r="F283" t="str">
            <v>B-Tech CSE-VI E</v>
          </cell>
          <cell r="G283" t="str">
            <v>Bachelor of Technology</v>
          </cell>
          <cell r="H283" t="str">
            <v>2022521021.kashish@ug.sharda.ac.in</v>
          </cell>
          <cell r="I283" t="str">
            <v>2022521021.ranjankumar@pt.sharda.ac.in</v>
          </cell>
          <cell r="J283" t="str">
            <v>7980476255</v>
          </cell>
          <cell r="K283" t="str">
            <v>Computer Science</v>
          </cell>
          <cell r="L283" t="str">
            <v>Software Developer</v>
          </cell>
        </row>
        <row r="284">
          <cell r="D284">
            <v>2022455176</v>
          </cell>
          <cell r="E284">
            <v>2201010326</v>
          </cell>
          <cell r="F284" t="str">
            <v>B-Tech CSE-VI E</v>
          </cell>
          <cell r="G284" t="str">
            <v>Bachelor of Technology</v>
          </cell>
          <cell r="H284" t="str">
            <v>2022455176.keshav@ug.sharda.ac.in</v>
          </cell>
          <cell r="I284" t="str">
            <v>2022455176.manish@pt.sharda.ac.in</v>
          </cell>
          <cell r="J284" t="str">
            <v>7838835281</v>
          </cell>
          <cell r="K284" t="str">
            <v>Computer Science</v>
          </cell>
          <cell r="L284" t="str">
            <v>Machine Learning Engineer</v>
          </cell>
        </row>
        <row r="285">
          <cell r="D285">
            <v>2022435738</v>
          </cell>
          <cell r="E285">
            <v>2201010330</v>
          </cell>
          <cell r="F285" t="str">
            <v>B-Tech CSE-VI E</v>
          </cell>
          <cell r="G285" t="str">
            <v>Bachelor of Technology</v>
          </cell>
          <cell r="H285" t="str">
            <v>2022435738.khushi@ug.sharda.ac.in</v>
          </cell>
          <cell r="I285" t="str">
            <v>2022435738.kalyan@pt.sharda.ac.in</v>
          </cell>
          <cell r="J285" t="str">
            <v>9065663362</v>
          </cell>
          <cell r="K285" t="str">
            <v>Computer Science</v>
          </cell>
          <cell r="L285" t="str">
            <v>Software Developer</v>
          </cell>
        </row>
        <row r="286">
          <cell r="D286">
            <v>2022006140</v>
          </cell>
          <cell r="E286">
            <v>2201010331</v>
          </cell>
          <cell r="F286" t="str">
            <v>B-Tech CSE-VI E</v>
          </cell>
          <cell r="G286" t="str">
            <v>Bachelor of Technology</v>
          </cell>
          <cell r="H286" t="str">
            <v>2022006140.khushi@ug.sharda.ac.in</v>
          </cell>
          <cell r="I286" t="str">
            <v>2022006140.narveshkumar@pt.sharda.ac.in</v>
          </cell>
          <cell r="J286" t="str">
            <v>6397191413</v>
          </cell>
          <cell r="K286" t="str">
            <v>Computer Science</v>
          </cell>
          <cell r="L286" t="str">
            <v>Cloud Engineer</v>
          </cell>
        </row>
        <row r="287">
          <cell r="D287">
            <v>2022004755</v>
          </cell>
          <cell r="E287">
            <v>2201010332</v>
          </cell>
          <cell r="F287" t="str">
            <v>B-Tech CSE-VI E</v>
          </cell>
          <cell r="G287" t="str">
            <v>Bachelor of Technology</v>
          </cell>
          <cell r="H287" t="str">
            <v>2022004755.khushi@ug.sharda.ac.in</v>
          </cell>
          <cell r="I287" t="str">
            <v>2022004755.ajeet@pt.sharda.ac.in</v>
          </cell>
          <cell r="J287" t="str">
            <v>9911616569</v>
          </cell>
          <cell r="K287" t="str">
            <v>Computer Science</v>
          </cell>
          <cell r="L287" t="str">
            <v>Software Developer</v>
          </cell>
        </row>
        <row r="288">
          <cell r="D288">
            <v>2022507069</v>
          </cell>
          <cell r="E288">
            <v>2201010337</v>
          </cell>
          <cell r="F288" t="str">
            <v>B-Tech CSE-VI E</v>
          </cell>
          <cell r="G288" t="str">
            <v>Bachelor of Technology</v>
          </cell>
          <cell r="H288" t="str">
            <v>2022507069.krishna@ug.sharda.ac.in</v>
          </cell>
          <cell r="I288" t="str">
            <v>2022507069.dinesh@pt.sharda.ac.in</v>
          </cell>
          <cell r="J288" t="str">
            <v>8757335109</v>
          </cell>
          <cell r="K288" t="str">
            <v>Computer Science</v>
          </cell>
          <cell r="L288" t="str">
            <v>Software Developer</v>
          </cell>
        </row>
        <row r="289">
          <cell r="D289">
            <v>2022331708</v>
          </cell>
          <cell r="E289">
            <v>2201010345</v>
          </cell>
          <cell r="F289" t="str">
            <v>B-Tech CSE-VI E</v>
          </cell>
          <cell r="G289" t="str">
            <v>Bachelor of Technology</v>
          </cell>
          <cell r="H289" t="str">
            <v>2022331708.kumari@ug.sharda.ac.in</v>
          </cell>
          <cell r="I289" t="str">
            <v>2022331708.mithilesh@pt.sharda.ac.in</v>
          </cell>
          <cell r="J289" t="str">
            <v>6205510692</v>
          </cell>
          <cell r="K289" t="str">
            <v>Computer Science</v>
          </cell>
          <cell r="L289" t="e">
            <v>#N/A</v>
          </cell>
        </row>
        <row r="290">
          <cell r="D290">
            <v>2022516793</v>
          </cell>
          <cell r="E290">
            <v>2201010377</v>
          </cell>
          <cell r="F290" t="str">
            <v>B-Tech CSE-VI E</v>
          </cell>
          <cell r="G290" t="str">
            <v>Bachelor of Technology</v>
          </cell>
          <cell r="H290" t="str">
            <v>2022516793.manoj@ug.sharda.ac.in</v>
          </cell>
          <cell r="I290" t="str">
            <v>2022516793.pannalal@pt.sharda.ac.in</v>
          </cell>
          <cell r="J290" t="str">
            <v>9198829393</v>
          </cell>
          <cell r="K290" t="str">
            <v>Computer Science</v>
          </cell>
          <cell r="L290" t="str">
            <v>Software Developer</v>
          </cell>
        </row>
        <row r="291">
          <cell r="D291">
            <v>2022829153</v>
          </cell>
          <cell r="E291">
            <v>2201010397</v>
          </cell>
          <cell r="F291" t="str">
            <v>B-Tech CSE-VI E</v>
          </cell>
          <cell r="G291" t="str">
            <v>Bachelor of Technology</v>
          </cell>
          <cell r="H291" t="str">
            <v>2022829153.mdyushuf@ug.sharda.ac.in</v>
          </cell>
          <cell r="I291" t="str">
            <v>2022829153.saiyadmahamud@pt.sharda.ac.in</v>
          </cell>
          <cell r="J291" t="str">
            <v>91 7050193458</v>
          </cell>
          <cell r="K291" t="str">
            <v>Computer Science</v>
          </cell>
          <cell r="L291" t="str">
            <v>Software Developer</v>
          </cell>
        </row>
        <row r="292">
          <cell r="D292">
            <v>2022006143</v>
          </cell>
          <cell r="E292">
            <v>2201010490</v>
          </cell>
          <cell r="F292" t="str">
            <v>B-Tech CSE-VI E</v>
          </cell>
          <cell r="G292" t="str">
            <v>Bachelor of Technology</v>
          </cell>
          <cell r="H292" t="str">
            <v>2022006143.paarth@ug.sharda.ac.in</v>
          </cell>
          <cell r="I292" t="str">
            <v>2022006143.amit@pt.sharda.ac.in</v>
          </cell>
          <cell r="J292" t="str">
            <v>9643355554</v>
          </cell>
          <cell r="K292" t="str">
            <v>Computer Science</v>
          </cell>
          <cell r="L292" t="str">
            <v>Software Developer</v>
          </cell>
        </row>
        <row r="293">
          <cell r="D293">
            <v>2022506240</v>
          </cell>
          <cell r="E293">
            <v>2201010509</v>
          </cell>
          <cell r="F293" t="str">
            <v>B-Tech CSE-VI E</v>
          </cell>
          <cell r="G293" t="str">
            <v>Bachelor of Technology</v>
          </cell>
          <cell r="H293" t="str">
            <v>2022506240.pracchi@ug.sharda.ac.in</v>
          </cell>
          <cell r="I293" t="str">
            <v>2022506240.kuberchand@pt.sharda.ac.in</v>
          </cell>
          <cell r="J293" t="str">
            <v>9999226854</v>
          </cell>
          <cell r="K293" t="str">
            <v>Computer Science</v>
          </cell>
          <cell r="L293" t="str">
            <v>Software Developer</v>
          </cell>
        </row>
        <row r="294">
          <cell r="D294">
            <v>2022505917</v>
          </cell>
          <cell r="E294">
            <v>2201010514</v>
          </cell>
          <cell r="F294" t="str">
            <v>B-Tech CSE-VI E</v>
          </cell>
          <cell r="G294" t="str">
            <v>Bachelor of Technology</v>
          </cell>
          <cell r="H294" t="str">
            <v>2022505917.prasoon@ug.sharda.ac.in</v>
          </cell>
          <cell r="I294" t="str">
            <v>2022505917.sureshchandra@pt.sharda.ac.in</v>
          </cell>
          <cell r="J294" t="str">
            <v>7351924508</v>
          </cell>
          <cell r="K294" t="str">
            <v>Computer Science</v>
          </cell>
          <cell r="L294" t="str">
            <v>Android Developer</v>
          </cell>
        </row>
        <row r="295">
          <cell r="D295">
            <v>2022490152</v>
          </cell>
          <cell r="E295">
            <v>2201010517</v>
          </cell>
          <cell r="F295" t="str">
            <v>B-Tech CSE-VI E</v>
          </cell>
          <cell r="G295" t="str">
            <v>Bachelor of Technology</v>
          </cell>
          <cell r="H295" t="str">
            <v>2022490152.pratham@ug.sharda.ac.in</v>
          </cell>
          <cell r="I295" t="str">
            <v>2022490152.pardeep@pt.sharda.ac.in</v>
          </cell>
          <cell r="J295" t="str">
            <v>8222010280</v>
          </cell>
          <cell r="K295" t="str">
            <v>Computer Science</v>
          </cell>
          <cell r="L295" t="e">
            <v>#N/A</v>
          </cell>
        </row>
        <row r="296">
          <cell r="D296">
            <v>2022805251</v>
          </cell>
          <cell r="E296">
            <v>2201010543</v>
          </cell>
          <cell r="F296" t="str">
            <v>B-Tech CSE-VI E</v>
          </cell>
          <cell r="G296" t="str">
            <v>Bachelor of Technology</v>
          </cell>
          <cell r="H296" t="str">
            <v>2022805251.rahul@ug.sharda.ac.in</v>
          </cell>
          <cell r="I296" t="str">
            <v>2022805251.parshuram@pt.sharda.ac.in</v>
          </cell>
          <cell r="J296" t="str">
            <v>91 9661565894</v>
          </cell>
          <cell r="K296" t="str">
            <v>Computer Science</v>
          </cell>
          <cell r="L296" t="str">
            <v>Full Stack Developer(MERN Stack)</v>
          </cell>
        </row>
        <row r="297">
          <cell r="D297">
            <v>2022459779</v>
          </cell>
          <cell r="E297">
            <v>2201010546</v>
          </cell>
          <cell r="F297" t="str">
            <v>B-Tech CSE-VI E</v>
          </cell>
          <cell r="G297" t="str">
            <v>Bachelor of Technology</v>
          </cell>
          <cell r="H297" t="str">
            <v>2022459779.rahul@ug.sharda.ac.in</v>
          </cell>
          <cell r="I297" t="str">
            <v>2022459779.arjun@pt.sharda.ac.in</v>
          </cell>
          <cell r="J297" t="str">
            <v>9905741967</v>
          </cell>
          <cell r="K297" t="str">
            <v>Computer Science</v>
          </cell>
          <cell r="L297" t="str">
            <v>Software Developer</v>
          </cell>
        </row>
        <row r="298">
          <cell r="D298">
            <v>2022473330</v>
          </cell>
          <cell r="E298">
            <v>2201010551</v>
          </cell>
          <cell r="F298" t="str">
            <v>B-Tech CSE-VI E</v>
          </cell>
          <cell r="G298" t="str">
            <v>Bachelor of Technology</v>
          </cell>
          <cell r="H298" t="str">
            <v>2022473330.raj@ug.sharda.ac.in</v>
          </cell>
          <cell r="I298" t="str">
            <v>2022473330.sunilkumar@pt.sharda.ac.in</v>
          </cell>
          <cell r="J298" t="str">
            <v>8900049210</v>
          </cell>
          <cell r="K298" t="str">
            <v>Computer Science</v>
          </cell>
          <cell r="L298" t="str">
            <v>Software Developer</v>
          </cell>
        </row>
        <row r="299">
          <cell r="D299">
            <v>2022428593</v>
          </cell>
          <cell r="E299">
            <v>2201010571</v>
          </cell>
          <cell r="F299" t="str">
            <v>B-Tech CSE-VI E</v>
          </cell>
          <cell r="G299" t="str">
            <v>Bachelor of Technology</v>
          </cell>
          <cell r="H299" t="str">
            <v>2022428593.richan@ug.sharda.ac.in</v>
          </cell>
          <cell r="I299" t="str">
            <v>2022428593.dwipanjal@pt.sharda.ac.in</v>
          </cell>
          <cell r="J299" t="str">
            <v>8011998716</v>
          </cell>
          <cell r="K299" t="str">
            <v>Computer Science</v>
          </cell>
          <cell r="L299" t="str">
            <v>Software Developer</v>
          </cell>
        </row>
        <row r="300">
          <cell r="D300">
            <v>2022512387</v>
          </cell>
          <cell r="E300">
            <v>2201010572</v>
          </cell>
          <cell r="F300" t="str">
            <v>B-Tech CSE-VI E</v>
          </cell>
          <cell r="G300" t="str">
            <v>Bachelor of Technology</v>
          </cell>
          <cell r="H300" t="str">
            <v>2022512387.rimjhim@ug.sharda.ac.in</v>
          </cell>
          <cell r="I300" t="str">
            <v>2022512387.kishorechandra@pt.sharda.ac.in</v>
          </cell>
          <cell r="J300" t="str">
            <v>9142724357</v>
          </cell>
          <cell r="K300" t="str">
            <v>Computer Science</v>
          </cell>
          <cell r="L300" t="str">
            <v>Software Developer</v>
          </cell>
        </row>
        <row r="301">
          <cell r="D301">
            <v>2022811446</v>
          </cell>
          <cell r="E301">
            <v>2201010600</v>
          </cell>
          <cell r="F301" t="str">
            <v>B-Tech CSE-VI E</v>
          </cell>
          <cell r="G301" t="str">
            <v>Bachelor of Technology</v>
          </cell>
          <cell r="H301" t="str">
            <v>2022811446.rohit@ug.sharda.ac.in</v>
          </cell>
          <cell r="I301" t="str">
            <v>2022811446.devender@pt.sharda.ac.in</v>
          </cell>
          <cell r="J301" t="str">
            <v>9064547302</v>
          </cell>
          <cell r="K301" t="str">
            <v>Computer Science</v>
          </cell>
          <cell r="L301" t="str">
            <v>Software Developer</v>
          </cell>
        </row>
        <row r="302">
          <cell r="D302">
            <v>2022006609</v>
          </cell>
          <cell r="E302">
            <v>2201010606</v>
          </cell>
          <cell r="F302" t="str">
            <v>B-Tech CSE-VI E</v>
          </cell>
          <cell r="G302" t="str">
            <v>Bachelor of Technology</v>
          </cell>
          <cell r="H302" t="str">
            <v>2022006609.sachin@ug.sharda.ac.in</v>
          </cell>
          <cell r="I302" t="str">
            <v>2022006609.ramesh@pt.sharda.ac.in</v>
          </cell>
          <cell r="J302" t="str">
            <v>8009622418</v>
          </cell>
          <cell r="K302" t="str">
            <v>Computer Science</v>
          </cell>
          <cell r="L302" t="str">
            <v>Software Developer</v>
          </cell>
        </row>
        <row r="303">
          <cell r="D303">
            <v>2022427336</v>
          </cell>
          <cell r="E303">
            <v>2201010611</v>
          </cell>
          <cell r="F303" t="str">
            <v>B-Tech CSE-VI E</v>
          </cell>
          <cell r="G303" t="str">
            <v>Bachelor of Technology</v>
          </cell>
          <cell r="H303" t="str">
            <v>2022427336.sahil@ug.sharda.ac.in</v>
          </cell>
          <cell r="I303" t="str">
            <v>2022427336.sunildutt@pt.sharda.ac.in</v>
          </cell>
          <cell r="J303" t="str">
            <v>9315253842</v>
          </cell>
          <cell r="K303" t="str">
            <v>Computer Science</v>
          </cell>
          <cell r="L303" t="e">
            <v>#N/A</v>
          </cell>
        </row>
        <row r="304">
          <cell r="D304">
            <v>2022005613</v>
          </cell>
          <cell r="E304">
            <v>2201010628</v>
          </cell>
          <cell r="F304" t="str">
            <v>B-Tech CSE-VI E</v>
          </cell>
          <cell r="G304" t="str">
            <v>Bachelor of Technology</v>
          </cell>
          <cell r="H304" t="str">
            <v>2022005613.samyak@ug.sharda.ac.in</v>
          </cell>
          <cell r="I304" t="str">
            <v>2022005613.praveen@pt.sharda.ac.in</v>
          </cell>
          <cell r="J304" t="str">
            <v>9899728401</v>
          </cell>
          <cell r="K304" t="str">
            <v>Computer Science</v>
          </cell>
          <cell r="L304" t="str">
            <v>Full Stack Developer(MERN Stack)</v>
          </cell>
        </row>
        <row r="305">
          <cell r="D305">
            <v>2022523724</v>
          </cell>
          <cell r="E305">
            <v>2201010632</v>
          </cell>
          <cell r="F305" t="str">
            <v>B-Tech CSE-VI E</v>
          </cell>
          <cell r="G305" t="str">
            <v>Bachelor of Technology</v>
          </cell>
          <cell r="H305" t="str">
            <v>2022523724.saniya@ug.sharda.ac.in</v>
          </cell>
          <cell r="I305" t="str">
            <v>2022523724.mohd@pt.sharda.ac.in</v>
          </cell>
          <cell r="J305" t="str">
            <v>8800970493</v>
          </cell>
          <cell r="K305" t="str">
            <v>Computer Science</v>
          </cell>
          <cell r="L305" t="str">
            <v>Software Developer</v>
          </cell>
        </row>
        <row r="306">
          <cell r="D306">
            <v>2022514886</v>
          </cell>
          <cell r="E306">
            <v>2201010656</v>
          </cell>
          <cell r="F306" t="str">
            <v>B-Tech CSE-VI E</v>
          </cell>
          <cell r="G306" t="str">
            <v>Bachelor of Technology</v>
          </cell>
          <cell r="H306" t="str">
            <v>2022514886.shashank@ug.sharda.ac.in</v>
          </cell>
          <cell r="I306" t="str">
            <v>2022514886.binaykumar@pt.sharda.ac.in</v>
          </cell>
          <cell r="J306" t="str">
            <v>8252711617</v>
          </cell>
          <cell r="K306" t="str">
            <v>Computer Science</v>
          </cell>
          <cell r="L306" t="str">
            <v>Software Developer</v>
          </cell>
        </row>
        <row r="307">
          <cell r="D307">
            <v>2022378413</v>
          </cell>
          <cell r="E307">
            <v>2201010659</v>
          </cell>
          <cell r="F307" t="str">
            <v>B-Tech CSE-VI E</v>
          </cell>
          <cell r="G307" t="str">
            <v>Bachelor of Technology</v>
          </cell>
          <cell r="H307" t="str">
            <v>2022378413.shashwat@ug.sharda.ac.in</v>
          </cell>
          <cell r="I307" t="str">
            <v>2022378413.balraj@pt.sharda.ac.in</v>
          </cell>
          <cell r="J307" t="str">
            <v>7042220600</v>
          </cell>
          <cell r="K307" t="str">
            <v>Computer Science</v>
          </cell>
          <cell r="L307" t="str">
            <v>Android Developer</v>
          </cell>
        </row>
        <row r="308">
          <cell r="D308">
            <v>2022000791</v>
          </cell>
          <cell r="E308">
            <v>2201010664</v>
          </cell>
          <cell r="F308" t="str">
            <v>B-Tech CSE-VI E</v>
          </cell>
          <cell r="G308" t="str">
            <v>Bachelor of Technology</v>
          </cell>
          <cell r="H308" t="str">
            <v>2022000791.shikha@ug.sharda.ac.in</v>
          </cell>
          <cell r="I308" t="str">
            <v>2022000791.pankaj@pt.sharda.ac.in</v>
          </cell>
          <cell r="J308" t="str">
            <v>6202918615</v>
          </cell>
          <cell r="K308" t="str">
            <v>Computer Science</v>
          </cell>
          <cell r="L308" t="str">
            <v>Software Developer</v>
          </cell>
        </row>
        <row r="309">
          <cell r="D309">
            <v>2022508269</v>
          </cell>
          <cell r="E309">
            <v>2201010687</v>
          </cell>
          <cell r="F309" t="str">
            <v>B-Tech CSE-VI E</v>
          </cell>
          <cell r="G309" t="str">
            <v>Bachelor of Technology</v>
          </cell>
          <cell r="H309" t="str">
            <v>2022508269.shristy@ug.sharda.ac.in</v>
          </cell>
          <cell r="I309" t="str">
            <v>2022508269.alok@pt.sharda.ac.in</v>
          </cell>
          <cell r="J309" t="str">
            <v>8115622991</v>
          </cell>
          <cell r="K309" t="str">
            <v>Computer Science</v>
          </cell>
          <cell r="L309" t="str">
            <v>Software Developer</v>
          </cell>
        </row>
        <row r="310">
          <cell r="D310">
            <v>2022531964</v>
          </cell>
          <cell r="E310">
            <v>2201010692</v>
          </cell>
          <cell r="F310" t="str">
            <v>B-Tech CSE-VI E</v>
          </cell>
          <cell r="G310" t="str">
            <v>Bachelor of Technology</v>
          </cell>
          <cell r="H310" t="str">
            <v>2022531964.shubham@ug.sharda.ac.in</v>
          </cell>
          <cell r="I310" t="str">
            <v>2022531964.nipu@pt.sharda.ac.in</v>
          </cell>
          <cell r="J310" t="str">
            <v>6203252388</v>
          </cell>
          <cell r="K310" t="str">
            <v>Computer Science</v>
          </cell>
          <cell r="L310" t="str">
            <v>Software Developer</v>
          </cell>
        </row>
        <row r="311">
          <cell r="D311">
            <v>2022003069</v>
          </cell>
          <cell r="E311">
            <v>2201010694</v>
          </cell>
          <cell r="F311" t="str">
            <v>B-Tech CSE-VI E</v>
          </cell>
          <cell r="G311" t="str">
            <v>Bachelor of Technology</v>
          </cell>
          <cell r="H311" t="str">
            <v>2022003069.siddharth@ug.sharda.ac.in</v>
          </cell>
          <cell r="I311" t="str">
            <v>2022003069.kavindra@pt.sharda.ac.in</v>
          </cell>
          <cell r="J311" t="str">
            <v>8534991362</v>
          </cell>
          <cell r="K311" t="str">
            <v>Computer Science</v>
          </cell>
          <cell r="L311" t="str">
            <v>Testing Engineer</v>
          </cell>
        </row>
        <row r="312">
          <cell r="D312">
            <v>2022363290</v>
          </cell>
          <cell r="E312">
            <v>2201010711</v>
          </cell>
          <cell r="F312" t="str">
            <v>B-Tech CSE-VI E</v>
          </cell>
          <cell r="G312" t="str">
            <v>Bachelor of Technology</v>
          </cell>
          <cell r="H312" t="str">
            <v>2022363290.soubhik@ug.sharda.ac.in</v>
          </cell>
          <cell r="I312" t="str">
            <v>2022363290.jyotiprakash@pt.sharda.ac.in</v>
          </cell>
          <cell r="J312" t="str">
            <v>7643814053</v>
          </cell>
          <cell r="K312" t="str">
            <v>Computer Science</v>
          </cell>
          <cell r="L312" t="str">
            <v>Machine Learning Engineer</v>
          </cell>
        </row>
        <row r="313">
          <cell r="D313">
            <v>2022503088</v>
          </cell>
          <cell r="E313">
            <v>2201010716</v>
          </cell>
          <cell r="F313" t="str">
            <v>B-Tech CSE-VI E</v>
          </cell>
          <cell r="G313" t="str">
            <v>Bachelor of Technology</v>
          </cell>
          <cell r="H313" t="str">
            <v>2022503088.srishti@ug.sharda.ac.in</v>
          </cell>
          <cell r="I313" t="str">
            <v>2022503088.patwardhan@pt.sharda.ac.in</v>
          </cell>
          <cell r="J313" t="str">
            <v>9627522860</v>
          </cell>
          <cell r="K313" t="str">
            <v>Computer Science</v>
          </cell>
          <cell r="L313" t="str">
            <v>Full Stack Developer(MERN Stack)</v>
          </cell>
        </row>
        <row r="314">
          <cell r="D314">
            <v>2022498440</v>
          </cell>
          <cell r="E314">
            <v>2201010721</v>
          </cell>
          <cell r="F314" t="str">
            <v>B-Tech CSE-VI E</v>
          </cell>
          <cell r="G314" t="str">
            <v>Bachelor of Technology</v>
          </cell>
          <cell r="H314" t="str">
            <v>2022498440.sumit@ug.sharda.ac.in</v>
          </cell>
          <cell r="I314" t="str">
            <v>2022498440.rajkumar@pt.sharda.ac.in</v>
          </cell>
          <cell r="J314" t="str">
            <v>8354944670</v>
          </cell>
          <cell r="K314" t="str">
            <v>Computer Science</v>
          </cell>
          <cell r="L314" t="str">
            <v>Software Developer</v>
          </cell>
        </row>
        <row r="315">
          <cell r="D315">
            <v>2022554244</v>
          </cell>
          <cell r="E315">
            <v>2201010800</v>
          </cell>
          <cell r="F315" t="str">
            <v>B-Tech CSE-VI E</v>
          </cell>
          <cell r="G315" t="str">
            <v>Bachelor of Technology</v>
          </cell>
          <cell r="H315" t="str">
            <v>2022554244.vivek@ug.sharda.ac.in</v>
          </cell>
          <cell r="I315" t="str">
            <v>2022554244.durgeshnarayan@pt.sharda.ac.in</v>
          </cell>
          <cell r="J315" t="str">
            <v>8130176899</v>
          </cell>
          <cell r="K315" t="str">
            <v>Computer Science</v>
          </cell>
          <cell r="L315" t="str">
            <v>Software Developer</v>
          </cell>
        </row>
        <row r="316">
          <cell r="D316">
            <v>2022381725</v>
          </cell>
          <cell r="E316">
            <v>2201010804</v>
          </cell>
          <cell r="F316" t="str">
            <v>B-Tech CSE-VI E</v>
          </cell>
          <cell r="G316" t="str">
            <v>Bachelor of Technology</v>
          </cell>
          <cell r="H316" t="str">
            <v>2022381725.yajushi@ug.sharda.ac.in</v>
          </cell>
          <cell r="I316" t="str">
            <v>2022381725.manish@pt.sharda.ac.in</v>
          </cell>
          <cell r="J316" t="str">
            <v>7011422195</v>
          </cell>
          <cell r="K316" t="str">
            <v>Computer Science</v>
          </cell>
          <cell r="L316" t="str">
            <v>Software Developer</v>
          </cell>
        </row>
        <row r="317">
          <cell r="D317">
            <v>2022363409</v>
          </cell>
          <cell r="E317">
            <v>2201010818</v>
          </cell>
          <cell r="F317" t="str">
            <v>B-Tech CSE-VI E</v>
          </cell>
          <cell r="G317" t="str">
            <v>Bachelor of Technology</v>
          </cell>
          <cell r="H317" t="str">
            <v>2022363409.yenni@ug.sharda.ac.in</v>
          </cell>
          <cell r="I317" t="str">
            <v>2022363409.yennisrinivasa@pt.sharda.ac.in</v>
          </cell>
          <cell r="J317" t="str">
            <v>8287434773</v>
          </cell>
          <cell r="K317" t="str">
            <v>Computer Science</v>
          </cell>
          <cell r="L317" t="str">
            <v>Full Stack Developer(MERN Stack)</v>
          </cell>
        </row>
        <row r="318">
          <cell r="D318">
            <v>2022003343</v>
          </cell>
          <cell r="E318">
            <v>2201010828</v>
          </cell>
          <cell r="F318" t="str">
            <v>B-Tech CSE-VI E</v>
          </cell>
          <cell r="G318" t="str">
            <v>Bachelor of Technology</v>
          </cell>
          <cell r="H318" t="str">
            <v>2022003343.zobia@ug.sharda.ac.in</v>
          </cell>
          <cell r="I318" t="str">
            <v>2022003343.riyaz@pt.sharda.ac.in</v>
          </cell>
          <cell r="J318" t="str">
            <v>8082951516</v>
          </cell>
          <cell r="K318" t="str">
            <v>Computer Science</v>
          </cell>
          <cell r="L318" t="str">
            <v>Software Developer</v>
          </cell>
        </row>
        <row r="319">
          <cell r="D319">
            <v>2022007195</v>
          </cell>
          <cell r="E319">
            <v>2201010837</v>
          </cell>
          <cell r="F319" t="str">
            <v>B-Tech CSE-VI E</v>
          </cell>
          <cell r="G319" t="str">
            <v>Bachelor of Technology</v>
          </cell>
          <cell r="H319" t="str">
            <v>2022007195.ashmit@ug.sharda.ac.in</v>
          </cell>
          <cell r="I319" t="str">
            <v>2022007195.satyapalsingh@pt.sharda.ac.in</v>
          </cell>
          <cell r="J319" t="str">
            <v>7456007669</v>
          </cell>
          <cell r="K319" t="str">
            <v>Computer Science</v>
          </cell>
          <cell r="L319" t="e">
            <v>#N/A</v>
          </cell>
        </row>
        <row r="320">
          <cell r="D320">
            <v>2022007677</v>
          </cell>
          <cell r="E320">
            <v>2201010857</v>
          </cell>
          <cell r="F320" t="str">
            <v>B-Tech CSE-VI E</v>
          </cell>
          <cell r="G320" t="str">
            <v>Bachelor of Technology</v>
          </cell>
          <cell r="H320" t="str">
            <v>2022007677.bhaven@ug.sharda.ac.in</v>
          </cell>
          <cell r="I320" t="str">
            <v>2022007677.pramod@pt.sharda.ac.in</v>
          </cell>
          <cell r="J320" t="str">
            <v>7000477717</v>
          </cell>
          <cell r="K320" t="str">
            <v>Computer Science</v>
          </cell>
          <cell r="L320" t="str">
            <v>Software Developer</v>
          </cell>
        </row>
        <row r="321">
          <cell r="D321">
            <v>2022536169</v>
          </cell>
          <cell r="E321">
            <v>2201010877</v>
          </cell>
          <cell r="F321" t="str">
            <v>B-Tech CSE-VI E</v>
          </cell>
          <cell r="G321" t="str">
            <v>Bachelor of Technology</v>
          </cell>
          <cell r="H321" t="str">
            <v>2022536169.sahil@ug.sharda.ac.in</v>
          </cell>
          <cell r="I321" t="str">
            <v>2022536169.pankaj@pt.sharda.ac.in</v>
          </cell>
          <cell r="J321" t="str">
            <v>8868830646</v>
          </cell>
          <cell r="K321" t="str">
            <v>Computer Science</v>
          </cell>
          <cell r="L321" t="e">
            <v>#N/A</v>
          </cell>
        </row>
        <row r="322">
          <cell r="D322">
            <v>2022573413</v>
          </cell>
          <cell r="E322">
            <v>2201010884</v>
          </cell>
          <cell r="F322" t="str">
            <v>B-Tech CSE-VI E</v>
          </cell>
          <cell r="G322" t="str">
            <v>Bachelor of Technology</v>
          </cell>
          <cell r="H322" t="str">
            <v>2022573413.anirban@ug.sharda.ac.in</v>
          </cell>
          <cell r="I322" t="str">
            <v>2022573413.balaram@pt.sharda.ac.in</v>
          </cell>
          <cell r="J322" t="str">
            <v>9748781285</v>
          </cell>
          <cell r="K322" t="str">
            <v>Computer Science</v>
          </cell>
          <cell r="L322" t="str">
            <v>Software Developer</v>
          </cell>
        </row>
        <row r="323">
          <cell r="D323">
            <v>2022585888</v>
          </cell>
          <cell r="E323">
            <v>2201010886</v>
          </cell>
          <cell r="F323" t="str">
            <v>B-Tech CSE-VI E</v>
          </cell>
          <cell r="G323" t="str">
            <v>Bachelor of Technology</v>
          </cell>
          <cell r="H323" t="str">
            <v>2022585888.md@ug.sharda.ac.in</v>
          </cell>
          <cell r="I323" t="str">
            <v>2022585888.abdul@pt.sharda.ac.in</v>
          </cell>
          <cell r="J323" t="str">
            <v>9635287067</v>
          </cell>
          <cell r="K323" t="str">
            <v>Computer Science</v>
          </cell>
          <cell r="L323" t="str">
            <v>Software Developer</v>
          </cell>
        </row>
        <row r="324">
          <cell r="D324">
            <v>2022578067</v>
          </cell>
          <cell r="E324">
            <v>2201010007</v>
          </cell>
          <cell r="F324" t="str">
            <v>B-Tech CSE-VI F</v>
          </cell>
          <cell r="G324" t="str">
            <v>Bachelor of Technology</v>
          </cell>
          <cell r="H324" t="str">
            <v>2022578067.aashika@ug.sharda.ac.in</v>
          </cell>
          <cell r="I324" t="str">
            <v>2022578067.dhramjeet@pt.sharda.ac.in</v>
          </cell>
          <cell r="J324" t="str">
            <v>9102398365</v>
          </cell>
          <cell r="K324" t="str">
            <v>Computer Science</v>
          </cell>
          <cell r="L324" t="str">
            <v>Software Developer</v>
          </cell>
        </row>
        <row r="325">
          <cell r="D325">
            <v>2022525962</v>
          </cell>
          <cell r="E325">
            <v>2201010034</v>
          </cell>
          <cell r="F325" t="str">
            <v>B-Tech CSE-VI F</v>
          </cell>
          <cell r="G325" t="str">
            <v>Bachelor of Technology</v>
          </cell>
          <cell r="H325" t="str">
            <v>2022525962.adarsh@ug.sharda.ac.in</v>
          </cell>
          <cell r="I325" t="str">
            <v>2022525962.rajeshkumar@pt.sharda.ac.in</v>
          </cell>
          <cell r="J325" t="str">
            <v>7979715916</v>
          </cell>
          <cell r="K325" t="str">
            <v>Computer Science</v>
          </cell>
          <cell r="L325" t="str">
            <v>Full Stack Developer(MERN Stack)</v>
          </cell>
        </row>
        <row r="326">
          <cell r="D326">
            <v>2022374295</v>
          </cell>
          <cell r="E326">
            <v>2201010045</v>
          </cell>
          <cell r="F326" t="str">
            <v>B-Tech CSE-VI F</v>
          </cell>
          <cell r="G326" t="str">
            <v>Bachelor of Technology</v>
          </cell>
          <cell r="H326" t="str">
            <v>2022374295.aditya@ug.sharda.ac.in</v>
          </cell>
          <cell r="I326" t="str">
            <v>2022374295.amitkumar@pt.sharda.ac.in</v>
          </cell>
          <cell r="J326" t="str">
            <v>6207058004</v>
          </cell>
          <cell r="K326" t="str">
            <v>Computer Science</v>
          </cell>
          <cell r="L326" t="str">
            <v>Software Developer</v>
          </cell>
        </row>
        <row r="327">
          <cell r="D327">
            <v>2022805717</v>
          </cell>
          <cell r="E327">
            <v>2201010059</v>
          </cell>
          <cell r="F327" t="str">
            <v>B-Tech CSE-VI F</v>
          </cell>
          <cell r="G327" t="str">
            <v>Bachelor of Technology</v>
          </cell>
          <cell r="H327" t="str">
            <v>2022805717.ajib@ug.sharda.ac.in</v>
          </cell>
          <cell r="I327" t="str">
            <v>2022805717.sarbajitastani@pt.sharda.ac.in</v>
          </cell>
          <cell r="J327" t="str">
            <v>977 9841883474</v>
          </cell>
          <cell r="K327" t="str">
            <v>Computer Science</v>
          </cell>
          <cell r="L327" t="str">
            <v>Software Developer</v>
          </cell>
        </row>
        <row r="328">
          <cell r="D328">
            <v>2022005223</v>
          </cell>
          <cell r="E328">
            <v>2201010076</v>
          </cell>
          <cell r="F328" t="str">
            <v>B-Tech CSE-VI F</v>
          </cell>
          <cell r="G328" t="str">
            <v>Bachelor of Technology</v>
          </cell>
          <cell r="H328" t="str">
            <v>2022005223.aman@ug.sharda.ac.in</v>
          </cell>
          <cell r="I328" t="str">
            <v>2022005223.arvind@pt.sharda.ac.in</v>
          </cell>
          <cell r="J328" t="str">
            <v>8862957493</v>
          </cell>
          <cell r="K328" t="str">
            <v>Computer Science</v>
          </cell>
          <cell r="L328" t="str">
            <v>Software Developer</v>
          </cell>
        </row>
        <row r="329">
          <cell r="D329">
            <v>2022467293</v>
          </cell>
          <cell r="E329">
            <v>2201010077</v>
          </cell>
          <cell r="F329" t="str">
            <v>B-Tech CSE-VI F</v>
          </cell>
          <cell r="G329" t="str">
            <v>Bachelor of Technology</v>
          </cell>
          <cell r="H329" t="str">
            <v>2022467293.aman@ug.sharda.ac.in</v>
          </cell>
          <cell r="I329" t="str">
            <v>2022467293.arvind@pt.sharda.ac.in</v>
          </cell>
          <cell r="J329" t="str">
            <v>6202941942</v>
          </cell>
          <cell r="K329" t="str">
            <v>Computer Science</v>
          </cell>
          <cell r="L329" t="str">
            <v>Software Developer</v>
          </cell>
        </row>
        <row r="330">
          <cell r="D330">
            <v>2022004659</v>
          </cell>
          <cell r="E330">
            <v>2201010079</v>
          </cell>
          <cell r="F330" t="str">
            <v>B-Tech CSE-VI F</v>
          </cell>
          <cell r="G330" t="str">
            <v>Bachelor of Technology</v>
          </cell>
          <cell r="H330" t="str">
            <v>2022004659.amit@ug.sharda.ac.in</v>
          </cell>
          <cell r="I330" t="str">
            <v>2022004659.ajay@pt.sharda.ac.in</v>
          </cell>
          <cell r="J330" t="str">
            <v>7856816590</v>
          </cell>
          <cell r="K330" t="str">
            <v>Computer Science</v>
          </cell>
          <cell r="L330" t="e">
            <v>#N/A</v>
          </cell>
        </row>
        <row r="331">
          <cell r="D331">
            <v>2022000245</v>
          </cell>
          <cell r="E331">
            <v>2201010098</v>
          </cell>
          <cell r="F331" t="str">
            <v>B-Tech CSE-VI F</v>
          </cell>
          <cell r="G331" t="str">
            <v>Bachelor of Technology</v>
          </cell>
          <cell r="H331" t="str">
            <v>2022000245.ankush@ug.sharda.ac.in</v>
          </cell>
          <cell r="I331" t="str">
            <v>2022000245.jailal@pt.sharda.ac.in</v>
          </cell>
          <cell r="J331" t="str">
            <v>7667491662</v>
          </cell>
          <cell r="K331" t="str">
            <v>Computer Science</v>
          </cell>
          <cell r="L331" t="str">
            <v>Software Developer</v>
          </cell>
        </row>
        <row r="332">
          <cell r="D332">
            <v>2022577356</v>
          </cell>
          <cell r="E332">
            <v>2201010103</v>
          </cell>
          <cell r="F332" t="str">
            <v>B-Tech CSE-VI F</v>
          </cell>
          <cell r="G332" t="str">
            <v>Bachelor of Technology</v>
          </cell>
          <cell r="H332" t="str">
            <v>2022577356.anshu@ug.sharda.ac.in</v>
          </cell>
          <cell r="I332" t="str">
            <v>2022577356.rahul@pt.sharda.ac.in</v>
          </cell>
          <cell r="J332" t="str">
            <v>9905227087</v>
          </cell>
          <cell r="K332" t="str">
            <v>Computer Science</v>
          </cell>
          <cell r="L332" t="str">
            <v>Software Developer</v>
          </cell>
        </row>
        <row r="333">
          <cell r="D333">
            <v>2022434340</v>
          </cell>
          <cell r="E333">
            <v>2201010159</v>
          </cell>
          <cell r="F333" t="str">
            <v>B-Tech CSE-VI F</v>
          </cell>
          <cell r="G333" t="str">
            <v>Bachelor of Technology</v>
          </cell>
          <cell r="H333" t="str">
            <v>2022434340.asmit@ug.sharda.ac.in</v>
          </cell>
          <cell r="I333" t="str">
            <v>2022434340.nawalkishore@pt.sharda.ac.in</v>
          </cell>
          <cell r="J333" t="str">
            <v>6205495441</v>
          </cell>
          <cell r="K333" t="str">
            <v>Computer Science</v>
          </cell>
          <cell r="L333" t="str">
            <v>Software Developer</v>
          </cell>
        </row>
        <row r="334">
          <cell r="D334">
            <v>2022820872</v>
          </cell>
          <cell r="E334">
            <v>2201010182</v>
          </cell>
          <cell r="F334" t="str">
            <v>B-Tech CSE-VI F</v>
          </cell>
          <cell r="G334" t="str">
            <v>Bachelor of Technology</v>
          </cell>
          <cell r="H334" t="str">
            <v>2022820872.bishal@ug.sharda.ac.in</v>
          </cell>
          <cell r="I334" t="str">
            <v>2022820872.manojanand@pt.sharda.ac.in</v>
          </cell>
          <cell r="J334" t="str">
            <v>91 7011964628</v>
          </cell>
          <cell r="K334" t="str">
            <v>Computer Science</v>
          </cell>
          <cell r="L334" t="str">
            <v>Software Developer</v>
          </cell>
        </row>
        <row r="335">
          <cell r="D335">
            <v>2022007055</v>
          </cell>
          <cell r="E335">
            <v>2201010187</v>
          </cell>
          <cell r="F335" t="str">
            <v>B-Tech CSE-VI F</v>
          </cell>
          <cell r="G335" t="str">
            <v>Bachelor of Technology</v>
          </cell>
          <cell r="H335" t="str">
            <v>2022007055.chandan@ug.sharda.ac.in</v>
          </cell>
          <cell r="I335" t="str">
            <v>2022007055.ramankishor@pt.sharda.ac.in</v>
          </cell>
          <cell r="J335" t="str">
            <v>9525902309</v>
          </cell>
          <cell r="K335" t="str">
            <v>Computer Science</v>
          </cell>
          <cell r="L335" t="str">
            <v>Software Developer</v>
          </cell>
        </row>
        <row r="336">
          <cell r="D336">
            <v>2022007141</v>
          </cell>
          <cell r="E336">
            <v>2201010196</v>
          </cell>
          <cell r="F336" t="str">
            <v>B-Tech CSE-VI F</v>
          </cell>
          <cell r="G336" t="str">
            <v>Bachelor of Technology</v>
          </cell>
          <cell r="H336" t="str">
            <v>2022007141.chitransh@ug.sharda.ac.in</v>
          </cell>
          <cell r="I336" t="str">
            <v>2022007141.sanjay@pt.sharda.ac.in</v>
          </cell>
          <cell r="J336" t="str">
            <v>7417242229</v>
          </cell>
          <cell r="K336" t="str">
            <v>Computer Science</v>
          </cell>
          <cell r="L336" t="str">
            <v>Full Stack Developer(MERN Stack)</v>
          </cell>
        </row>
        <row r="337">
          <cell r="D337">
            <v>2022833385</v>
          </cell>
          <cell r="E337">
            <v>2201010199</v>
          </cell>
          <cell r="F337" t="str">
            <v>B-Tech CSE-VI F</v>
          </cell>
          <cell r="G337" t="str">
            <v>Bachelor of Technology</v>
          </cell>
          <cell r="H337" t="str">
            <v>2022833385.daniel@ug.sharda.ac.in</v>
          </cell>
          <cell r="I337" t="str">
            <v>2022833385.thabang@pt.sharda.ac.in</v>
          </cell>
          <cell r="J337" t="str">
            <v>58870955</v>
          </cell>
          <cell r="K337" t="str">
            <v>Computer Science</v>
          </cell>
          <cell r="L337" t="e">
            <v>#N/A</v>
          </cell>
        </row>
        <row r="338">
          <cell r="D338">
            <v>2022004342</v>
          </cell>
          <cell r="E338">
            <v>2201010217</v>
          </cell>
          <cell r="F338" t="str">
            <v>B-Tech CSE-VI F</v>
          </cell>
          <cell r="G338" t="str">
            <v>Bachelor of Technology</v>
          </cell>
          <cell r="H338" t="str">
            <v>2022004342.dheerendra@ug.sharda.ac.in</v>
          </cell>
          <cell r="I338" t="str">
            <v>2022004342.pramod@pt.sharda.ac.in</v>
          </cell>
          <cell r="J338" t="str">
            <v>7983405848</v>
          </cell>
          <cell r="K338" t="str">
            <v>Computer Science</v>
          </cell>
          <cell r="L338" t="str">
            <v>Software Developer</v>
          </cell>
        </row>
        <row r="339">
          <cell r="D339">
            <v>2022816874</v>
          </cell>
          <cell r="E339">
            <v>2201010252</v>
          </cell>
          <cell r="F339" t="str">
            <v>B-Tech CSE-VI F</v>
          </cell>
          <cell r="G339" t="str">
            <v>Bachelor of Technology</v>
          </cell>
          <cell r="H339" t="str">
            <v>2022816874.govind@ug.sharda.ac.in</v>
          </cell>
          <cell r="I339" t="str">
            <v>2022816874.bishnukant@pt.sharda.ac.in</v>
          </cell>
          <cell r="J339" t="str">
            <v>91 7676535597</v>
          </cell>
          <cell r="K339" t="str">
            <v>Computer Science</v>
          </cell>
          <cell r="L339" t="str">
            <v>Android Developer</v>
          </cell>
        </row>
        <row r="340">
          <cell r="D340">
            <v>2022007202</v>
          </cell>
          <cell r="E340">
            <v>2201010254</v>
          </cell>
          <cell r="F340" t="str">
            <v>B-Tech CSE-VI F</v>
          </cell>
          <cell r="G340" t="str">
            <v>Bachelor of Technology</v>
          </cell>
          <cell r="H340" t="str">
            <v>2022007202.gracy@ug.sharda.ac.in</v>
          </cell>
          <cell r="I340" t="str">
            <v>2022007202.nootan@pt.sharda.ac.in</v>
          </cell>
          <cell r="J340" t="str">
            <v>9045186230</v>
          </cell>
          <cell r="K340" t="str">
            <v>Computer Science</v>
          </cell>
          <cell r="L340" t="str">
            <v>Full Stack Developer(MERN Stack)</v>
          </cell>
        </row>
        <row r="341">
          <cell r="D341">
            <v>2022574196</v>
          </cell>
          <cell r="E341">
            <v>2201010266</v>
          </cell>
          <cell r="F341" t="str">
            <v>B-Tech CSE-VI F</v>
          </cell>
          <cell r="G341" t="str">
            <v>Bachelor of Technology</v>
          </cell>
          <cell r="H341" t="str">
            <v>2022574196.harsh@ug.sharda.ac.in</v>
          </cell>
          <cell r="I341" t="str">
            <v>2022574196.virender@pt.sharda.ac.in</v>
          </cell>
          <cell r="J341" t="str">
            <v>9958019671</v>
          </cell>
          <cell r="K341" t="str">
            <v>Computer Science</v>
          </cell>
          <cell r="L341" t="str">
            <v>Software Developer</v>
          </cell>
        </row>
        <row r="342">
          <cell r="D342">
            <v>2022552969</v>
          </cell>
          <cell r="E342">
            <v>2201010299</v>
          </cell>
          <cell r="F342" t="str">
            <v>B-Tech CSE-VI F</v>
          </cell>
          <cell r="G342" t="str">
            <v>Bachelor of Technology</v>
          </cell>
          <cell r="H342" t="str">
            <v>2022552969.jasim@ug.sharda.ac.in</v>
          </cell>
          <cell r="I342" t="str">
            <v>2022552969.mdkhurshed@pt.sharda.ac.in</v>
          </cell>
          <cell r="J342" t="str">
            <v>6207785380</v>
          </cell>
          <cell r="K342" t="str">
            <v>Computer Science</v>
          </cell>
          <cell r="L342" t="str">
            <v>Machine Learning Engineer</v>
          </cell>
        </row>
        <row r="343">
          <cell r="D343">
            <v>2022561995</v>
          </cell>
          <cell r="E343">
            <v>2201010300</v>
          </cell>
          <cell r="F343" t="str">
            <v>B-Tech CSE-VI F</v>
          </cell>
          <cell r="G343" t="str">
            <v>Bachelor of Technology</v>
          </cell>
          <cell r="H343" t="str">
            <v>2022561995.jasjot@ug.sharda.ac.in</v>
          </cell>
          <cell r="I343" t="str">
            <v>2022561995.gurmeet@pt.sharda.ac.in</v>
          </cell>
          <cell r="J343" t="str">
            <v>9818398438</v>
          </cell>
          <cell r="K343" t="str">
            <v>Computer Science</v>
          </cell>
          <cell r="L343" t="str">
            <v>Software Developer</v>
          </cell>
        </row>
        <row r="344">
          <cell r="D344">
            <v>2022006870</v>
          </cell>
          <cell r="E344">
            <v>2201010310</v>
          </cell>
          <cell r="F344" t="str">
            <v>B-Tech CSE-VI F</v>
          </cell>
          <cell r="G344" t="str">
            <v>Bachelor of Technology</v>
          </cell>
          <cell r="H344" t="str">
            <v>2022006870.jigyashu@ug.sharda.ac.in</v>
          </cell>
          <cell r="I344" t="str">
            <v>2022006870.binod@pt.sharda.ac.in</v>
          </cell>
          <cell r="J344" t="str">
            <v>6200170281</v>
          </cell>
          <cell r="K344" t="str">
            <v>Computer Science</v>
          </cell>
          <cell r="L344" t="str">
            <v>Software Developer</v>
          </cell>
        </row>
        <row r="345">
          <cell r="D345">
            <v>2022444658</v>
          </cell>
          <cell r="E345">
            <v>2201010334</v>
          </cell>
          <cell r="F345" t="str">
            <v>B-Tech CSE-VI F</v>
          </cell>
          <cell r="G345" t="str">
            <v>Bachelor of Technology</v>
          </cell>
          <cell r="H345" t="str">
            <v>2022444658.kishan@ug.sharda.ac.in</v>
          </cell>
          <cell r="I345" t="str">
            <v>2022444658.vindhyachalsingh@pt.sharda.ac.in</v>
          </cell>
          <cell r="J345" t="str">
            <v>7081066123</v>
          </cell>
          <cell r="K345" t="str">
            <v>Computer Science</v>
          </cell>
          <cell r="L345" t="str">
            <v>Software Developer</v>
          </cell>
        </row>
        <row r="346">
          <cell r="D346">
            <v>2022540866</v>
          </cell>
          <cell r="E346">
            <v>2201010382</v>
          </cell>
          <cell r="F346" t="str">
            <v>B-Tech CSE-VI F</v>
          </cell>
          <cell r="G346" t="str">
            <v>Bachelor of Technology</v>
          </cell>
          <cell r="H346" t="str">
            <v>2022540866.mohammad@ug.sharda.ac.in</v>
          </cell>
          <cell r="I346" t="str">
            <v>2022540866.reyazahmed@pt.sharda.ac.in</v>
          </cell>
          <cell r="J346" t="str">
            <v>9102569677</v>
          </cell>
          <cell r="K346" t="str">
            <v>Computer Science</v>
          </cell>
          <cell r="L346" t="str">
            <v>Software Developer</v>
          </cell>
        </row>
        <row r="347">
          <cell r="D347">
            <v>2022309654</v>
          </cell>
          <cell r="E347">
            <v>2201010383</v>
          </cell>
          <cell r="F347" t="str">
            <v>B-Tech CSE-VI F</v>
          </cell>
          <cell r="G347" t="str">
            <v>Bachelor of Technology</v>
          </cell>
          <cell r="H347" t="str">
            <v>2022309654.mayank@ug.sharda.ac.in</v>
          </cell>
          <cell r="I347" t="str">
            <v>2022309654.vimal@pt.sharda.ac.in</v>
          </cell>
          <cell r="J347" t="str">
            <v>7644063616</v>
          </cell>
          <cell r="K347" t="str">
            <v>Computer Science</v>
          </cell>
          <cell r="L347" t="str">
            <v>Software Developer</v>
          </cell>
        </row>
        <row r="348">
          <cell r="D348">
            <v>2022505407</v>
          </cell>
          <cell r="E348">
            <v>2201010387</v>
          </cell>
          <cell r="F348" t="str">
            <v>B-Tech CSE-VI F</v>
          </cell>
          <cell r="G348" t="str">
            <v>Bachelor of Technology</v>
          </cell>
          <cell r="H348" t="str">
            <v>2022505407.md@ug.sharda.ac.in</v>
          </cell>
          <cell r="I348" t="str">
            <v>2022505407.mdsayeedul@pt.sharda.ac.in</v>
          </cell>
          <cell r="J348" t="str">
            <v>8986447723</v>
          </cell>
          <cell r="K348" t="str">
            <v>Computer Science</v>
          </cell>
          <cell r="L348" t="str">
            <v>Software Developer</v>
          </cell>
        </row>
        <row r="349">
          <cell r="D349">
            <v>2022836012</v>
          </cell>
          <cell r="E349">
            <v>2201010405</v>
          </cell>
          <cell r="F349" t="str">
            <v>B-Tech CSE-VI F</v>
          </cell>
          <cell r="G349" t="str">
            <v>Bachelor of Technology</v>
          </cell>
          <cell r="H349" t="str">
            <v>2022836012.ruhi@ug.sharda.ac.in</v>
          </cell>
          <cell r="I349" t="str">
            <v>2022836012.arunkumar@pt.sharda.ac.in</v>
          </cell>
          <cell r="J349" t="str">
            <v>91 9279072980</v>
          </cell>
          <cell r="K349" t="str">
            <v>Computer Science</v>
          </cell>
          <cell r="L349" t="str">
            <v>Full Stack Developer(MERN Stack)</v>
          </cell>
        </row>
        <row r="350">
          <cell r="D350">
            <v>2022832103</v>
          </cell>
          <cell r="E350">
            <v>2201010413</v>
          </cell>
          <cell r="F350" t="str">
            <v>B-Tech CSE-VI F</v>
          </cell>
          <cell r="G350" t="str">
            <v>Bachelor of Technology</v>
          </cell>
          <cell r="H350" t="str">
            <v>2022832103.mohammad@ug.sharda.ac.in</v>
          </cell>
          <cell r="I350" t="str">
            <v>2022832103.dilshad@pt.sharda.ac.in</v>
          </cell>
          <cell r="J350" t="str">
            <v>966 504144013</v>
          </cell>
          <cell r="K350" t="str">
            <v>Computer Science</v>
          </cell>
          <cell r="L350" t="e">
            <v>#N/A</v>
          </cell>
        </row>
        <row r="351">
          <cell r="D351">
            <v>2022005063</v>
          </cell>
          <cell r="E351">
            <v>2201010420</v>
          </cell>
          <cell r="F351" t="str">
            <v>B-Tech CSE-VI F</v>
          </cell>
          <cell r="G351" t="str">
            <v>Bachelor of Technology</v>
          </cell>
          <cell r="H351" t="str">
            <v>2022005063.mohd@ug.sharda.ac.in</v>
          </cell>
          <cell r="I351" t="str">
            <v>2022005063.shakeel@pt.sharda.ac.in</v>
          </cell>
          <cell r="J351" t="str">
            <v>8923559251</v>
          </cell>
          <cell r="K351" t="str">
            <v>Computer Science</v>
          </cell>
          <cell r="L351" t="e">
            <v>#N/A</v>
          </cell>
        </row>
        <row r="352">
          <cell r="D352">
            <v>2022447440</v>
          </cell>
          <cell r="E352">
            <v>2201010432</v>
          </cell>
          <cell r="F352" t="str">
            <v>B-Tech CSE-VI F</v>
          </cell>
          <cell r="G352" t="str">
            <v>Bachelor of Technology</v>
          </cell>
          <cell r="H352" t="str">
            <v>2022447440.mohit@ug.sharda.ac.in</v>
          </cell>
          <cell r="I352" t="str">
            <v>2022447440.girijashankar@pt.sharda.ac.in</v>
          </cell>
          <cell r="J352" t="str">
            <v>8319379307</v>
          </cell>
          <cell r="K352" t="str">
            <v>Computer Science</v>
          </cell>
          <cell r="L352" t="e">
            <v>#N/A</v>
          </cell>
        </row>
        <row r="353">
          <cell r="D353">
            <v>2022832236</v>
          </cell>
          <cell r="E353">
            <v>2201010443</v>
          </cell>
          <cell r="F353" t="str">
            <v>B-Tech CSE-VI F</v>
          </cell>
          <cell r="G353" t="str">
            <v>Bachelor of Technology</v>
          </cell>
          <cell r="H353" t="str">
            <v>2022832236.priyanshu@ug.sharda.ac.in</v>
          </cell>
          <cell r="I353" t="str">
            <v>2022832236.binaykumar@pt.sharda.ac.in</v>
          </cell>
          <cell r="J353" t="str">
            <v>91 8384044469</v>
          </cell>
          <cell r="K353" t="str">
            <v>Computer Science</v>
          </cell>
          <cell r="L353" t="str">
            <v>Full Stack Developer(MERN Stack)</v>
          </cell>
        </row>
        <row r="354">
          <cell r="D354">
            <v>2022472832</v>
          </cell>
          <cell r="E354">
            <v>2201010474</v>
          </cell>
          <cell r="F354" t="str">
            <v>B-Tech CSE-VI F</v>
          </cell>
          <cell r="G354" t="str">
            <v>Bachelor of Technology</v>
          </cell>
          <cell r="H354" t="str">
            <v>2022472832.nikita@ug.sharda.ac.in</v>
          </cell>
          <cell r="I354" t="str">
            <v>2022472832.jitendra@pt.sharda.ac.in</v>
          </cell>
          <cell r="J354" t="str">
            <v>9166305081</v>
          </cell>
          <cell r="K354" t="str">
            <v>Computer Science</v>
          </cell>
          <cell r="L354" t="str">
            <v>Software Developer</v>
          </cell>
        </row>
        <row r="355">
          <cell r="D355">
            <v>2022414180</v>
          </cell>
          <cell r="E355">
            <v>2201010476</v>
          </cell>
          <cell r="F355" t="str">
            <v>B-Tech CSE-VI F</v>
          </cell>
          <cell r="G355" t="str">
            <v>Bachelor of Technology</v>
          </cell>
          <cell r="H355" t="str">
            <v>2022414180.nishant@ug.sharda.ac.in</v>
          </cell>
          <cell r="I355" t="str">
            <v>2022414180.oodham@pt.sharda.ac.in</v>
          </cell>
          <cell r="J355" t="str">
            <v>8477002963</v>
          </cell>
          <cell r="K355" t="str">
            <v>Computer Science</v>
          </cell>
          <cell r="L355" t="str">
            <v>Software Developer</v>
          </cell>
        </row>
        <row r="356">
          <cell r="D356">
            <v>2022453096</v>
          </cell>
          <cell r="E356">
            <v>2201010510</v>
          </cell>
          <cell r="F356" t="str">
            <v>B-Tech CSE-VI F</v>
          </cell>
          <cell r="G356" t="str">
            <v>Bachelor of Technology</v>
          </cell>
          <cell r="H356" t="str">
            <v>2022453096.prakhar@ug.sharda.ac.in</v>
          </cell>
          <cell r="I356" t="str">
            <v>2022453096.viplav@pt.sharda.ac.in</v>
          </cell>
          <cell r="J356" t="str">
            <v>8271863383</v>
          </cell>
          <cell r="K356" t="str">
            <v>Computer Science</v>
          </cell>
          <cell r="L356" t="str">
            <v>Full Stack Developer(MERN Stack)</v>
          </cell>
        </row>
        <row r="357">
          <cell r="D357">
            <v>2022528691</v>
          </cell>
          <cell r="E357">
            <v>2201010547</v>
          </cell>
          <cell r="F357" t="str">
            <v>B-Tech CSE-VI F</v>
          </cell>
          <cell r="G357" t="str">
            <v>Bachelor of Technology</v>
          </cell>
          <cell r="H357" t="str">
            <v>2022528691.rahul@ug.sharda.ac.in</v>
          </cell>
          <cell r="I357" t="str">
            <v>2022528691.virendrapratap@pt.sharda.ac.in</v>
          </cell>
          <cell r="J357" t="str">
            <v>7991355789</v>
          </cell>
          <cell r="K357" t="str">
            <v>Computer Science</v>
          </cell>
          <cell r="L357" t="str">
            <v>Software Developer</v>
          </cell>
        </row>
        <row r="358">
          <cell r="D358">
            <v>2022464792</v>
          </cell>
          <cell r="E358">
            <v>2201010557</v>
          </cell>
          <cell r="F358" t="str">
            <v>B-Tech CSE-VI F</v>
          </cell>
          <cell r="G358" t="str">
            <v>Bachelor of Technology</v>
          </cell>
          <cell r="H358" t="str">
            <v>2022464792.rajshree@ug.sharda.ac.in</v>
          </cell>
          <cell r="I358" t="str">
            <v>2022464792.ashish@pt.sharda.ac.in</v>
          </cell>
          <cell r="J358" t="str">
            <v>9205390709</v>
          </cell>
          <cell r="K358" t="str">
            <v>Computer Science</v>
          </cell>
          <cell r="L358" t="str">
            <v>Full Stack Developer(MERN Stack)</v>
          </cell>
        </row>
        <row r="359">
          <cell r="D359">
            <v>2022576883</v>
          </cell>
          <cell r="E359">
            <v>2201010599</v>
          </cell>
          <cell r="F359" t="str">
            <v>B-Tech CSE-VI F</v>
          </cell>
          <cell r="G359" t="str">
            <v>Bachelor of Technology</v>
          </cell>
          <cell r="H359" t="str">
            <v>2022576883.rohit@ug.sharda.ac.in</v>
          </cell>
          <cell r="I359" t="str">
            <v>2022576883.fulkumar@pt.sharda.ac.in</v>
          </cell>
          <cell r="J359" t="str">
            <v>7050298675</v>
          </cell>
          <cell r="K359" t="str">
            <v>Computer Science</v>
          </cell>
          <cell r="L359" t="str">
            <v>Software Developer</v>
          </cell>
        </row>
        <row r="360">
          <cell r="D360">
            <v>2022467393</v>
          </cell>
          <cell r="E360">
            <v>2201010607</v>
          </cell>
          <cell r="F360" t="str">
            <v>B-Tech CSE-VI F</v>
          </cell>
          <cell r="G360" t="str">
            <v>Bachelor of Technology</v>
          </cell>
          <cell r="H360" t="str">
            <v>2022467393.sachin@ug.sharda.ac.in</v>
          </cell>
          <cell r="I360" t="str">
            <v>2022467393.anilkumar@pt.sharda.ac.in</v>
          </cell>
          <cell r="J360" t="str">
            <v>6205854664</v>
          </cell>
          <cell r="K360" t="str">
            <v>Computer Science</v>
          </cell>
          <cell r="L360" t="str">
            <v>Software Developer</v>
          </cell>
        </row>
        <row r="361">
          <cell r="D361">
            <v>2022582528</v>
          </cell>
          <cell r="E361">
            <v>2201010608</v>
          </cell>
          <cell r="F361" t="str">
            <v>B-Tech CSE-VI F</v>
          </cell>
          <cell r="G361" t="str">
            <v>Bachelor of Technology</v>
          </cell>
          <cell r="H361" t="str">
            <v>2022582528.sachin@ug.sharda.ac.in</v>
          </cell>
          <cell r="I361" t="str">
            <v>2022582528.santosh@pt.sharda.ac.in</v>
          </cell>
          <cell r="J361" t="str">
            <v>6204202216</v>
          </cell>
          <cell r="K361" t="str">
            <v>Computer Science</v>
          </cell>
          <cell r="L361" t="str">
            <v>Software Developer</v>
          </cell>
        </row>
        <row r="362">
          <cell r="D362">
            <v>2022501073</v>
          </cell>
          <cell r="E362">
            <v>2201010650</v>
          </cell>
          <cell r="F362" t="str">
            <v>B-Tech CSE-VI F</v>
          </cell>
          <cell r="G362" t="str">
            <v>Bachelor of Technology</v>
          </cell>
          <cell r="H362" t="str">
            <v>2022501073.saurabh@ug.sharda.ac.in</v>
          </cell>
          <cell r="I362" t="str">
            <v>2022501073.rammoorat@pt.sharda.ac.in</v>
          </cell>
          <cell r="J362" t="str">
            <v>6392812854</v>
          </cell>
          <cell r="K362" t="str">
            <v>Computer Science</v>
          </cell>
          <cell r="L362" t="str">
            <v>Software Developer</v>
          </cell>
        </row>
        <row r="363">
          <cell r="D363">
            <v>2022511567</v>
          </cell>
          <cell r="E363">
            <v>2201010701</v>
          </cell>
          <cell r="F363" t="str">
            <v>B-Tech CSE-VI F</v>
          </cell>
          <cell r="G363" t="str">
            <v>Bachelor of Technology</v>
          </cell>
          <cell r="H363" t="str">
            <v>2022511567.sneha@ug.sharda.ac.in</v>
          </cell>
          <cell r="I363" t="str">
            <v>2022511567.paras@pt.sharda.ac.in</v>
          </cell>
          <cell r="J363" t="str">
            <v>9304983303</v>
          </cell>
          <cell r="K363" t="str">
            <v>Computer Science</v>
          </cell>
          <cell r="L363" t="str">
            <v>Full Stack Developer(MERN Stack)</v>
          </cell>
        </row>
        <row r="364">
          <cell r="D364">
            <v>2022006787</v>
          </cell>
          <cell r="E364">
            <v>2201010757</v>
          </cell>
          <cell r="F364" t="str">
            <v>B-Tech CSE-VI F</v>
          </cell>
          <cell r="G364" t="str">
            <v>Bachelor of Technology</v>
          </cell>
          <cell r="H364" t="str">
            <v>2022006787.ujjwal@ug.sharda.ac.in</v>
          </cell>
          <cell r="I364" t="str">
            <v>2022006787.munna@pt.sharda.ac.in</v>
          </cell>
          <cell r="J364" t="str">
            <v>8235368282</v>
          </cell>
          <cell r="K364" t="str">
            <v>Computer Science</v>
          </cell>
          <cell r="L364" t="str">
            <v>Software Developer</v>
          </cell>
        </row>
        <row r="365">
          <cell r="D365">
            <v>2022002769</v>
          </cell>
          <cell r="E365">
            <v>2201010786</v>
          </cell>
          <cell r="F365" t="str">
            <v>B-Tech CSE-VI F</v>
          </cell>
          <cell r="G365" t="str">
            <v>Bachelor of Technology</v>
          </cell>
          <cell r="H365" t="str">
            <v>2022002769.vicky@ug.sharda.ac.in</v>
          </cell>
          <cell r="I365" t="str">
            <v>2022002769.loha@pt.sharda.ac.in</v>
          </cell>
          <cell r="J365" t="str">
            <v>6206528186</v>
          </cell>
          <cell r="K365" t="str">
            <v>Computer Science</v>
          </cell>
          <cell r="L365" t="str">
            <v>Software Developer</v>
          </cell>
        </row>
        <row r="366">
          <cell r="D366">
            <v>2022007111</v>
          </cell>
          <cell r="E366">
            <v>2201010788</v>
          </cell>
          <cell r="F366" t="str">
            <v>B-Tech CSE-VI F</v>
          </cell>
          <cell r="G366" t="str">
            <v>Bachelor of Technology</v>
          </cell>
          <cell r="H366" t="str">
            <v>2022007111.vikas@ug.sharda.ac.in</v>
          </cell>
          <cell r="I366" t="str">
            <v>2022007111.mantosh@pt.sharda.ac.in</v>
          </cell>
          <cell r="J366" t="str">
            <v>9211535436</v>
          </cell>
          <cell r="K366" t="str">
            <v>Computer Science</v>
          </cell>
          <cell r="L366" t="str">
            <v>Software Developer</v>
          </cell>
        </row>
        <row r="367">
          <cell r="D367">
            <v>2022552668</v>
          </cell>
          <cell r="E367">
            <v>2201010794</v>
          </cell>
          <cell r="F367" t="str">
            <v>B-Tech CSE-VI F</v>
          </cell>
          <cell r="G367" t="str">
            <v>Bachelor of Technology</v>
          </cell>
          <cell r="H367" t="str">
            <v>2022552668.vishal@ug.sharda.ac.in</v>
          </cell>
          <cell r="I367" t="str">
            <v>2022552668.pramodkumar@pt.sharda.ac.in</v>
          </cell>
          <cell r="J367" t="str">
            <v>9334859848</v>
          </cell>
          <cell r="K367" t="str">
            <v>Computer Science</v>
          </cell>
          <cell r="L367" t="str">
            <v>Software Developer</v>
          </cell>
        </row>
        <row r="368">
          <cell r="D368">
            <v>2022450179</v>
          </cell>
          <cell r="E368">
            <v>2201010826</v>
          </cell>
          <cell r="F368" t="str">
            <v>B-Tech CSE-VI F</v>
          </cell>
          <cell r="G368" t="str">
            <v>Bachelor of Technology</v>
          </cell>
          <cell r="H368" t="str">
            <v>2022450179.zahabiya@ug.sharda.ac.in</v>
          </cell>
          <cell r="I368" t="str">
            <v>2022450179.abdulhamied@pt.sharda.ac.in</v>
          </cell>
          <cell r="J368" t="str">
            <v>8899667050</v>
          </cell>
          <cell r="K368" t="str">
            <v>Computer Science</v>
          </cell>
          <cell r="L368" t="str">
            <v>Full Stack Developer(Spring Boot)</v>
          </cell>
        </row>
        <row r="369">
          <cell r="D369">
            <v>2022006827</v>
          </cell>
          <cell r="E369">
            <v>2201010832</v>
          </cell>
          <cell r="F369" t="str">
            <v>B-Tech CSE-VI F</v>
          </cell>
          <cell r="G369" t="str">
            <v>Bachelor of Technology</v>
          </cell>
          <cell r="H369" t="str">
            <v>2022006827.nikhil@ug.sharda.ac.in</v>
          </cell>
          <cell r="I369" t="str">
            <v>2022006827.ganesh@pt.sharda.ac.in</v>
          </cell>
          <cell r="J369" t="str">
            <v>7739168024</v>
          </cell>
          <cell r="K369" t="str">
            <v>Computer Science</v>
          </cell>
          <cell r="L369" t="e">
            <v>#N/A</v>
          </cell>
        </row>
        <row r="370">
          <cell r="D370">
            <v>2022006845</v>
          </cell>
          <cell r="E370">
            <v>2201010833</v>
          </cell>
          <cell r="F370" t="str">
            <v>B-Tech CSE-VI F</v>
          </cell>
          <cell r="G370" t="str">
            <v>Bachelor of Technology</v>
          </cell>
          <cell r="H370" t="str">
            <v>2022006845.rajankumar@ug.sharda.ac.in</v>
          </cell>
          <cell r="I370" t="str">
            <v>2022006845.ikleshkumar@pt.sharda.ac.in</v>
          </cell>
          <cell r="J370" t="str">
            <v>9897705302</v>
          </cell>
          <cell r="K370" t="str">
            <v>Computer Science</v>
          </cell>
          <cell r="L370" t="e">
            <v>#N/A</v>
          </cell>
        </row>
        <row r="371">
          <cell r="D371">
            <v>2022007306</v>
          </cell>
          <cell r="E371">
            <v>2201010840</v>
          </cell>
          <cell r="F371" t="str">
            <v>B-Tech CSE-VI F</v>
          </cell>
          <cell r="G371" t="str">
            <v>Bachelor of Technology</v>
          </cell>
          <cell r="H371" t="str">
            <v>2022007306.tarun@ug.sharda.ac.in</v>
          </cell>
          <cell r="I371" t="str">
            <v>2022007306.suresh@pt.sharda.ac.in</v>
          </cell>
          <cell r="J371" t="str">
            <v>8817200009</v>
          </cell>
          <cell r="K371" t="str">
            <v>Computer Science</v>
          </cell>
          <cell r="L371" t="str">
            <v>Full Stack Developer(MERN Stack)</v>
          </cell>
        </row>
        <row r="372">
          <cell r="D372">
            <v>2022007320</v>
          </cell>
          <cell r="E372">
            <v>2201010842</v>
          </cell>
          <cell r="F372" t="str">
            <v>B-Tech CSE-VI F</v>
          </cell>
          <cell r="G372" t="str">
            <v>Bachelor of Technology</v>
          </cell>
          <cell r="H372" t="str">
            <v>2022007320.vishnu@ug.sharda.ac.in</v>
          </cell>
          <cell r="I372" t="str">
            <v>2022007320.santoshkumar@pt.sharda.ac.in</v>
          </cell>
          <cell r="J372" t="str">
            <v>7563084668</v>
          </cell>
          <cell r="K372" t="str">
            <v>Computer Science</v>
          </cell>
          <cell r="L372" t="str">
            <v>Software Developer</v>
          </cell>
        </row>
        <row r="373">
          <cell r="D373">
            <v>2022007323</v>
          </cell>
          <cell r="E373">
            <v>2201010843</v>
          </cell>
          <cell r="F373" t="str">
            <v>B-Tech CSE-VI F</v>
          </cell>
          <cell r="G373" t="str">
            <v>Bachelor of Technology</v>
          </cell>
          <cell r="H373" t="str">
            <v>2022007323.arun@ug.sharda.ac.in</v>
          </cell>
          <cell r="I373" t="str">
            <v>2022007323.shivnath@pt.sharda.ac.in</v>
          </cell>
          <cell r="J373" t="str">
            <v>7838117145</v>
          </cell>
          <cell r="K373" t="str">
            <v>Computer Science</v>
          </cell>
          <cell r="L373" t="str">
            <v>Software Developer</v>
          </cell>
        </row>
        <row r="374">
          <cell r="D374">
            <v>2022007403</v>
          </cell>
          <cell r="E374">
            <v>2201010847</v>
          </cell>
          <cell r="F374" t="str">
            <v>B-Tech CSE-VI F</v>
          </cell>
          <cell r="G374" t="str">
            <v>Bachelor of Technology</v>
          </cell>
          <cell r="H374" t="str">
            <v>2022007403.alok@ug.sharda.ac.in</v>
          </cell>
          <cell r="I374" t="str">
            <v>2022007403.narendrakumar@pt.sharda.ac.in</v>
          </cell>
          <cell r="J374" t="str">
            <v>7042191280</v>
          </cell>
          <cell r="K374" t="str">
            <v>Computer Science</v>
          </cell>
          <cell r="L374" t="str">
            <v>Software Developer</v>
          </cell>
        </row>
        <row r="375">
          <cell r="D375">
            <v>2022007438</v>
          </cell>
          <cell r="E375">
            <v>2201010848</v>
          </cell>
          <cell r="F375" t="str">
            <v>B-Tech CSE-VI F</v>
          </cell>
          <cell r="G375" t="str">
            <v>Bachelor of Technology</v>
          </cell>
          <cell r="H375" t="str">
            <v>2022007438.tanu@ug.sharda.ac.in</v>
          </cell>
          <cell r="I375" t="str">
            <v>2022007438.sandeep@pt.sharda.ac.in</v>
          </cell>
          <cell r="J375" t="str">
            <v>9368983852</v>
          </cell>
          <cell r="K375" t="str">
            <v>Computer Science</v>
          </cell>
          <cell r="L375" t="str">
            <v>Full Stack Developer(MERN Stack)</v>
          </cell>
        </row>
        <row r="376">
          <cell r="D376">
            <v>2022007661</v>
          </cell>
          <cell r="E376">
            <v>2201010855</v>
          </cell>
          <cell r="F376" t="str">
            <v>B-Tech CSE-VI F</v>
          </cell>
          <cell r="G376" t="str">
            <v>Bachelor of Technology</v>
          </cell>
          <cell r="H376" t="str">
            <v>2022007661.aditya@ug.sharda.ac.in</v>
          </cell>
          <cell r="I376" t="str">
            <v>2022007661.narendrakumar@pt.sharda.ac.in</v>
          </cell>
          <cell r="J376" t="str">
            <v>8051118373</v>
          </cell>
          <cell r="K376" t="str">
            <v>Computer Science</v>
          </cell>
          <cell r="L376" t="str">
            <v>Software Developer</v>
          </cell>
        </row>
        <row r="377">
          <cell r="D377">
            <v>2022007718</v>
          </cell>
          <cell r="E377">
            <v>2201010860</v>
          </cell>
          <cell r="F377" t="str">
            <v>B-Tech CSE-VI F</v>
          </cell>
          <cell r="G377" t="str">
            <v>Bachelor of Technology</v>
          </cell>
          <cell r="H377" t="str">
            <v>2022007718.nancy@ug.sharda.ac.in</v>
          </cell>
          <cell r="I377" t="str">
            <v>2022007718.satbir@pt.sharda.ac.in</v>
          </cell>
          <cell r="J377" t="str">
            <v>9034293489</v>
          </cell>
          <cell r="K377" t="str">
            <v>Computer Science</v>
          </cell>
          <cell r="L377" t="str">
            <v>Full Stack Developer(MERN Stack)</v>
          </cell>
        </row>
        <row r="378">
          <cell r="D378">
            <v>2022007786</v>
          </cell>
          <cell r="E378">
            <v>2201010863</v>
          </cell>
          <cell r="F378" t="str">
            <v>B-Tech CSE-VI F</v>
          </cell>
          <cell r="G378" t="str">
            <v>Bachelor of Technology</v>
          </cell>
          <cell r="H378" t="str">
            <v>2022007786.neeti@ug.sharda.ac.in</v>
          </cell>
          <cell r="I378" t="str">
            <v>2022007786.rajesh@pt.sharda.ac.in</v>
          </cell>
          <cell r="J378" t="str">
            <v>8178462808</v>
          </cell>
          <cell r="K378" t="str">
            <v>Computer Science</v>
          </cell>
          <cell r="L378" t="str">
            <v>Software Developer</v>
          </cell>
        </row>
        <row r="379">
          <cell r="D379">
            <v>2022007795</v>
          </cell>
          <cell r="E379">
            <v>2201010865</v>
          </cell>
          <cell r="F379" t="str">
            <v>B-Tech CSE-VI F</v>
          </cell>
          <cell r="G379" t="str">
            <v>Bachelor of Technology</v>
          </cell>
          <cell r="H379" t="str">
            <v>2022007795.hridoy@ug.sharda.ac.in</v>
          </cell>
          <cell r="I379" t="str">
            <v>2022007795.ashim@pt.sharda.ac.in</v>
          </cell>
          <cell r="J379" t="str">
            <v>9903404550</v>
          </cell>
          <cell r="K379" t="str">
            <v>Computer Science</v>
          </cell>
          <cell r="L379" t="str">
            <v>Full Stack Developer(Spring Boot)</v>
          </cell>
        </row>
        <row r="380">
          <cell r="D380">
            <v>2022007819</v>
          </cell>
          <cell r="E380">
            <v>2201010866</v>
          </cell>
          <cell r="F380" t="str">
            <v>B-Tech CSE-VI F</v>
          </cell>
          <cell r="G380" t="str">
            <v>Bachelor of Technology</v>
          </cell>
          <cell r="H380" t="str">
            <v>2022007819.aman@ug.sharda.ac.in</v>
          </cell>
          <cell r="I380" t="str">
            <v>2022007819.ramanand@pt.sharda.ac.in</v>
          </cell>
          <cell r="J380" t="str">
            <v>6299567700</v>
          </cell>
          <cell r="K380" t="str">
            <v>Computer Science</v>
          </cell>
          <cell r="L380" t="str">
            <v>Full Stack Developer(MERN Stack)</v>
          </cell>
        </row>
        <row r="381">
          <cell r="D381">
            <v>2022364256</v>
          </cell>
          <cell r="E381">
            <v>2201010869</v>
          </cell>
          <cell r="F381" t="str">
            <v>B-Tech CSE-VI F</v>
          </cell>
          <cell r="G381" t="str">
            <v>Bachelor of Technology</v>
          </cell>
          <cell r="H381" t="str">
            <v>2022364256.dhananjay@ug.sharda.ac.in</v>
          </cell>
          <cell r="I381" t="str">
            <v>2022364256.mahender@pt.sharda.ac.in</v>
          </cell>
          <cell r="J381" t="str">
            <v>9990700671</v>
          </cell>
          <cell r="K381" t="str">
            <v>Computer Science</v>
          </cell>
          <cell r="L381" t="e">
            <v>#N/A</v>
          </cell>
        </row>
        <row r="382">
          <cell r="D382">
            <v>2022540836</v>
          </cell>
          <cell r="E382">
            <v>2201010879</v>
          </cell>
          <cell r="F382" t="str">
            <v>B-Tech CSE-VI F</v>
          </cell>
          <cell r="G382" t="str">
            <v>Bachelor of Technology</v>
          </cell>
          <cell r="H382" t="str">
            <v>2022540836.unnati@ug.sharda.ac.in</v>
          </cell>
          <cell r="I382" t="str">
            <v>2022540836.pratapsingh@pt.sharda.ac.in</v>
          </cell>
          <cell r="J382" t="str">
            <v>7017833594</v>
          </cell>
          <cell r="K382" t="str">
            <v>Computer Science</v>
          </cell>
          <cell r="L382" t="e">
            <v>#N/A</v>
          </cell>
        </row>
        <row r="383">
          <cell r="D383">
            <v>2022555807</v>
          </cell>
          <cell r="E383">
            <v>2201010881</v>
          </cell>
          <cell r="F383" t="str">
            <v>B-Tech CSE-VI F</v>
          </cell>
          <cell r="G383" t="str">
            <v>Bachelor of Technology</v>
          </cell>
          <cell r="H383" t="str">
            <v>2022555807.ayush@ug.sharda.ac.in</v>
          </cell>
          <cell r="I383" t="str">
            <v>2022555807.ajay@pt.sharda.ac.in</v>
          </cell>
          <cell r="J383" t="str">
            <v>6204870834</v>
          </cell>
          <cell r="K383" t="str">
            <v>Computer Science</v>
          </cell>
          <cell r="L383" t="str">
            <v>Software Developer</v>
          </cell>
        </row>
        <row r="384">
          <cell r="D384">
            <v>2022594458</v>
          </cell>
          <cell r="E384">
            <v>2201010892</v>
          </cell>
          <cell r="F384" t="str">
            <v>B-Tech CSE-VI F</v>
          </cell>
          <cell r="G384" t="str">
            <v>Bachelor of Technology</v>
          </cell>
          <cell r="H384" t="str">
            <v>2022594458.gautam@ug.sharda.ac.in</v>
          </cell>
          <cell r="I384" t="str">
            <v>2022594458.nirajkumar@pt.sharda.ac.in</v>
          </cell>
          <cell r="J384" t="str">
            <v>6201156707</v>
          </cell>
          <cell r="K384" t="str">
            <v>Computer Science</v>
          </cell>
          <cell r="L384" t="e">
            <v>#N/A</v>
          </cell>
        </row>
        <row r="385">
          <cell r="D385">
            <v>2022604034</v>
          </cell>
          <cell r="E385">
            <v>2201010895</v>
          </cell>
          <cell r="F385" t="str">
            <v>B-Tech CSE-VI F</v>
          </cell>
          <cell r="G385" t="str">
            <v>Bachelor of Technology</v>
          </cell>
          <cell r="H385" t="str">
            <v>2022604034.harsh@ug.sharda.ac.in</v>
          </cell>
          <cell r="I385" t="str">
            <v>2022604034.manoj@pt.sharda.ac.in</v>
          </cell>
          <cell r="J385" t="str">
            <v>9368580206</v>
          </cell>
          <cell r="K385" t="str">
            <v>Computer Science</v>
          </cell>
          <cell r="L385" t="str">
            <v>Software Developer</v>
          </cell>
        </row>
        <row r="386">
          <cell r="D386">
            <v>2022610409</v>
          </cell>
          <cell r="E386">
            <v>2201010900</v>
          </cell>
          <cell r="F386" t="str">
            <v>B-Tech CSE-VI F</v>
          </cell>
          <cell r="G386" t="str">
            <v>Bachelor of Technology</v>
          </cell>
          <cell r="H386" t="str">
            <v>2022610409.shivam@ug.sharda.ac.in</v>
          </cell>
          <cell r="I386" t="str">
            <v>2022610409.ramesh@pt.sharda.ac.in</v>
          </cell>
          <cell r="J386" t="str">
            <v>7974011350</v>
          </cell>
          <cell r="K386" t="str">
            <v>Computer Science</v>
          </cell>
          <cell r="L386" t="str">
            <v>Software Developer</v>
          </cell>
        </row>
        <row r="387">
          <cell r="D387">
            <v>2022835895</v>
          </cell>
          <cell r="E387">
            <v>2201010910</v>
          </cell>
          <cell r="F387" t="str">
            <v>B-Tech CSE-VI F</v>
          </cell>
          <cell r="G387" t="str">
            <v>Bachelor of Technology</v>
          </cell>
          <cell r="H387" t="str">
            <v>2022835895.pranyush@ug.sharda.ac.in</v>
          </cell>
          <cell r="I387" t="str">
            <v>2022835895.pashupati@pt.sharda.ac.in</v>
          </cell>
          <cell r="J387" t="str">
            <v>91 8084332903</v>
          </cell>
          <cell r="K387" t="str">
            <v>Computer Science</v>
          </cell>
          <cell r="L387" t="str">
            <v>Full Stack Developer(MERN Stack)</v>
          </cell>
        </row>
        <row r="388">
          <cell r="D388">
            <v>2023503067</v>
          </cell>
          <cell r="E388">
            <v>2301017006</v>
          </cell>
          <cell r="F388" t="str">
            <v>B-Tech CSE-VI F</v>
          </cell>
          <cell r="G388" t="str">
            <v>Bachelor of Technology</v>
          </cell>
          <cell r="H388" t="str">
            <v>2023503067.chulbul@ug.sharda.ac.in</v>
          </cell>
          <cell r="I388" t="str">
            <v>2023503067.pratyush@pt.sharda.ac.in</v>
          </cell>
          <cell r="J388" t="str">
            <v>7683936276</v>
          </cell>
          <cell r="K388" t="str">
            <v>Computer Science</v>
          </cell>
          <cell r="L388" t="str">
            <v>Cloud Engineer</v>
          </cell>
        </row>
        <row r="389">
          <cell r="D389">
            <v>2021316862</v>
          </cell>
          <cell r="E389">
            <v>210101007</v>
          </cell>
          <cell r="F389" t="str">
            <v>B-Tech CSE-VI G</v>
          </cell>
          <cell r="G389" t="str">
            <v>Bachelor of Technology</v>
          </cell>
          <cell r="H389" t="str">
            <v>2021316862.aaron@ug.sharda.ac.in</v>
          </cell>
          <cell r="I389" t="str">
            <v>2021316862.moses@pt.sharda.ac.in</v>
          </cell>
          <cell r="J389" t="str">
            <v>8630390567</v>
          </cell>
          <cell r="K389" t="str">
            <v>Computer Science</v>
          </cell>
          <cell r="L389" t="e">
            <v>#N/A</v>
          </cell>
        </row>
        <row r="390">
          <cell r="D390">
            <v>2021301933</v>
          </cell>
          <cell r="E390">
            <v>210101058</v>
          </cell>
          <cell r="F390" t="str">
            <v>B-Tech CSE-VI G</v>
          </cell>
          <cell r="G390" t="str">
            <v>Bachelor of Technology</v>
          </cell>
          <cell r="H390" t="str">
            <v>2021301933.amaan@ug.sharda.ac.in</v>
          </cell>
          <cell r="I390" t="str">
            <v>2021301933.sajadhussain@pt.sharda.ac.in</v>
          </cell>
          <cell r="J390" t="str">
            <v>8899972039</v>
          </cell>
          <cell r="K390" t="str">
            <v>Computer Science</v>
          </cell>
          <cell r="L390" t="e">
            <v>#N/A</v>
          </cell>
        </row>
        <row r="391">
          <cell r="D391">
            <v>2021373068</v>
          </cell>
          <cell r="E391">
            <v>210101077</v>
          </cell>
          <cell r="F391" t="str">
            <v>B-Tech CSE-VI G</v>
          </cell>
          <cell r="G391" t="str">
            <v>Bachelor of Technology</v>
          </cell>
          <cell r="H391" t="str">
            <v>2021373068.anil@ug.sharda.ac.in</v>
          </cell>
          <cell r="I391" t="str">
            <v>2021373068.dharmbir@pt.sharda.ac.in</v>
          </cell>
          <cell r="J391" t="str">
            <v>9991288569</v>
          </cell>
          <cell r="K391" t="str">
            <v>Computer Science</v>
          </cell>
          <cell r="L391" t="e">
            <v>#N/A</v>
          </cell>
        </row>
        <row r="392">
          <cell r="D392">
            <v>2021396844</v>
          </cell>
          <cell r="E392">
            <v>210101170</v>
          </cell>
          <cell r="F392" t="str">
            <v>B-Tech CSE-VI G</v>
          </cell>
          <cell r="G392" t="str">
            <v>Bachelor of Technology</v>
          </cell>
          <cell r="H392" t="str">
            <v>2021396844.dharam@ug.sharda.ac.in</v>
          </cell>
          <cell r="I392" t="str">
            <v>2021396844.rodas@pt.sharda.ac.in</v>
          </cell>
          <cell r="J392" t="str">
            <v>8630448878</v>
          </cell>
          <cell r="K392" t="str">
            <v>Computer Science</v>
          </cell>
          <cell r="L392" t="e">
            <v>#N/A</v>
          </cell>
        </row>
        <row r="393">
          <cell r="D393">
            <v>2021447448</v>
          </cell>
          <cell r="E393">
            <v>210101223</v>
          </cell>
          <cell r="F393" t="str">
            <v>B-Tech CSE-VI G</v>
          </cell>
          <cell r="G393" t="str">
            <v>Bachelor of Technology</v>
          </cell>
          <cell r="H393" t="str">
            <v>2021447448.ishaan@ug.sharda.ac.in</v>
          </cell>
          <cell r="I393" t="str">
            <v>2021447448.yashwant@pt.sharda.ac.in</v>
          </cell>
          <cell r="J393" t="str">
            <v>8368539536</v>
          </cell>
          <cell r="K393" t="str">
            <v>Computer Science</v>
          </cell>
          <cell r="L393" t="e">
            <v>#N/A</v>
          </cell>
        </row>
        <row r="394">
          <cell r="D394">
            <v>2021428834</v>
          </cell>
          <cell r="E394">
            <v>210101239</v>
          </cell>
          <cell r="F394" t="str">
            <v>B-Tech CSE-VI G</v>
          </cell>
          <cell r="G394" t="str">
            <v>Bachelor of Technology</v>
          </cell>
          <cell r="H394" t="str">
            <v>2021428834.kartik@ug.sharda.ac.in</v>
          </cell>
          <cell r="I394" t="str">
            <v>2021428834.pawan@pt.sharda.ac.in</v>
          </cell>
          <cell r="J394" t="str">
            <v>9012402604</v>
          </cell>
          <cell r="K394" t="str">
            <v>Computer Science</v>
          </cell>
          <cell r="L394" t="e">
            <v>#N/A</v>
          </cell>
        </row>
        <row r="395">
          <cell r="D395">
            <v>2021446146</v>
          </cell>
          <cell r="E395">
            <v>210101241</v>
          </cell>
          <cell r="F395" t="str">
            <v>B-Tech CSE-VI G</v>
          </cell>
          <cell r="G395" t="str">
            <v>Bachelor of Technology</v>
          </cell>
          <cell r="H395" t="str">
            <v>2021446146.kavi@ug.sharda.ac.in</v>
          </cell>
          <cell r="I395" t="str">
            <v>2021446146.satish@pt.sharda.ac.in</v>
          </cell>
          <cell r="J395" t="str">
            <v>8860341621</v>
          </cell>
          <cell r="K395" t="str">
            <v>Computer Science</v>
          </cell>
          <cell r="L395" t="e">
            <v>#N/A</v>
          </cell>
        </row>
        <row r="396">
          <cell r="D396">
            <v>2021474998</v>
          </cell>
          <cell r="E396">
            <v>210101366</v>
          </cell>
          <cell r="F396" t="str">
            <v>B-Tech CSE-VI G</v>
          </cell>
          <cell r="G396" t="str">
            <v>Bachelor of Technology</v>
          </cell>
          <cell r="H396" t="str">
            <v>2021474998.preetish@ug.sharda.ac.in</v>
          </cell>
          <cell r="I396" t="str">
            <v>2021474998.shantanu@pt.sharda.ac.in</v>
          </cell>
          <cell r="J396" t="str">
            <v>6204449635</v>
          </cell>
          <cell r="K396" t="str">
            <v>Computer Science</v>
          </cell>
          <cell r="L396" t="e">
            <v>#N/A</v>
          </cell>
        </row>
        <row r="397">
          <cell r="D397">
            <v>2021300643</v>
          </cell>
          <cell r="E397">
            <v>210101393</v>
          </cell>
          <cell r="F397" t="str">
            <v>B-Tech CSE-VI G</v>
          </cell>
          <cell r="G397" t="str">
            <v>Bachelor of Technology</v>
          </cell>
          <cell r="H397" t="str">
            <v>2021300643.rishabh@ug.sharda.ac.in</v>
          </cell>
          <cell r="I397" t="str">
            <v>2021300643.dharmendrasingh@pt.sharda.ac.in</v>
          </cell>
          <cell r="J397" t="str">
            <v>9743728086</v>
          </cell>
          <cell r="K397" t="str">
            <v>Computer Science</v>
          </cell>
          <cell r="L397" t="e">
            <v>#N/A</v>
          </cell>
        </row>
        <row r="398">
          <cell r="D398">
            <v>2021361239</v>
          </cell>
          <cell r="E398">
            <v>210101480</v>
          </cell>
          <cell r="F398" t="str">
            <v>B-Tech CSE-VI G</v>
          </cell>
          <cell r="G398" t="str">
            <v>Bachelor of Technology</v>
          </cell>
          <cell r="H398" t="str">
            <v>2021361239.shubh@ug.sharda.ac.in</v>
          </cell>
          <cell r="I398" t="str">
            <v>2021361239.virendra@pt.sharda.ac.in</v>
          </cell>
          <cell r="J398" t="str">
            <v>8299431338</v>
          </cell>
          <cell r="K398" t="str">
            <v>Computer Science</v>
          </cell>
          <cell r="L398" t="e">
            <v>#N/A</v>
          </cell>
        </row>
        <row r="399">
          <cell r="D399">
            <v>2022002562</v>
          </cell>
          <cell r="E399">
            <v>2201010041</v>
          </cell>
          <cell r="F399" t="str">
            <v>B-Tech CSE-VI G</v>
          </cell>
          <cell r="G399" t="str">
            <v>Bachelor of Technology</v>
          </cell>
          <cell r="H399" t="str">
            <v>2022002562.aditya@ug.sharda.ac.in</v>
          </cell>
          <cell r="I399" t="str">
            <v>2022002562.jayprakash@pt.sharda.ac.in</v>
          </cell>
          <cell r="J399" t="str">
            <v>8434107666</v>
          </cell>
          <cell r="K399" t="str">
            <v>Computer Science</v>
          </cell>
          <cell r="L399" t="str">
            <v>Full Stack Developer(Spring Boot)</v>
          </cell>
        </row>
        <row r="400">
          <cell r="D400">
            <v>2022439077</v>
          </cell>
          <cell r="E400">
            <v>2201010048</v>
          </cell>
          <cell r="F400" t="str">
            <v>B-Tech CSE-VI G</v>
          </cell>
          <cell r="G400" t="str">
            <v>Bachelor of Technology</v>
          </cell>
          <cell r="H400" t="str">
            <v>2022439077.aditya@ug.sharda.ac.in</v>
          </cell>
          <cell r="I400" t="str">
            <v>2022439077.ramakant@pt.sharda.ac.in</v>
          </cell>
          <cell r="J400" t="str">
            <v>9693396195</v>
          </cell>
          <cell r="K400" t="str">
            <v>Computer Science</v>
          </cell>
          <cell r="L400" t="str">
            <v>Cyber Security Analyst</v>
          </cell>
        </row>
        <row r="401">
          <cell r="D401">
            <v>2022005321</v>
          </cell>
          <cell r="E401">
            <v>2201010051</v>
          </cell>
          <cell r="F401" t="str">
            <v>B-Tech CSE-VI G</v>
          </cell>
          <cell r="G401" t="str">
            <v>Bachelor of Technology</v>
          </cell>
          <cell r="H401" t="str">
            <v>2022005321.aditya@ug.sharda.ac.in</v>
          </cell>
          <cell r="I401" t="str">
            <v>2022005321.jitendrakumar@pt.sharda.ac.in</v>
          </cell>
          <cell r="J401" t="str">
            <v>9625310230</v>
          </cell>
          <cell r="K401" t="str">
            <v>Computer Science</v>
          </cell>
          <cell r="L401" t="str">
            <v>Software Developer</v>
          </cell>
        </row>
        <row r="402">
          <cell r="D402">
            <v>2022526282</v>
          </cell>
          <cell r="E402">
            <v>2201010053</v>
          </cell>
          <cell r="F402" t="str">
            <v>B-Tech CSE-VI G</v>
          </cell>
          <cell r="G402" t="str">
            <v>Bachelor of Technology</v>
          </cell>
          <cell r="H402" t="str">
            <v>2022526282.aditya@ug.sharda.ac.in</v>
          </cell>
          <cell r="I402" t="str">
            <v>2022526282.sunil@pt.sharda.ac.in</v>
          </cell>
          <cell r="J402" t="str">
            <v>6393992008</v>
          </cell>
          <cell r="K402" t="str">
            <v>Computer Science</v>
          </cell>
          <cell r="L402" t="str">
            <v>Full Stack Developer(Spring Boot)</v>
          </cell>
        </row>
        <row r="403">
          <cell r="D403">
            <v>2022484684</v>
          </cell>
          <cell r="E403">
            <v>2201010056</v>
          </cell>
          <cell r="F403" t="str">
            <v>B-Tech CSE-VI G</v>
          </cell>
          <cell r="G403" t="str">
            <v>Bachelor of Technology</v>
          </cell>
          <cell r="H403" t="str">
            <v>2022484684.aiyaan@ug.sharda.ac.in</v>
          </cell>
          <cell r="I403" t="str">
            <v>2022484684.mohammad@pt.sharda.ac.in</v>
          </cell>
          <cell r="J403" t="str">
            <v>7840080567</v>
          </cell>
          <cell r="K403" t="str">
            <v>Computer Science</v>
          </cell>
          <cell r="L403" t="str">
            <v>Full Stack Developer(Spring Boot)</v>
          </cell>
        </row>
        <row r="404">
          <cell r="D404">
            <v>2022473379</v>
          </cell>
          <cell r="E404">
            <v>2201010070</v>
          </cell>
          <cell r="F404" t="str">
            <v>B-Tech CSE-VI G</v>
          </cell>
          <cell r="G404" t="str">
            <v>Bachelor of Technology</v>
          </cell>
          <cell r="H404" t="str">
            <v>2022473379.alfi@ug.sharda.ac.in</v>
          </cell>
          <cell r="I404" t="str">
            <v>2022473379.firoz@pt.sharda.ac.in</v>
          </cell>
          <cell r="J404" t="str">
            <v>9031242786</v>
          </cell>
          <cell r="K404" t="str">
            <v>Computer Science</v>
          </cell>
          <cell r="L404" t="str">
            <v>Software Developer</v>
          </cell>
        </row>
        <row r="405">
          <cell r="D405">
            <v>2022003597</v>
          </cell>
          <cell r="E405">
            <v>2201010086</v>
          </cell>
          <cell r="F405" t="str">
            <v>B-Tech CSE-VI G</v>
          </cell>
          <cell r="G405" t="str">
            <v>Bachelor of Technology</v>
          </cell>
          <cell r="H405" t="str">
            <v>2022003597.aniruddh@ug.sharda.ac.in</v>
          </cell>
          <cell r="I405" t="str">
            <v>2022003597.avdheshkumar@pt.sharda.ac.in</v>
          </cell>
          <cell r="J405" t="str">
            <v>9411419825</v>
          </cell>
          <cell r="K405" t="str">
            <v>Computer Science</v>
          </cell>
          <cell r="L405" t="str">
            <v>Software Developer</v>
          </cell>
        </row>
        <row r="406">
          <cell r="D406">
            <v>2022434676</v>
          </cell>
          <cell r="E406">
            <v>2201010091</v>
          </cell>
          <cell r="F406" t="str">
            <v>B-Tech CSE-VI G</v>
          </cell>
          <cell r="G406" t="str">
            <v>Bachelor of Technology</v>
          </cell>
          <cell r="H406" t="str">
            <v>2022434676.anjani@ug.sharda.ac.in</v>
          </cell>
          <cell r="I406" t="str">
            <v>2022434676.vishwanath@pt.sharda.ac.in</v>
          </cell>
          <cell r="J406" t="str">
            <v>9835339700</v>
          </cell>
          <cell r="K406" t="str">
            <v>Computer Science</v>
          </cell>
          <cell r="L406" t="str">
            <v>Full Stack Developer(Spring Boot)</v>
          </cell>
        </row>
        <row r="407">
          <cell r="D407">
            <v>2022006171</v>
          </cell>
          <cell r="E407">
            <v>2201010101</v>
          </cell>
          <cell r="F407" t="str">
            <v>B-Tech CSE-VI G</v>
          </cell>
          <cell r="G407" t="str">
            <v>Bachelor of Technology</v>
          </cell>
          <cell r="H407" t="str">
            <v>2022006171.anshika@ug.sharda.ac.in</v>
          </cell>
          <cell r="I407" t="str">
            <v>2022006171.anuj@pt.sharda.ac.in</v>
          </cell>
          <cell r="J407" t="str">
            <v>8368460852</v>
          </cell>
          <cell r="K407" t="str">
            <v>Computer Science</v>
          </cell>
          <cell r="L407" t="str">
            <v>Software Developer</v>
          </cell>
        </row>
        <row r="408">
          <cell r="D408">
            <v>2022004609</v>
          </cell>
          <cell r="E408">
            <v>2201010110</v>
          </cell>
          <cell r="F408" t="str">
            <v>B-Tech CSE-VI G</v>
          </cell>
          <cell r="G408" t="str">
            <v>Bachelor of Technology</v>
          </cell>
          <cell r="H408" t="str">
            <v>2022004609.anuj@ug.sharda.ac.in</v>
          </cell>
          <cell r="I408" t="str">
            <v>2022004609.khyalsingh@pt.sharda.ac.in</v>
          </cell>
          <cell r="J408" t="str">
            <v>8851283033</v>
          </cell>
          <cell r="K408" t="str">
            <v>Computer Science</v>
          </cell>
          <cell r="L408" t="str">
            <v>Full Stack Developer(Spring Boot)</v>
          </cell>
        </row>
        <row r="409">
          <cell r="D409">
            <v>2022502414</v>
          </cell>
          <cell r="E409">
            <v>2201010132</v>
          </cell>
          <cell r="F409" t="str">
            <v>B-Tech CSE-VI G</v>
          </cell>
          <cell r="G409" t="str">
            <v>Bachelor of Technology</v>
          </cell>
          <cell r="H409" t="str">
            <v>2022502414.arun@ug.sharda.ac.in</v>
          </cell>
          <cell r="I409" t="str">
            <v>2022502414.vijay@pt.sharda.ac.in</v>
          </cell>
          <cell r="J409" t="str">
            <v>8850205691</v>
          </cell>
          <cell r="K409" t="str">
            <v>Computer Science</v>
          </cell>
          <cell r="L409" t="str">
            <v>Software Developer</v>
          </cell>
        </row>
        <row r="410">
          <cell r="D410">
            <v>2022329124</v>
          </cell>
          <cell r="E410">
            <v>2201010138</v>
          </cell>
          <cell r="F410" t="str">
            <v>B-Tech CSE-VI G</v>
          </cell>
          <cell r="G410" t="str">
            <v>Bachelor of Technology</v>
          </cell>
          <cell r="H410" t="str">
            <v>2022329124.aryan@ug.sharda.ac.in</v>
          </cell>
          <cell r="I410" t="str">
            <v>2022329124.satendra@pt.sharda.ac.in</v>
          </cell>
          <cell r="J410" t="str">
            <v>8755465044</v>
          </cell>
          <cell r="K410" t="str">
            <v>Computer Science</v>
          </cell>
          <cell r="L410" t="str">
            <v>Software Developer</v>
          </cell>
        </row>
        <row r="411">
          <cell r="D411">
            <v>2022395305</v>
          </cell>
          <cell r="E411">
            <v>2201010140</v>
          </cell>
          <cell r="F411" t="str">
            <v>B-Tech CSE-VI G</v>
          </cell>
          <cell r="G411" t="str">
            <v>Bachelor of Technology</v>
          </cell>
          <cell r="H411" t="str">
            <v>2022395305.aryan@ug.sharda.ac.in</v>
          </cell>
          <cell r="I411" t="str">
            <v>2022395305.rajnish@pt.sharda.ac.in</v>
          </cell>
          <cell r="J411" t="str">
            <v>9289575803</v>
          </cell>
          <cell r="K411" t="str">
            <v>Computer Science</v>
          </cell>
          <cell r="L411" t="str">
            <v>Full Stack Developer(Spring Boot)</v>
          </cell>
        </row>
        <row r="412">
          <cell r="D412">
            <v>2022386541</v>
          </cell>
          <cell r="E412">
            <v>2201010141</v>
          </cell>
          <cell r="F412" t="str">
            <v>B-Tech CSE-VI G</v>
          </cell>
          <cell r="G412" t="str">
            <v>Bachelor of Technology</v>
          </cell>
          <cell r="H412" t="str">
            <v>2022386541.aryan@ug.sharda.ac.in</v>
          </cell>
          <cell r="I412" t="str">
            <v>2022386541.brahma@pt.sharda.ac.in</v>
          </cell>
          <cell r="J412" t="str">
            <v>8737099769</v>
          </cell>
          <cell r="K412" t="str">
            <v>Computer Science</v>
          </cell>
          <cell r="L412" t="str">
            <v>Full Stack Developer(Spring Boot)</v>
          </cell>
        </row>
        <row r="413">
          <cell r="D413">
            <v>2022557408</v>
          </cell>
          <cell r="E413">
            <v>2201010176</v>
          </cell>
          <cell r="F413" t="str">
            <v>B-Tech CSE-VI G</v>
          </cell>
          <cell r="G413" t="str">
            <v>Bachelor of Technology</v>
          </cell>
          <cell r="H413" t="str">
            <v>2022557408.bharat@ug.sharda.ac.in</v>
          </cell>
          <cell r="I413" t="str">
            <v>2022557408.shri@pt.sharda.ac.in</v>
          </cell>
          <cell r="J413" t="str">
            <v>9999771597</v>
          </cell>
          <cell r="K413" t="str">
            <v>Computer Science</v>
          </cell>
          <cell r="L413" t="e">
            <v>#N/A</v>
          </cell>
        </row>
        <row r="414">
          <cell r="D414">
            <v>2022535159</v>
          </cell>
          <cell r="E414">
            <v>2201010197</v>
          </cell>
          <cell r="F414" t="str">
            <v>B-Tech CSE-VI G</v>
          </cell>
          <cell r="G414" t="str">
            <v>Bachelor of Technology</v>
          </cell>
          <cell r="H414" t="str">
            <v>2022535159.daksh@ug.sharda.ac.in</v>
          </cell>
          <cell r="I414" t="str">
            <v>2022535159.pawankumar@pt.sharda.ac.in</v>
          </cell>
          <cell r="J414" t="str">
            <v>9812003005</v>
          </cell>
          <cell r="K414" t="str">
            <v>Computer Science</v>
          </cell>
          <cell r="L414" t="str">
            <v>Software Developer</v>
          </cell>
        </row>
        <row r="415">
          <cell r="D415">
            <v>2022429052</v>
          </cell>
          <cell r="E415">
            <v>2201010207</v>
          </cell>
          <cell r="F415" t="str">
            <v>B-Tech CSE-VI G</v>
          </cell>
          <cell r="G415" t="str">
            <v>Bachelor of Technology</v>
          </cell>
          <cell r="H415" t="str">
            <v>2022429052.deependra@ug.sharda.ac.in</v>
          </cell>
          <cell r="I415" t="str">
            <v>2022429052.indal@pt.sharda.ac.in</v>
          </cell>
          <cell r="J415" t="str">
            <v>9151344811</v>
          </cell>
          <cell r="K415" t="str">
            <v>Computer Science</v>
          </cell>
          <cell r="L415" t="str">
            <v>Software Developer</v>
          </cell>
        </row>
        <row r="416">
          <cell r="D416">
            <v>2022003043</v>
          </cell>
          <cell r="E416">
            <v>2201010209</v>
          </cell>
          <cell r="F416" t="str">
            <v>B-Tech CSE-VI G</v>
          </cell>
          <cell r="G416" t="str">
            <v>Bachelor of Technology</v>
          </cell>
          <cell r="H416" t="str">
            <v>2022003043.devansh@ug.sharda.ac.in</v>
          </cell>
          <cell r="I416" t="str">
            <v>2022003043.mantreshwar@pt.sharda.ac.in</v>
          </cell>
          <cell r="J416" t="str">
            <v>8630225086</v>
          </cell>
          <cell r="K416" t="str">
            <v>Computer Science</v>
          </cell>
          <cell r="L416" t="str">
            <v>Software Developer</v>
          </cell>
        </row>
        <row r="417">
          <cell r="D417">
            <v>2022330872</v>
          </cell>
          <cell r="E417">
            <v>2201010220</v>
          </cell>
          <cell r="F417" t="str">
            <v>B-Tech CSE-VI G</v>
          </cell>
          <cell r="G417" t="str">
            <v>Bachelor of Technology</v>
          </cell>
          <cell r="H417" t="str">
            <v>2022330872.dibyanshu@ug.sharda.ac.in</v>
          </cell>
          <cell r="I417" t="str">
            <v>2022330872.nanigopal@pt.sharda.ac.in</v>
          </cell>
          <cell r="J417" t="str">
            <v>9583532701</v>
          </cell>
          <cell r="K417" t="str">
            <v>Computer Science</v>
          </cell>
          <cell r="L417" t="str">
            <v>Full Stack Developer(Spring Boot)</v>
          </cell>
        </row>
        <row r="418">
          <cell r="D418">
            <v>2022511372</v>
          </cell>
          <cell r="E418">
            <v>2201010225</v>
          </cell>
          <cell r="F418" t="str">
            <v>B-Tech CSE-VI G</v>
          </cell>
          <cell r="G418" t="str">
            <v>Bachelor of Technology</v>
          </cell>
          <cell r="H418" t="str">
            <v>2022511372.divyani@ug.sharda.ac.in</v>
          </cell>
          <cell r="I418" t="str">
            <v>2022511372.sukhraj@pt.sharda.ac.in</v>
          </cell>
          <cell r="J418" t="str">
            <v>7380553501</v>
          </cell>
          <cell r="K418" t="str">
            <v>Computer Science</v>
          </cell>
          <cell r="L418" t="str">
            <v>Software Developer</v>
          </cell>
        </row>
        <row r="419">
          <cell r="D419">
            <v>2022470752</v>
          </cell>
          <cell r="E419">
            <v>2201010235</v>
          </cell>
          <cell r="F419" t="str">
            <v>B-Tech CSE-VI G</v>
          </cell>
          <cell r="G419" t="str">
            <v>Bachelor of Technology</v>
          </cell>
          <cell r="H419" t="str">
            <v>2022470752.fahad@ug.sharda.ac.in</v>
          </cell>
          <cell r="I419" t="str">
            <v>2022470752.ekhlaque@pt.sharda.ac.in</v>
          </cell>
          <cell r="J419" t="str">
            <v>8076579399</v>
          </cell>
          <cell r="K419" t="str">
            <v>Computer Science</v>
          </cell>
          <cell r="L419" t="str">
            <v>Full Stack Developer(Spring Boot)</v>
          </cell>
        </row>
        <row r="420">
          <cell r="D420">
            <v>2022505448</v>
          </cell>
          <cell r="E420">
            <v>2201010283</v>
          </cell>
          <cell r="F420" t="str">
            <v>B-Tech CSE-VI G</v>
          </cell>
          <cell r="G420" t="str">
            <v>Bachelor of Technology</v>
          </cell>
          <cell r="H420" t="str">
            <v>2022505448.harshvardhan@ug.sharda.ac.in</v>
          </cell>
          <cell r="I420" t="str">
            <v>2022505448.shreekant@pt.sharda.ac.in</v>
          </cell>
          <cell r="J420" t="str">
            <v>7017959380</v>
          </cell>
          <cell r="K420" t="str">
            <v>Computer Science</v>
          </cell>
          <cell r="L420" t="str">
            <v>Data Scientist</v>
          </cell>
        </row>
        <row r="421">
          <cell r="D421">
            <v>2022458909</v>
          </cell>
          <cell r="E421">
            <v>2201010311</v>
          </cell>
          <cell r="F421" t="str">
            <v>B-Tech CSE-VI G</v>
          </cell>
          <cell r="G421" t="str">
            <v>Bachelor of Technology</v>
          </cell>
          <cell r="H421" t="str">
            <v>2022458909.junaid@ug.sharda.ac.in</v>
          </cell>
          <cell r="I421" t="str">
            <v>2022458909.basaad@pt.sharda.ac.in</v>
          </cell>
          <cell r="J421" t="str">
            <v>9910068444</v>
          </cell>
          <cell r="K421" t="str">
            <v>Computer Science</v>
          </cell>
          <cell r="L421" t="str">
            <v>Software Developer</v>
          </cell>
        </row>
        <row r="422">
          <cell r="D422">
            <v>2022002824</v>
          </cell>
          <cell r="E422">
            <v>2201010327</v>
          </cell>
          <cell r="F422" t="str">
            <v>B-Tech CSE-VI G</v>
          </cell>
          <cell r="G422" t="str">
            <v>Bachelor of Technology</v>
          </cell>
          <cell r="H422" t="str">
            <v>2022002824.keshav@ug.sharda.ac.in</v>
          </cell>
          <cell r="I422" t="str">
            <v>2022002824.krishan@pt.sharda.ac.in</v>
          </cell>
          <cell r="J422" t="str">
            <v>7011620274</v>
          </cell>
          <cell r="K422" t="str">
            <v>Computer Science</v>
          </cell>
          <cell r="L422" t="str">
            <v>Machine Learning Engineer</v>
          </cell>
        </row>
        <row r="423">
          <cell r="D423">
            <v>2022436300</v>
          </cell>
          <cell r="E423">
            <v>2201010356</v>
          </cell>
          <cell r="F423" t="str">
            <v>B-Tech CSE-VI G</v>
          </cell>
          <cell r="G423" t="str">
            <v>Bachelor of Technology</v>
          </cell>
          <cell r="H423" t="str">
            <v>2022436300.lakshya@ug.sharda.ac.in</v>
          </cell>
          <cell r="I423" t="str">
            <v>2022436300.bharat@pt.sharda.ac.in</v>
          </cell>
          <cell r="J423" t="str">
            <v>8787236364</v>
          </cell>
          <cell r="K423" t="str">
            <v>Computer Science</v>
          </cell>
          <cell r="L423" t="str">
            <v>Software Developer</v>
          </cell>
        </row>
        <row r="424">
          <cell r="D424">
            <v>2022004161</v>
          </cell>
          <cell r="E424">
            <v>2201010362</v>
          </cell>
          <cell r="F424" t="str">
            <v>B-Tech CSE-VI G</v>
          </cell>
          <cell r="G424" t="str">
            <v>Bachelor of Technology</v>
          </cell>
          <cell r="H424" t="str">
            <v>2022004161.maaz@ug.sharda.ac.in</v>
          </cell>
          <cell r="I424" t="str">
            <v>2022004161.zakiul@pt.sharda.ac.in</v>
          </cell>
          <cell r="J424" t="str">
            <v>6396324650</v>
          </cell>
          <cell r="K424" t="str">
            <v>Computer Science</v>
          </cell>
          <cell r="L424" t="str">
            <v>Software Developer</v>
          </cell>
        </row>
        <row r="425">
          <cell r="D425">
            <v>2022506809</v>
          </cell>
          <cell r="E425">
            <v>2201010364</v>
          </cell>
          <cell r="F425" t="str">
            <v>B-Tech CSE-VI G</v>
          </cell>
          <cell r="G425" t="str">
            <v>Bachelor of Technology</v>
          </cell>
          <cell r="H425" t="str">
            <v>2022506809.manas@ug.sharda.ac.in</v>
          </cell>
          <cell r="I425" t="str">
            <v>2022506809.hukamchand@pt.sharda.ac.in</v>
          </cell>
          <cell r="J425" t="str">
            <v>9667523633</v>
          </cell>
          <cell r="K425" t="str">
            <v>Computer Science</v>
          </cell>
          <cell r="L425" t="str">
            <v>Software Developer</v>
          </cell>
        </row>
        <row r="426">
          <cell r="D426">
            <v>2022811342</v>
          </cell>
          <cell r="E426">
            <v>2201010391</v>
          </cell>
          <cell r="F426" t="str">
            <v>B-Tech CSE-VI G</v>
          </cell>
          <cell r="G426" t="str">
            <v>Bachelor of Technology</v>
          </cell>
          <cell r="H426" t="str">
            <v>2022811342.md@ug.sharda.ac.in</v>
          </cell>
          <cell r="I426" t="str">
            <v>2022811342.manjur@pt.sharda.ac.in</v>
          </cell>
          <cell r="J426" t="str">
            <v>+91 9873842259</v>
          </cell>
          <cell r="K426" t="str">
            <v>Computer Science</v>
          </cell>
          <cell r="L426" t="str">
            <v>Full Stack Developer(Spring Boot)</v>
          </cell>
        </row>
        <row r="427">
          <cell r="D427">
            <v>2022499099</v>
          </cell>
          <cell r="E427">
            <v>2201010392</v>
          </cell>
          <cell r="F427" t="str">
            <v>B-Tech CSE-VI G</v>
          </cell>
          <cell r="G427" t="str">
            <v>Bachelor of Technology</v>
          </cell>
          <cell r="H427" t="str">
            <v>2022499099.md@ug.sharda.ac.in</v>
          </cell>
          <cell r="I427" t="str">
            <v>2022499099.mustak@pt.sharda.ac.in</v>
          </cell>
          <cell r="J427" t="str">
            <v>9523464177</v>
          </cell>
          <cell r="K427" t="str">
            <v>Computer Science</v>
          </cell>
          <cell r="L427" t="str">
            <v>Full Stack Developer(Spring Boot)</v>
          </cell>
        </row>
        <row r="428">
          <cell r="D428">
            <v>2022506408</v>
          </cell>
          <cell r="E428">
            <v>2201010430</v>
          </cell>
          <cell r="F428" t="str">
            <v>B-Tech CSE-VI G</v>
          </cell>
          <cell r="G428" t="str">
            <v>Bachelor of Technology</v>
          </cell>
          <cell r="H428" t="str">
            <v>2022506408.mohit@ug.sharda.ac.in</v>
          </cell>
          <cell r="I428" t="str">
            <v>2022506408.umesh@pt.sharda.ac.in</v>
          </cell>
          <cell r="J428" t="str">
            <v>9905593696</v>
          </cell>
          <cell r="K428" t="str">
            <v>Computer Science</v>
          </cell>
          <cell r="L428" t="str">
            <v>Full Stack Developer(Spring Boot)</v>
          </cell>
        </row>
        <row r="429">
          <cell r="D429">
            <v>2022400915</v>
          </cell>
          <cell r="E429">
            <v>2201010431</v>
          </cell>
          <cell r="F429" t="str">
            <v>B-Tech CSE-VI G</v>
          </cell>
          <cell r="G429" t="str">
            <v>Bachelor of Technology</v>
          </cell>
          <cell r="H429" t="str">
            <v>2022400915.mohit@ug.sharda.ac.in</v>
          </cell>
          <cell r="I429" t="str">
            <v>2022400915.brahamanand@pt.sharda.ac.in</v>
          </cell>
          <cell r="J429" t="str">
            <v>7378077197</v>
          </cell>
          <cell r="K429" t="str">
            <v>Computer Science</v>
          </cell>
          <cell r="L429" t="str">
            <v>Full Stack Developer(Spring Boot)</v>
          </cell>
        </row>
        <row r="430">
          <cell r="D430">
            <v>2022482796</v>
          </cell>
          <cell r="E430">
            <v>2201010433</v>
          </cell>
          <cell r="F430" t="str">
            <v>B-Tech CSE-VI G</v>
          </cell>
          <cell r="G430" t="str">
            <v>Bachelor of Technology</v>
          </cell>
          <cell r="H430" t="str">
            <v>2022482796.mohit@ug.sharda.ac.in</v>
          </cell>
          <cell r="I430" t="str">
            <v>2022482796.heerasingh@pt.sharda.ac.in</v>
          </cell>
          <cell r="J430" t="str">
            <v>8126978333</v>
          </cell>
          <cell r="K430" t="str">
            <v>Computer Science</v>
          </cell>
          <cell r="L430" t="str">
            <v>Full Stack Developer(Spring Boot)</v>
          </cell>
        </row>
        <row r="431">
          <cell r="D431">
            <v>2022003474</v>
          </cell>
          <cell r="E431">
            <v>2201010499</v>
          </cell>
          <cell r="F431" t="str">
            <v>B-Tech CSE-VI G</v>
          </cell>
          <cell r="G431" t="str">
            <v>Bachelor of Technology</v>
          </cell>
          <cell r="H431" t="str">
            <v>2022003474.pawan@ug.sharda.ac.in</v>
          </cell>
          <cell r="I431" t="str">
            <v>2022003474.munna@pt.sharda.ac.in</v>
          </cell>
          <cell r="J431" t="str">
            <v>6397729725</v>
          </cell>
          <cell r="K431" t="str">
            <v>Computer Science</v>
          </cell>
          <cell r="L431" t="str">
            <v>Full Stack Developer(Spring Boot)</v>
          </cell>
        </row>
        <row r="432">
          <cell r="D432">
            <v>2022344698</v>
          </cell>
          <cell r="E432">
            <v>2201010539</v>
          </cell>
          <cell r="F432" t="str">
            <v>B-Tech CSE-VI G</v>
          </cell>
          <cell r="G432" t="str">
            <v>Bachelor of Technology</v>
          </cell>
          <cell r="H432" t="str">
            <v>2022344698.purushottam@ug.sharda.ac.in</v>
          </cell>
          <cell r="I432" t="str">
            <v>2022344698.mantu@pt.sharda.ac.in</v>
          </cell>
          <cell r="J432" t="str">
            <v>9693330760</v>
          </cell>
          <cell r="K432" t="str">
            <v>Computer Science</v>
          </cell>
          <cell r="L432" t="str">
            <v>Full Stack Developer(Spring Boot)</v>
          </cell>
        </row>
        <row r="433">
          <cell r="D433">
            <v>2022492019</v>
          </cell>
          <cell r="E433">
            <v>2201010540</v>
          </cell>
          <cell r="F433" t="str">
            <v>B-Tech CSE-VI G</v>
          </cell>
          <cell r="G433" t="str">
            <v>Bachelor of Technology</v>
          </cell>
          <cell r="H433" t="str">
            <v>2022492019.pushkar@ug.sharda.ac.in</v>
          </cell>
          <cell r="I433" t="str">
            <v>2022492019.nathusingh@pt.sharda.ac.in</v>
          </cell>
          <cell r="J433" t="str">
            <v>8882668278</v>
          </cell>
          <cell r="K433" t="str">
            <v>Computer Science</v>
          </cell>
          <cell r="L433" t="str">
            <v>Full Stack Developer(Spring Boot)</v>
          </cell>
        </row>
        <row r="434">
          <cell r="D434">
            <v>2022523416</v>
          </cell>
          <cell r="E434">
            <v>2201010550</v>
          </cell>
          <cell r="F434" t="str">
            <v>B-Tech CSE-VI G</v>
          </cell>
          <cell r="G434" t="str">
            <v>Bachelor of Technology</v>
          </cell>
          <cell r="H434" t="str">
            <v>2022523416.raj@ug.sharda.ac.in</v>
          </cell>
          <cell r="I434" t="str">
            <v>2022523416.ramesh@pt.sharda.ac.in</v>
          </cell>
          <cell r="J434" t="str">
            <v>8252824437</v>
          </cell>
          <cell r="K434" t="str">
            <v>Computer Science</v>
          </cell>
          <cell r="L434" t="str">
            <v>Software Developer</v>
          </cell>
        </row>
        <row r="435">
          <cell r="D435">
            <v>2022004614</v>
          </cell>
          <cell r="E435">
            <v>2201010561</v>
          </cell>
          <cell r="F435" t="str">
            <v>B-Tech CSE-VI G</v>
          </cell>
          <cell r="G435" t="str">
            <v>Bachelor of Technology</v>
          </cell>
          <cell r="H435" t="str">
            <v>2022004614.rao@ug.sharda.ac.in</v>
          </cell>
          <cell r="I435" t="str">
            <v>2022004614.pankaj@pt.sharda.ac.in</v>
          </cell>
          <cell r="J435" t="str">
            <v>9910132791</v>
          </cell>
          <cell r="K435" t="str">
            <v>Computer Science</v>
          </cell>
          <cell r="L435" t="str">
            <v>Full Stack Developer(Spring Boot)</v>
          </cell>
        </row>
        <row r="436">
          <cell r="D436">
            <v>2022000799</v>
          </cell>
          <cell r="E436">
            <v>2201010619</v>
          </cell>
          <cell r="F436" t="str">
            <v>B-Tech CSE-VI G</v>
          </cell>
          <cell r="G436" t="str">
            <v>Bachelor of Technology</v>
          </cell>
          <cell r="H436" t="str">
            <v>2022000799.salman@ug.sharda.ac.in</v>
          </cell>
          <cell r="I436" t="str">
            <v>2022000799.baseer@pt.sharda.ac.in</v>
          </cell>
          <cell r="J436">
            <v>0</v>
          </cell>
          <cell r="K436" t="str">
            <v>Computer Science</v>
          </cell>
          <cell r="L436" t="str">
            <v>Full Stack Developer(Spring Boot)</v>
          </cell>
        </row>
        <row r="437">
          <cell r="D437">
            <v>2022001198</v>
          </cell>
          <cell r="E437">
            <v>2201010620</v>
          </cell>
          <cell r="F437" t="str">
            <v>B-Tech CSE-VI G</v>
          </cell>
          <cell r="G437" t="str">
            <v>Bachelor of Technology</v>
          </cell>
          <cell r="H437" t="str">
            <v>2022001198.salman@ug.sharda.ac.in</v>
          </cell>
          <cell r="I437" t="str">
            <v>2022001198.farid@pt.sharda.ac.in</v>
          </cell>
          <cell r="J437" t="str">
            <v>960445800</v>
          </cell>
          <cell r="K437" t="str">
            <v>Computer Science</v>
          </cell>
          <cell r="L437" t="str">
            <v>Full Stack Developer(Spring Boot)</v>
          </cell>
        </row>
        <row r="438">
          <cell r="D438">
            <v>2022487397</v>
          </cell>
          <cell r="E438">
            <v>2201010665</v>
          </cell>
          <cell r="F438" t="str">
            <v>B-Tech CSE-VI G</v>
          </cell>
          <cell r="G438" t="str">
            <v>Bachelor of Technology</v>
          </cell>
          <cell r="H438" t="str">
            <v>2022487397.shikhar@ug.sharda.ac.in</v>
          </cell>
          <cell r="I438" t="str">
            <v>2022487397.harishankar@pt.sharda.ac.in</v>
          </cell>
          <cell r="J438" t="str">
            <v>7619898558</v>
          </cell>
          <cell r="K438" t="str">
            <v>Computer Science</v>
          </cell>
          <cell r="L438" t="str">
            <v>Full Stack Developer(Spring Boot)</v>
          </cell>
        </row>
        <row r="439">
          <cell r="D439">
            <v>2022495153</v>
          </cell>
          <cell r="E439">
            <v>2201010685</v>
          </cell>
          <cell r="F439" t="str">
            <v>B-Tech CSE-VI G</v>
          </cell>
          <cell r="G439" t="str">
            <v>Bachelor of Technology</v>
          </cell>
          <cell r="H439" t="str">
            <v>2022495153.shreyansh@ug.sharda.ac.in</v>
          </cell>
          <cell r="I439" t="str">
            <v>2022495153.rajeshkumar@pt.sharda.ac.in</v>
          </cell>
          <cell r="J439" t="str">
            <v>9260956206</v>
          </cell>
          <cell r="K439" t="str">
            <v>Computer Science</v>
          </cell>
          <cell r="L439" t="str">
            <v>Software Developer</v>
          </cell>
        </row>
        <row r="440">
          <cell r="D440">
            <v>2022408033</v>
          </cell>
          <cell r="E440">
            <v>2201010723</v>
          </cell>
          <cell r="F440" t="str">
            <v>B-Tech CSE-VI G</v>
          </cell>
          <cell r="G440" t="str">
            <v>Bachelor of Technology</v>
          </cell>
          <cell r="H440" t="str">
            <v>2022408033.sumit@ug.sharda.ac.in</v>
          </cell>
          <cell r="I440" t="str">
            <v>2022408033.prakashchandra@pt.sharda.ac.in</v>
          </cell>
          <cell r="J440" t="str">
            <v>9958635595</v>
          </cell>
          <cell r="K440" t="str">
            <v>Computer Science</v>
          </cell>
          <cell r="L440" t="str">
            <v>Full Stack Developer(Spring Boot)</v>
          </cell>
        </row>
        <row r="441">
          <cell r="D441">
            <v>2022498602</v>
          </cell>
          <cell r="E441">
            <v>2201010724</v>
          </cell>
          <cell r="F441" t="str">
            <v>B-Tech CSE-VI G</v>
          </cell>
          <cell r="G441" t="str">
            <v>Bachelor of Technology</v>
          </cell>
          <cell r="H441" t="str">
            <v>2022498602.sumit@ug.sharda.ac.in</v>
          </cell>
          <cell r="I441" t="str">
            <v>2022498602.laldev@pt.sharda.ac.in</v>
          </cell>
          <cell r="J441" t="str">
            <v>9838391937</v>
          </cell>
          <cell r="K441" t="str">
            <v>Computer Science</v>
          </cell>
          <cell r="L441" t="str">
            <v>Full Stack Developer(Spring Boot)</v>
          </cell>
        </row>
        <row r="442">
          <cell r="D442">
            <v>2022543079</v>
          </cell>
          <cell r="E442">
            <v>2201010735</v>
          </cell>
          <cell r="F442" t="str">
            <v>B-Tech CSE-VI G</v>
          </cell>
          <cell r="G442" t="str">
            <v>Bachelor of Technology</v>
          </cell>
          <cell r="H442" t="str">
            <v>2022543079.swati@ug.sharda.ac.in</v>
          </cell>
          <cell r="I442" t="str">
            <v>2022543079.ramsewak@pt.sharda.ac.in</v>
          </cell>
          <cell r="J442" t="str">
            <v>8287941372</v>
          </cell>
          <cell r="K442" t="str">
            <v>Computer Science</v>
          </cell>
          <cell r="L442" t="str">
            <v>Software Developer</v>
          </cell>
        </row>
        <row r="443">
          <cell r="D443">
            <v>2022360071</v>
          </cell>
          <cell r="E443">
            <v>2201010737</v>
          </cell>
          <cell r="F443" t="str">
            <v>B-Tech CSE-VI G</v>
          </cell>
          <cell r="G443" t="str">
            <v>Bachelor of Technology</v>
          </cell>
          <cell r="H443" t="str">
            <v>2022360071.takmeel@ug.sharda.ac.in</v>
          </cell>
          <cell r="I443" t="str">
            <v>2022360071.irfan@pt.sharda.ac.in</v>
          </cell>
          <cell r="J443" t="str">
            <v>8510981104</v>
          </cell>
          <cell r="K443" t="str">
            <v>Computer Science</v>
          </cell>
          <cell r="L443" t="str">
            <v>Full Stack Developer(Spring Boot)</v>
          </cell>
        </row>
        <row r="444">
          <cell r="D444">
            <v>2022005697</v>
          </cell>
          <cell r="E444">
            <v>2201010754</v>
          </cell>
          <cell r="F444" t="str">
            <v>B-Tech CSE-VI G</v>
          </cell>
          <cell r="G444" t="str">
            <v>Bachelor of Technology</v>
          </cell>
          <cell r="H444" t="str">
            <v>2022005697.tripathikartik@ug.sharda.ac.in</v>
          </cell>
          <cell r="I444" t="str">
            <v>2022005697.umashanker@pt.sharda.ac.in</v>
          </cell>
          <cell r="J444" t="str">
            <v>9867931067</v>
          </cell>
          <cell r="K444" t="str">
            <v>Computer Science</v>
          </cell>
          <cell r="L444" t="str">
            <v>Software Developer</v>
          </cell>
        </row>
        <row r="445">
          <cell r="D445">
            <v>2022393356</v>
          </cell>
          <cell r="E445">
            <v>2201010771</v>
          </cell>
          <cell r="F445" t="str">
            <v>B-Tech CSE-VI G</v>
          </cell>
          <cell r="G445" t="str">
            <v>Bachelor of Technology</v>
          </cell>
          <cell r="H445" t="str">
            <v>2022393356.vaibhav@ug.sharda.ac.in</v>
          </cell>
          <cell r="I445" t="str">
            <v>2022393356.jaiprakash@pt.sharda.ac.in</v>
          </cell>
          <cell r="J445" t="str">
            <v>8810607038</v>
          </cell>
          <cell r="K445" t="str">
            <v>Computer Science</v>
          </cell>
          <cell r="L445" t="str">
            <v>Full Stack Developer(Spring Boot)</v>
          </cell>
        </row>
        <row r="446">
          <cell r="D446">
            <v>2022439020</v>
          </cell>
          <cell r="E446">
            <v>2201010780</v>
          </cell>
          <cell r="F446" t="str">
            <v>B-Tech CSE-VI G</v>
          </cell>
          <cell r="G446" t="str">
            <v>Bachelor of Technology</v>
          </cell>
          <cell r="H446" t="str">
            <v>2022439020.ved@ug.sharda.ac.in</v>
          </cell>
          <cell r="I446" t="str">
            <v>2022439020.luv@pt.sharda.ac.in</v>
          </cell>
          <cell r="J446" t="str">
            <v>9971284298</v>
          </cell>
          <cell r="K446" t="str">
            <v>Computer Science</v>
          </cell>
          <cell r="L446" t="str">
            <v>Full Stack Developer(Spring Boot)</v>
          </cell>
        </row>
        <row r="447">
          <cell r="D447">
            <v>2022423199</v>
          </cell>
          <cell r="E447">
            <v>2201010812</v>
          </cell>
          <cell r="F447" t="str">
            <v>B-Tech CSE-VI G</v>
          </cell>
          <cell r="G447" t="str">
            <v>Bachelor of Technology</v>
          </cell>
          <cell r="H447" t="str">
            <v>2022423199.yash@ug.sharda.ac.in</v>
          </cell>
          <cell r="I447" t="str">
            <v>2022423199.indrasingh@pt.sharda.ac.in</v>
          </cell>
          <cell r="J447" t="str">
            <v>9871836528</v>
          </cell>
          <cell r="K447" t="str">
            <v>Computer Science</v>
          </cell>
          <cell r="L447" t="str">
            <v>Full Stack Developer(Spring Boot)</v>
          </cell>
        </row>
        <row r="448">
          <cell r="D448">
            <v>2022433386</v>
          </cell>
          <cell r="E448">
            <v>2201010825</v>
          </cell>
          <cell r="F448" t="str">
            <v>B-Tech CSE-VI G</v>
          </cell>
          <cell r="G448" t="str">
            <v>Bachelor of Technology</v>
          </cell>
          <cell r="H448" t="str">
            <v>2022433386.yuvraj@ug.sharda.ac.in</v>
          </cell>
          <cell r="I448" t="str">
            <v>2022433386.rajeshkumar@pt.sharda.ac.in</v>
          </cell>
          <cell r="J448" t="str">
            <v>9054021639</v>
          </cell>
          <cell r="K448" t="str">
            <v>Computer Science</v>
          </cell>
          <cell r="L448" t="str">
            <v>Full Stack Developer(Spring Boot)</v>
          </cell>
        </row>
        <row r="449">
          <cell r="D449">
            <v>2022007449</v>
          </cell>
          <cell r="E449">
            <v>2201010849</v>
          </cell>
          <cell r="F449" t="str">
            <v>B-Tech CSE-VI G</v>
          </cell>
          <cell r="G449" t="str">
            <v>Bachelor of Technology</v>
          </cell>
          <cell r="H449" t="str">
            <v>2022007449.ayush@ug.sharda.ac.in</v>
          </cell>
          <cell r="I449" t="str">
            <v>2022007449.bishnu@pt.sharda.ac.in</v>
          </cell>
          <cell r="J449" t="str">
            <v>9366242126</v>
          </cell>
          <cell r="K449" t="str">
            <v>Computer Science</v>
          </cell>
          <cell r="L449" t="str">
            <v>Software Developer</v>
          </cell>
        </row>
        <row r="450">
          <cell r="D450">
            <v>2022007676</v>
          </cell>
          <cell r="E450">
            <v>2201010856</v>
          </cell>
          <cell r="F450" t="str">
            <v>B-Tech CSE-VI G</v>
          </cell>
          <cell r="G450" t="str">
            <v>Bachelor of Technology</v>
          </cell>
          <cell r="H450" t="str">
            <v>2022007676.sayyed@ug.sharda.ac.in</v>
          </cell>
          <cell r="I450" t="str">
            <v>2022007676.jamal@pt.sharda.ac.in</v>
          </cell>
          <cell r="J450" t="str">
            <v>7827143813</v>
          </cell>
          <cell r="K450" t="str">
            <v>Computer Science</v>
          </cell>
          <cell r="L450" t="str">
            <v>Software Developer</v>
          </cell>
        </row>
        <row r="451">
          <cell r="D451">
            <v>2022369268</v>
          </cell>
          <cell r="E451">
            <v>2201010870</v>
          </cell>
          <cell r="F451" t="str">
            <v>B-Tech CSE-VI G</v>
          </cell>
          <cell r="G451" t="str">
            <v>Bachelor of Technology</v>
          </cell>
          <cell r="H451" t="str">
            <v>2022369268.sahil@ug.sharda.ac.in</v>
          </cell>
          <cell r="I451" t="str">
            <v>2022369268.tariqahmad@pt.sharda.ac.in</v>
          </cell>
          <cell r="J451" t="str">
            <v>6005823801</v>
          </cell>
          <cell r="K451" t="str">
            <v>Computer Science</v>
          </cell>
          <cell r="L451" t="e">
            <v>#N/A</v>
          </cell>
        </row>
        <row r="452">
          <cell r="D452">
            <v>2022528998</v>
          </cell>
          <cell r="E452">
            <v>2201010876</v>
          </cell>
          <cell r="F452" t="str">
            <v>B-Tech CSE-VI G</v>
          </cell>
          <cell r="G452" t="str">
            <v>Bachelor of Technology</v>
          </cell>
          <cell r="H452" t="str">
            <v>2022528998.aman@ug.sharda.ac.in</v>
          </cell>
          <cell r="I452" t="str">
            <v>2022528998.santosh@pt.sharda.ac.in</v>
          </cell>
          <cell r="J452" t="str">
            <v>9142324099</v>
          </cell>
          <cell r="K452" t="str">
            <v>Computer Science</v>
          </cell>
          <cell r="L452" t="str">
            <v>Full Stack Developer(Spring Boot)</v>
          </cell>
        </row>
        <row r="453">
          <cell r="D453">
            <v>2022591296</v>
          </cell>
          <cell r="E453">
            <v>2201010887</v>
          </cell>
          <cell r="F453" t="str">
            <v>B-Tech CSE-VI G</v>
          </cell>
          <cell r="G453" t="str">
            <v>Bachelor of Technology</v>
          </cell>
          <cell r="H453" t="str">
            <v>2022591296.anjali@ug.sharda.ac.in</v>
          </cell>
          <cell r="I453" t="str">
            <v>2022591296.radhakrishna@pt.sharda.ac.in</v>
          </cell>
          <cell r="J453" t="str">
            <v>9398191226</v>
          </cell>
          <cell r="K453" t="str">
            <v>Computer Science</v>
          </cell>
          <cell r="L453" t="str">
            <v>Software Developer</v>
          </cell>
        </row>
        <row r="454">
          <cell r="D454">
            <v>2021482470</v>
          </cell>
          <cell r="E454">
            <v>210101376</v>
          </cell>
          <cell r="F454" t="str">
            <v>B-Tech CSE-VI H</v>
          </cell>
          <cell r="G454" t="str">
            <v>Bachelor of Technology</v>
          </cell>
          <cell r="H454" t="str">
            <v>2021482470.purushottam@ug.sharda.ac.in</v>
          </cell>
          <cell r="I454" t="str">
            <v>2021482470.suchand@pt.sharda.ac.in</v>
          </cell>
          <cell r="J454" t="str">
            <v>6370261378</v>
          </cell>
          <cell r="K454" t="str">
            <v>Computer Science</v>
          </cell>
          <cell r="L454" t="str">
            <v>Full Stack Developer(MERN Stack)</v>
          </cell>
        </row>
        <row r="455">
          <cell r="D455">
            <v>2022539291</v>
          </cell>
          <cell r="E455">
            <v>2201010030</v>
          </cell>
          <cell r="F455" t="str">
            <v>B-Tech CSE-VI H</v>
          </cell>
          <cell r="G455" t="str">
            <v>Bachelor of Technology</v>
          </cell>
          <cell r="H455" t="str">
            <v>2022539291.adarsh@ug.sharda.ac.in</v>
          </cell>
          <cell r="I455" t="str">
            <v>2022539291.binodkumar@pt.sharda.ac.in</v>
          </cell>
          <cell r="J455" t="str">
            <v>9310107899</v>
          </cell>
          <cell r="K455" t="str">
            <v>Computer Science</v>
          </cell>
          <cell r="L455" t="e">
            <v>#N/A</v>
          </cell>
        </row>
        <row r="456">
          <cell r="D456">
            <v>2022508626</v>
          </cell>
          <cell r="E456">
            <v>2201010032</v>
          </cell>
          <cell r="F456" t="str">
            <v>B-Tech CSE-VI H</v>
          </cell>
          <cell r="G456" t="str">
            <v>Bachelor of Technology</v>
          </cell>
          <cell r="H456" t="str">
            <v>2022508626.adarsh@ug.sharda.ac.in</v>
          </cell>
          <cell r="I456" t="str">
            <v>2022508626.harendrakumar@pt.sharda.ac.in</v>
          </cell>
          <cell r="J456" t="str">
            <v>8734821969</v>
          </cell>
          <cell r="K456" t="str">
            <v>Computer Science</v>
          </cell>
          <cell r="L456" t="str">
            <v>Software Developer</v>
          </cell>
        </row>
        <row r="457">
          <cell r="D457">
            <v>2022558776</v>
          </cell>
          <cell r="E457">
            <v>2201010050</v>
          </cell>
          <cell r="F457" t="str">
            <v>B-Tech CSE-VI H</v>
          </cell>
          <cell r="G457" t="str">
            <v>Bachelor of Technology</v>
          </cell>
          <cell r="H457" t="str">
            <v>2022558776.aditya@ug.sharda.ac.in</v>
          </cell>
          <cell r="I457" t="str">
            <v>2022558776.anoop@pt.sharda.ac.in</v>
          </cell>
          <cell r="J457" t="str">
            <v>7455836193</v>
          </cell>
          <cell r="K457" t="str">
            <v>Computer Science</v>
          </cell>
          <cell r="L457" t="str">
            <v>Full Stack Developer(Spring Boot)</v>
          </cell>
        </row>
        <row r="458">
          <cell r="D458">
            <v>2022476104</v>
          </cell>
          <cell r="E458">
            <v>2201010058</v>
          </cell>
          <cell r="F458" t="str">
            <v>B-Tech CSE-VI H</v>
          </cell>
          <cell r="G458" t="str">
            <v>Bachelor of Technology</v>
          </cell>
          <cell r="H458" t="str">
            <v>2022476104.ajay@ug.sharda.ac.in</v>
          </cell>
          <cell r="I458" t="str">
            <v>2022476104.gaurishankar@pt.sharda.ac.in</v>
          </cell>
          <cell r="J458" t="str">
            <v>9162384894</v>
          </cell>
          <cell r="K458" t="str">
            <v>Computer Science</v>
          </cell>
          <cell r="L458" t="str">
            <v>Full Stack Developer(MERN Stack)</v>
          </cell>
        </row>
        <row r="459">
          <cell r="D459">
            <v>2022567112</v>
          </cell>
          <cell r="E459">
            <v>2201010071</v>
          </cell>
          <cell r="F459" t="str">
            <v>B-Tech CSE-VI H</v>
          </cell>
          <cell r="G459" t="str">
            <v>Bachelor of Technology</v>
          </cell>
          <cell r="H459" t="str">
            <v>2022567112.alok@ug.sharda.ac.in</v>
          </cell>
          <cell r="I459" t="str">
            <v>2022567112.santoshkumar@pt.sharda.ac.in</v>
          </cell>
          <cell r="J459" t="str">
            <v>9142316341</v>
          </cell>
          <cell r="K459" t="str">
            <v>Computer Science</v>
          </cell>
          <cell r="L459" t="str">
            <v>Full Stack Developer(Spring Boot)</v>
          </cell>
        </row>
        <row r="460">
          <cell r="D460">
            <v>2022006152</v>
          </cell>
          <cell r="E460">
            <v>2201010075</v>
          </cell>
          <cell r="F460" t="str">
            <v>B-Tech CSE-VI H</v>
          </cell>
          <cell r="G460" t="str">
            <v>Bachelor of Technology</v>
          </cell>
          <cell r="H460" t="str">
            <v>2022006152.aman@ug.sharda.ac.in</v>
          </cell>
          <cell r="I460" t="str">
            <v>2022006152.jaikishan@pt.sharda.ac.in</v>
          </cell>
          <cell r="J460" t="str">
            <v>9654088144</v>
          </cell>
          <cell r="K460" t="str">
            <v>Computer Science</v>
          </cell>
          <cell r="L460" t="str">
            <v>Full Stack Developer(Spring Boot)</v>
          </cell>
        </row>
        <row r="461">
          <cell r="D461">
            <v>2022006654</v>
          </cell>
          <cell r="E461">
            <v>2201010088</v>
          </cell>
          <cell r="F461" t="str">
            <v>B-Tech CSE-VI H</v>
          </cell>
          <cell r="G461" t="str">
            <v>Bachelor of Technology</v>
          </cell>
          <cell r="H461" t="str">
            <v>2022006654.anish@ug.sharda.ac.in</v>
          </cell>
          <cell r="I461" t="str">
            <v>2022006654.rajeshwar@pt.sharda.ac.in</v>
          </cell>
          <cell r="J461" t="str">
            <v>9667127584</v>
          </cell>
          <cell r="K461" t="str">
            <v>Computer Science</v>
          </cell>
          <cell r="L461" t="str">
            <v>Software Developer</v>
          </cell>
        </row>
        <row r="462">
          <cell r="D462">
            <v>2022511918</v>
          </cell>
          <cell r="E462">
            <v>2201010090</v>
          </cell>
          <cell r="F462" t="str">
            <v>B-Tech CSE-VI H</v>
          </cell>
          <cell r="G462" t="str">
            <v>Bachelor of Technology</v>
          </cell>
          <cell r="H462" t="str">
            <v>2022511918.anjali@ug.sharda.ac.in</v>
          </cell>
          <cell r="I462" t="str">
            <v>2022511918.arvindkumar@pt.sharda.ac.in</v>
          </cell>
          <cell r="J462" t="str">
            <v>8881122192</v>
          </cell>
          <cell r="K462" t="str">
            <v>Computer Science</v>
          </cell>
          <cell r="L462" t="str">
            <v>Software Developer</v>
          </cell>
        </row>
        <row r="463">
          <cell r="D463">
            <v>2022407716</v>
          </cell>
          <cell r="E463">
            <v>2201010097</v>
          </cell>
          <cell r="F463" t="str">
            <v>B-Tech CSE-VI H</v>
          </cell>
          <cell r="G463" t="str">
            <v>Bachelor of Technology</v>
          </cell>
          <cell r="H463" t="str">
            <v>2022407716.ankita@ug.sharda.ac.in</v>
          </cell>
          <cell r="I463" t="str">
            <v>2022407716.naresh@pt.sharda.ac.in</v>
          </cell>
          <cell r="J463" t="str">
            <v>7903369953</v>
          </cell>
          <cell r="K463" t="str">
            <v>Computer Science</v>
          </cell>
          <cell r="L463" t="str">
            <v>Software Developer</v>
          </cell>
        </row>
        <row r="464">
          <cell r="D464">
            <v>2022577648</v>
          </cell>
          <cell r="E464">
            <v>2201010102</v>
          </cell>
          <cell r="F464" t="str">
            <v>B-Tech CSE-VI H</v>
          </cell>
          <cell r="G464" t="str">
            <v>Bachelor of Technology</v>
          </cell>
          <cell r="H464" t="str">
            <v>2022577648.anshu@ug.sharda.ac.in</v>
          </cell>
          <cell r="I464" t="str">
            <v>2022577648.subhashchandra@pt.sharda.ac.in</v>
          </cell>
          <cell r="J464" t="str">
            <v>8825258063</v>
          </cell>
          <cell r="K464" t="str">
            <v>Computer Science</v>
          </cell>
          <cell r="L464" t="str">
            <v>Full Stack Developer(Spring Boot)</v>
          </cell>
        </row>
        <row r="465">
          <cell r="D465">
            <v>2022006318</v>
          </cell>
          <cell r="E465">
            <v>2201010126</v>
          </cell>
          <cell r="F465" t="str">
            <v>B-Tech CSE-VI H</v>
          </cell>
          <cell r="G465" t="str">
            <v>Bachelor of Technology</v>
          </cell>
          <cell r="H465" t="str">
            <v>2022006318.arman@ug.sharda.ac.in</v>
          </cell>
          <cell r="I465" t="str">
            <v>2022006318.md@pt.sharda.ac.in</v>
          </cell>
          <cell r="J465" t="str">
            <v>9289882117</v>
          </cell>
          <cell r="K465" t="str">
            <v>Computer Science</v>
          </cell>
          <cell r="L465" t="str">
            <v>Software Developer</v>
          </cell>
        </row>
        <row r="466">
          <cell r="D466">
            <v>2022484200</v>
          </cell>
          <cell r="E466">
            <v>2201010156</v>
          </cell>
          <cell r="F466" t="str">
            <v>B-Tech CSE-VI H</v>
          </cell>
          <cell r="G466" t="str">
            <v>Bachelor of Technology</v>
          </cell>
          <cell r="H466" t="str">
            <v>2022484200.ashutosh@ug.sharda.ac.in</v>
          </cell>
          <cell r="I466" t="str">
            <v>2022484200.chandra@pt.sharda.ac.in</v>
          </cell>
          <cell r="J466" t="str">
            <v>8588846755</v>
          </cell>
          <cell r="K466" t="str">
            <v>Computer Science</v>
          </cell>
          <cell r="L466" t="str">
            <v>Software Developer</v>
          </cell>
        </row>
        <row r="467">
          <cell r="D467">
            <v>2022416656</v>
          </cell>
          <cell r="E467">
            <v>2201010169</v>
          </cell>
          <cell r="F467" t="str">
            <v>B-Tech CSE-VI H</v>
          </cell>
          <cell r="G467" t="str">
            <v>Bachelor of Technology</v>
          </cell>
          <cell r="H467" t="str">
            <v>2022416656.ayush@ug.sharda.ac.in</v>
          </cell>
          <cell r="I467" t="str">
            <v>2022416656.krishan@pt.sharda.ac.in</v>
          </cell>
          <cell r="J467" t="str">
            <v>9569578053</v>
          </cell>
          <cell r="K467" t="str">
            <v>Computer Science</v>
          </cell>
          <cell r="L467" t="str">
            <v>Software Developer</v>
          </cell>
        </row>
        <row r="468">
          <cell r="D468">
            <v>2022506998</v>
          </cell>
          <cell r="E468">
            <v>2201010247</v>
          </cell>
          <cell r="F468" t="str">
            <v>B-Tech CSE-VI H</v>
          </cell>
          <cell r="G468" t="str">
            <v>Bachelor of Technology</v>
          </cell>
          <cell r="H468" t="str">
            <v>2022506998.gauri@ug.sharda.ac.in</v>
          </cell>
          <cell r="I468" t="str">
            <v>2022506998.ganeshprasad@pt.sharda.ac.in</v>
          </cell>
          <cell r="J468" t="str">
            <v>8126368250</v>
          </cell>
          <cell r="K468" t="str">
            <v>Computer Science</v>
          </cell>
          <cell r="L468" t="str">
            <v>Software Developer</v>
          </cell>
        </row>
        <row r="469">
          <cell r="D469">
            <v>2022002822</v>
          </cell>
          <cell r="E469">
            <v>2201010272</v>
          </cell>
          <cell r="F469" t="str">
            <v>B-Tech CSE-VI H</v>
          </cell>
          <cell r="G469" t="str">
            <v>Bachelor of Technology</v>
          </cell>
          <cell r="H469" t="str">
            <v>2022002822.harsh@ug.sharda.ac.in</v>
          </cell>
          <cell r="I469" t="str">
            <v>2022002822.jaidev@pt.sharda.ac.in</v>
          </cell>
          <cell r="J469" t="str">
            <v>6395061345</v>
          </cell>
          <cell r="K469" t="str">
            <v>Computer Science</v>
          </cell>
          <cell r="L469" t="str">
            <v>Software Developer</v>
          </cell>
        </row>
        <row r="470">
          <cell r="D470">
            <v>2022006162</v>
          </cell>
          <cell r="E470">
            <v>2201010279</v>
          </cell>
          <cell r="F470" t="str">
            <v>B-Tech CSE-VI H</v>
          </cell>
          <cell r="G470" t="str">
            <v>Bachelor of Technology</v>
          </cell>
          <cell r="H470" t="str">
            <v>2022006162.harshit@ug.sharda.ac.in</v>
          </cell>
          <cell r="I470" t="str">
            <v>2022006162.sanjeev@pt.sharda.ac.in</v>
          </cell>
          <cell r="J470" t="str">
            <v>7249903144</v>
          </cell>
          <cell r="K470" t="str">
            <v>Computer Science</v>
          </cell>
          <cell r="L470" t="str">
            <v>Software Developer</v>
          </cell>
        </row>
        <row r="471">
          <cell r="D471">
            <v>2022570019</v>
          </cell>
          <cell r="E471">
            <v>2201010293</v>
          </cell>
          <cell r="F471" t="str">
            <v>B-Tech CSE-VI H</v>
          </cell>
          <cell r="G471" t="str">
            <v>Bachelor of Technology</v>
          </cell>
          <cell r="H471" t="str">
            <v>2022570019.isha@ug.sharda.ac.in</v>
          </cell>
          <cell r="I471" t="str">
            <v>2022570019.naveen@pt.sharda.ac.in</v>
          </cell>
          <cell r="J471" t="str">
            <v>7454817315</v>
          </cell>
          <cell r="K471" t="str">
            <v>Computer Science</v>
          </cell>
          <cell r="L471" t="str">
            <v>Full Stack Developer(Spring Boot)</v>
          </cell>
        </row>
        <row r="472">
          <cell r="D472">
            <v>2022582150</v>
          </cell>
          <cell r="E472">
            <v>2201010304</v>
          </cell>
          <cell r="F472" t="str">
            <v>B-Tech CSE-VI H</v>
          </cell>
          <cell r="G472" t="str">
            <v>Bachelor of Technology</v>
          </cell>
          <cell r="H472" t="str">
            <v>2022582150.jatin@ug.sharda.ac.in</v>
          </cell>
          <cell r="I472" t="str">
            <v>2022582150.jagbir@pt.sharda.ac.in</v>
          </cell>
          <cell r="J472" t="str">
            <v>9588522558</v>
          </cell>
          <cell r="K472" t="str">
            <v>Computer Science</v>
          </cell>
          <cell r="L472" t="str">
            <v>Software Developer</v>
          </cell>
        </row>
        <row r="473">
          <cell r="D473">
            <v>2022819221</v>
          </cell>
          <cell r="E473">
            <v>2201010307</v>
          </cell>
          <cell r="F473" t="str">
            <v>B-Tech CSE-VI H</v>
          </cell>
          <cell r="G473" t="str">
            <v>Bachelor of Technology</v>
          </cell>
          <cell r="H473" t="str">
            <v>2022819221.jayanti@ug.sharda.ac.in</v>
          </cell>
          <cell r="I473" t="str">
            <v>2022819221.bishwanath@pt.sharda.ac.in</v>
          </cell>
          <cell r="J473" t="str">
            <v>91 7011069348</v>
          </cell>
          <cell r="K473" t="str">
            <v>Computer Science</v>
          </cell>
          <cell r="L473" t="str">
            <v>Full Stack Developer(Spring Boot)</v>
          </cell>
        </row>
        <row r="474">
          <cell r="D474">
            <v>2022359778</v>
          </cell>
          <cell r="E474">
            <v>2201010340</v>
          </cell>
          <cell r="F474" t="str">
            <v>B-Tech CSE-VI H</v>
          </cell>
          <cell r="G474" t="str">
            <v>Bachelor of Technology</v>
          </cell>
          <cell r="H474" t="str">
            <v>2022359778.kritika@ug.sharda.ac.in</v>
          </cell>
          <cell r="I474" t="str">
            <v>2022359778.navin@pt.sharda.ac.in</v>
          </cell>
          <cell r="J474" t="str">
            <v>7701935118</v>
          </cell>
          <cell r="K474" t="str">
            <v>Computer Science</v>
          </cell>
          <cell r="L474" t="str">
            <v>Full Stack Developer(Spring Boot)</v>
          </cell>
        </row>
        <row r="475">
          <cell r="D475">
            <v>2022006582</v>
          </cell>
          <cell r="E475">
            <v>2201010354</v>
          </cell>
          <cell r="F475" t="str">
            <v>B-Tech CSE-VI H</v>
          </cell>
          <cell r="G475" t="str">
            <v>Bachelor of Technology</v>
          </cell>
          <cell r="H475" t="str">
            <v>2022006582.lakshay@ug.sharda.ac.in</v>
          </cell>
          <cell r="I475" t="str">
            <v>2022006582.shashikant@pt.sharda.ac.in</v>
          </cell>
          <cell r="J475" t="str">
            <v>7568023948</v>
          </cell>
          <cell r="K475" t="str">
            <v>Computer Science</v>
          </cell>
          <cell r="L475" t="str">
            <v>Software Developer</v>
          </cell>
        </row>
        <row r="476">
          <cell r="D476">
            <v>2022831935</v>
          </cell>
          <cell r="E476">
            <v>2201010404</v>
          </cell>
          <cell r="F476" t="str">
            <v>B-Tech CSE-VI H</v>
          </cell>
          <cell r="G476" t="str">
            <v>Bachelor of Technology</v>
          </cell>
          <cell r="H476" t="str">
            <v>2022831935.pratibha@ug.sharda.ac.in</v>
          </cell>
          <cell r="I476" t="str">
            <v>2022831935.khemnath@pt.sharda.ac.in</v>
          </cell>
          <cell r="J476" t="str">
            <v>91 8293135088</v>
          </cell>
          <cell r="K476" t="str">
            <v>Computer Science</v>
          </cell>
          <cell r="L476" t="str">
            <v>Software Developer</v>
          </cell>
        </row>
        <row r="477">
          <cell r="D477">
            <v>2022832635</v>
          </cell>
          <cell r="E477">
            <v>2201010406</v>
          </cell>
          <cell r="F477" t="str">
            <v>B-Tech CSE-VI H</v>
          </cell>
          <cell r="G477" t="str">
            <v>Bachelor of Technology</v>
          </cell>
          <cell r="H477" t="str">
            <v>2022832635.saraswati@ug.sharda.ac.in</v>
          </cell>
          <cell r="I477" t="str">
            <v>2022832635.dilip@pt.sharda.ac.in</v>
          </cell>
          <cell r="J477" t="str">
            <v>91 9934704426</v>
          </cell>
          <cell r="K477" t="str">
            <v>Computer Science</v>
          </cell>
          <cell r="L477" t="str">
            <v>Software Developer</v>
          </cell>
        </row>
        <row r="478">
          <cell r="D478">
            <v>2022834464</v>
          </cell>
          <cell r="E478">
            <v>2201010437</v>
          </cell>
          <cell r="F478" t="str">
            <v>B-Tech CSE-VI H</v>
          </cell>
          <cell r="G478" t="str">
            <v>Bachelor of Technology</v>
          </cell>
          <cell r="H478" t="str">
            <v>2022834464.amrit@ug.sharda.ac.in</v>
          </cell>
          <cell r="I478" t="str">
            <v>2022834464.bhikhariya@pt.sharda.ac.in</v>
          </cell>
          <cell r="J478" t="str">
            <v>91 8757443219</v>
          </cell>
          <cell r="K478" t="str">
            <v>Computer Science</v>
          </cell>
          <cell r="L478" t="str">
            <v>Full Stack Developer(Spring Boot)</v>
          </cell>
        </row>
        <row r="479">
          <cell r="D479">
            <v>2022834589</v>
          </cell>
          <cell r="E479">
            <v>2201010444</v>
          </cell>
          <cell r="F479" t="str">
            <v>B-Tech CSE-VI H</v>
          </cell>
          <cell r="G479" t="str">
            <v>Bachelor of Technology</v>
          </cell>
          <cell r="H479" t="str">
            <v>2022834589.shekharkumar@ug.sharda.ac.in</v>
          </cell>
          <cell r="I479" t="str">
            <v>2022834589.indalpurbe@pt.sharda.ac.in</v>
          </cell>
          <cell r="J479" t="str">
            <v>977 9824256171</v>
          </cell>
          <cell r="K479" t="str">
            <v>Computer Science</v>
          </cell>
          <cell r="L479" t="str">
            <v>Software Developer</v>
          </cell>
        </row>
        <row r="480">
          <cell r="D480">
            <v>2022443535</v>
          </cell>
          <cell r="E480">
            <v>2201010451</v>
          </cell>
          <cell r="F480" t="str">
            <v>B-Tech CSE-VI H</v>
          </cell>
          <cell r="G480" t="str">
            <v>Bachelor of Technology</v>
          </cell>
          <cell r="H480" t="str">
            <v>2022443535.muskan@ug.sharda.ac.in</v>
          </cell>
          <cell r="I480" t="str">
            <v>2022443535.dinesh@pt.sharda.ac.in</v>
          </cell>
          <cell r="J480" t="str">
            <v>9336394829</v>
          </cell>
          <cell r="K480" t="str">
            <v>Computer Science</v>
          </cell>
          <cell r="L480" t="str">
            <v>Full Stack Developer(Spring Boot)</v>
          </cell>
        </row>
        <row r="481">
          <cell r="D481">
            <v>2022503208</v>
          </cell>
          <cell r="E481">
            <v>2201010453</v>
          </cell>
          <cell r="F481" t="str">
            <v>B-Tech CSE-VI H</v>
          </cell>
          <cell r="G481" t="str">
            <v>Bachelor of Technology</v>
          </cell>
          <cell r="H481" t="str">
            <v>2022503208.nakul@ug.sharda.ac.in</v>
          </cell>
          <cell r="I481" t="str">
            <v>2022503208.ashok@pt.sharda.ac.in</v>
          </cell>
          <cell r="J481" t="str">
            <v>8587023411</v>
          </cell>
          <cell r="K481" t="str">
            <v>Computer Science</v>
          </cell>
          <cell r="L481" t="str">
            <v>Full Stack Developer(Spring Boot)</v>
          </cell>
        </row>
        <row r="482">
          <cell r="D482">
            <v>2022006799</v>
          </cell>
          <cell r="E482">
            <v>2201010456</v>
          </cell>
          <cell r="F482" t="str">
            <v>B-Tech CSE-VI H</v>
          </cell>
          <cell r="G482" t="str">
            <v>Bachelor of Technology</v>
          </cell>
          <cell r="H482" t="str">
            <v>2022006799.namrata@ug.sharda.ac.in</v>
          </cell>
          <cell r="I482" t="str">
            <v>2022006799.satyanarayan@pt.sharda.ac.in</v>
          </cell>
          <cell r="J482" t="str">
            <v>7033787816</v>
          </cell>
          <cell r="K482" t="str">
            <v>Computer Science</v>
          </cell>
          <cell r="L482" t="str">
            <v>Full Stack Developer(Spring Boot)</v>
          </cell>
        </row>
        <row r="483">
          <cell r="D483">
            <v>2022303213</v>
          </cell>
          <cell r="E483">
            <v>2201010472</v>
          </cell>
          <cell r="F483" t="str">
            <v>B-Tech CSE-VI H</v>
          </cell>
          <cell r="G483" t="str">
            <v>Bachelor of Technology</v>
          </cell>
          <cell r="H483" t="str">
            <v>2022303213.nikhil@ug.sharda.ac.in</v>
          </cell>
          <cell r="I483" t="str">
            <v>2022303213.arvind@pt.sharda.ac.in</v>
          </cell>
          <cell r="J483" t="str">
            <v>8972061400</v>
          </cell>
          <cell r="K483" t="str">
            <v>Computer Science</v>
          </cell>
          <cell r="L483" t="str">
            <v>Software Developer</v>
          </cell>
        </row>
        <row r="484">
          <cell r="D484">
            <v>2022559563</v>
          </cell>
          <cell r="E484">
            <v>2201010495</v>
          </cell>
          <cell r="F484" t="str">
            <v>B-Tech CSE-VI H</v>
          </cell>
          <cell r="G484" t="str">
            <v>Bachelor of Technology</v>
          </cell>
          <cell r="H484" t="str">
            <v>2022559563.paritosh@ug.sharda.ac.in</v>
          </cell>
          <cell r="I484" t="str">
            <v>2022559563.bharatsingh@pt.sharda.ac.in</v>
          </cell>
          <cell r="J484" t="str">
            <v>9548745734</v>
          </cell>
          <cell r="K484" t="str">
            <v>Computer Science</v>
          </cell>
          <cell r="L484" t="str">
            <v>Software Developer</v>
          </cell>
        </row>
        <row r="485">
          <cell r="D485">
            <v>2022559558</v>
          </cell>
          <cell r="E485">
            <v>2201010530</v>
          </cell>
          <cell r="F485" t="str">
            <v>B-Tech CSE-VI H</v>
          </cell>
          <cell r="G485" t="str">
            <v>Bachelor of Technology</v>
          </cell>
          <cell r="H485" t="str">
            <v>2022559558.priyanshu@ug.sharda.ac.in</v>
          </cell>
          <cell r="I485" t="str">
            <v>2022559558.triloksingh@pt.sharda.ac.in</v>
          </cell>
          <cell r="J485" t="str">
            <v>6396950928</v>
          </cell>
          <cell r="K485" t="str">
            <v>Computer Science</v>
          </cell>
          <cell r="L485" t="str">
            <v>Software Developer</v>
          </cell>
        </row>
        <row r="486">
          <cell r="D486">
            <v>2022304804</v>
          </cell>
          <cell r="E486">
            <v>2201010534</v>
          </cell>
          <cell r="F486" t="str">
            <v>B-Tech CSE-VI H</v>
          </cell>
          <cell r="G486" t="str">
            <v>Bachelor of Technology</v>
          </cell>
          <cell r="H486" t="str">
            <v>2022304804.priyanshu@ug.sharda.ac.in</v>
          </cell>
          <cell r="I486" t="str">
            <v>2022304804.shailesh@pt.sharda.ac.in</v>
          </cell>
          <cell r="J486" t="str">
            <v>9076913494</v>
          </cell>
          <cell r="K486" t="str">
            <v>Computer Science</v>
          </cell>
          <cell r="L486" t="str">
            <v>Full Stack Developer(Spring Boot)</v>
          </cell>
        </row>
        <row r="487">
          <cell r="D487">
            <v>2022006437</v>
          </cell>
          <cell r="E487">
            <v>2201010536</v>
          </cell>
          <cell r="F487" t="str">
            <v>B-Tech CSE-VI H</v>
          </cell>
          <cell r="G487" t="str">
            <v>Bachelor of Technology</v>
          </cell>
          <cell r="H487" t="str">
            <v>2022006437.priyanshu@ug.sharda.ac.in</v>
          </cell>
          <cell r="I487" t="str">
            <v>2022006437.arunkumar@pt.sharda.ac.in</v>
          </cell>
          <cell r="J487" t="str">
            <v>8377044082</v>
          </cell>
          <cell r="K487" t="str">
            <v>Computer Science</v>
          </cell>
          <cell r="L487" t="str">
            <v>Software Developer</v>
          </cell>
        </row>
        <row r="488">
          <cell r="D488">
            <v>2022502123</v>
          </cell>
          <cell r="E488">
            <v>2201010541</v>
          </cell>
          <cell r="F488" t="str">
            <v>B-Tech CSE-VI H</v>
          </cell>
          <cell r="G488" t="str">
            <v>Bachelor of Technology</v>
          </cell>
          <cell r="H488" t="str">
            <v>2022502123.pushkar@ug.sharda.ac.in</v>
          </cell>
          <cell r="I488" t="str">
            <v>2022502123.nawalkumar@pt.sharda.ac.in</v>
          </cell>
          <cell r="J488" t="str">
            <v>7295035144</v>
          </cell>
          <cell r="K488" t="str">
            <v>Computer Science</v>
          </cell>
          <cell r="L488" t="e">
            <v>#N/A</v>
          </cell>
        </row>
        <row r="489">
          <cell r="D489">
            <v>2022554897</v>
          </cell>
          <cell r="E489">
            <v>2201010562</v>
          </cell>
          <cell r="F489" t="str">
            <v>B-Tech CSE-VI H</v>
          </cell>
          <cell r="G489" t="str">
            <v>Bachelor of Technology</v>
          </cell>
          <cell r="H489" t="str">
            <v>2022554897.raushan@ug.sharda.ac.in</v>
          </cell>
          <cell r="I489" t="str">
            <v>2022554897.devendrakumar@pt.sharda.ac.in</v>
          </cell>
          <cell r="J489" t="str">
            <v>9693985964</v>
          </cell>
          <cell r="K489" t="str">
            <v>Computer Science</v>
          </cell>
          <cell r="L489" t="str">
            <v>Software Developer</v>
          </cell>
        </row>
        <row r="490">
          <cell r="D490">
            <v>2022006859</v>
          </cell>
          <cell r="E490">
            <v>2201010563</v>
          </cell>
          <cell r="F490" t="str">
            <v>B-Tech CSE-VI H</v>
          </cell>
          <cell r="G490" t="str">
            <v>Bachelor of Technology</v>
          </cell>
          <cell r="H490" t="str">
            <v>2022006859.ravi@ug.sharda.ac.in</v>
          </cell>
          <cell r="I490" t="str">
            <v>2022006859.munnakumar@pt.sharda.ac.in</v>
          </cell>
          <cell r="J490" t="str">
            <v>9821056602</v>
          </cell>
          <cell r="K490" t="str">
            <v>Computer Science</v>
          </cell>
          <cell r="L490" t="str">
            <v>Full Stack Developer(Spring Boot)</v>
          </cell>
        </row>
        <row r="491">
          <cell r="D491">
            <v>2022446209</v>
          </cell>
          <cell r="E491">
            <v>2201010565</v>
          </cell>
          <cell r="F491" t="str">
            <v>B-Tech CSE-VI H</v>
          </cell>
          <cell r="G491" t="str">
            <v>Bachelor of Technology</v>
          </cell>
          <cell r="H491" t="str">
            <v>2022446209.raza@ug.sharda.ac.in</v>
          </cell>
          <cell r="I491" t="str">
            <v>2022446209.saleemakhtar@pt.sharda.ac.in</v>
          </cell>
          <cell r="J491" t="str">
            <v>7906944241</v>
          </cell>
          <cell r="K491" t="str">
            <v>Computer Science</v>
          </cell>
          <cell r="L491" t="str">
            <v>Full Stack Developer(Spring Boot)</v>
          </cell>
        </row>
        <row r="492">
          <cell r="D492">
            <v>2022829568</v>
          </cell>
          <cell r="E492">
            <v>2201010568</v>
          </cell>
          <cell r="F492" t="str">
            <v>B-Tech CSE-VI H</v>
          </cell>
          <cell r="G492" t="str">
            <v>Bachelor of Technology</v>
          </cell>
          <cell r="H492" t="str">
            <v>2022829568.renuka@ug.sharda.ac.in</v>
          </cell>
          <cell r="I492" t="str">
            <v>2022829568.gopalprasad@pt.sharda.ac.in</v>
          </cell>
          <cell r="J492" t="str">
            <v>9812872299</v>
          </cell>
          <cell r="K492" t="str">
            <v>Computer Science</v>
          </cell>
          <cell r="L492" t="str">
            <v>Full Stack Developer(Spring Boot)</v>
          </cell>
        </row>
        <row r="493">
          <cell r="D493">
            <v>2022317952</v>
          </cell>
          <cell r="E493">
            <v>2201010587</v>
          </cell>
          <cell r="F493" t="str">
            <v>B-Tech CSE-VI H</v>
          </cell>
          <cell r="G493" t="str">
            <v>Bachelor of Technology</v>
          </cell>
          <cell r="H493" t="str">
            <v>2022317952.ritika@ug.sharda.ac.in</v>
          </cell>
          <cell r="I493" t="str">
            <v>2022317952.ravindersingh@pt.sharda.ac.in</v>
          </cell>
          <cell r="J493" t="str">
            <v>9667869832</v>
          </cell>
          <cell r="K493" t="str">
            <v>Computer Science</v>
          </cell>
          <cell r="L493" t="str">
            <v>Full Stack Developer(Spring Boot)</v>
          </cell>
        </row>
        <row r="494">
          <cell r="D494">
            <v>2022483390</v>
          </cell>
          <cell r="E494">
            <v>2201010595</v>
          </cell>
          <cell r="F494" t="str">
            <v>B-Tech CSE-VI H</v>
          </cell>
          <cell r="G494" t="str">
            <v>Bachelor of Technology</v>
          </cell>
          <cell r="H494" t="str">
            <v>2022483390.rockey@ug.sharda.ac.in</v>
          </cell>
          <cell r="I494" t="str">
            <v>2022483390.yadunandan@pt.sharda.ac.in</v>
          </cell>
          <cell r="J494" t="str">
            <v>7061826795</v>
          </cell>
          <cell r="K494" t="str">
            <v>Computer Science</v>
          </cell>
          <cell r="L494" t="str">
            <v>Software Developer</v>
          </cell>
        </row>
        <row r="495">
          <cell r="D495">
            <v>2022818891</v>
          </cell>
          <cell r="E495">
            <v>2201010617</v>
          </cell>
          <cell r="F495" t="str">
            <v>B-Tech CSE-VI H</v>
          </cell>
          <cell r="G495" t="str">
            <v>Bachelor of Technology</v>
          </cell>
          <cell r="H495" t="str">
            <v>2022818891.saksham@ug.sharda.ac.in</v>
          </cell>
          <cell r="I495" t="str">
            <v>2022818891.binodkumar@pt.sharda.ac.in</v>
          </cell>
          <cell r="J495" t="str">
            <v>9335394969</v>
          </cell>
          <cell r="K495" t="str">
            <v>Computer Science</v>
          </cell>
          <cell r="L495" t="str">
            <v>Full Stack Developer(Spring Boot)</v>
          </cell>
        </row>
        <row r="496">
          <cell r="D496">
            <v>2022558819</v>
          </cell>
          <cell r="E496">
            <v>2201010621</v>
          </cell>
          <cell r="F496" t="str">
            <v>B-Tech CSE-VI H</v>
          </cell>
          <cell r="G496" t="str">
            <v>Bachelor of Technology</v>
          </cell>
          <cell r="H496" t="str">
            <v>2022558819.saloni@ug.sharda.ac.in</v>
          </cell>
          <cell r="I496" t="str">
            <v>2022558819.hemant@pt.sharda.ac.in</v>
          </cell>
          <cell r="J496" t="str">
            <v>8252799984</v>
          </cell>
          <cell r="K496" t="str">
            <v>Computer Science</v>
          </cell>
          <cell r="L496" t="str">
            <v>Full Stack Developer(Spring Boot)</v>
          </cell>
        </row>
        <row r="497">
          <cell r="D497">
            <v>2022502747</v>
          </cell>
          <cell r="E497">
            <v>2201010642</v>
          </cell>
          <cell r="F497" t="str">
            <v>B-Tech CSE-VI H</v>
          </cell>
          <cell r="G497" t="str">
            <v>Bachelor of Technology</v>
          </cell>
          <cell r="H497" t="str">
            <v>2022502747.satyam@ug.sharda.ac.in</v>
          </cell>
          <cell r="I497" t="str">
            <v>2022502747.vikram@pt.sharda.ac.in</v>
          </cell>
          <cell r="J497" t="str">
            <v>8881431450</v>
          </cell>
          <cell r="K497" t="str">
            <v>Computer Science</v>
          </cell>
          <cell r="L497" t="str">
            <v>Full Stack Developer(Spring Boot)</v>
          </cell>
        </row>
        <row r="498">
          <cell r="D498">
            <v>2022820996</v>
          </cell>
          <cell r="E498">
            <v>2201010647</v>
          </cell>
          <cell r="F498" t="str">
            <v>B-Tech CSE-VI H</v>
          </cell>
          <cell r="G498" t="str">
            <v>Bachelor of Technology</v>
          </cell>
          <cell r="H498" t="str">
            <v>2022820996.saurab@ug.sharda.ac.in</v>
          </cell>
          <cell r="I498" t="str">
            <v>2022820996.gunbahadur@pt.sharda.ac.in</v>
          </cell>
          <cell r="J498" t="str">
            <v>8595197137</v>
          </cell>
          <cell r="K498" t="str">
            <v>Computer Science</v>
          </cell>
          <cell r="L498" t="str">
            <v>Full Stack Developer(Spring Boot)</v>
          </cell>
        </row>
        <row r="499">
          <cell r="D499">
            <v>2022006694</v>
          </cell>
          <cell r="E499">
            <v>2201010660</v>
          </cell>
          <cell r="F499" t="str">
            <v>B-Tech CSE-VI H</v>
          </cell>
          <cell r="G499" t="str">
            <v>Bachelor of Technology</v>
          </cell>
          <cell r="H499" t="str">
            <v>2022006694.shashwat@ug.sharda.ac.in</v>
          </cell>
          <cell r="I499" t="str">
            <v>2022006694.manojkumar@pt.sharda.ac.in</v>
          </cell>
          <cell r="J499" t="str">
            <v>8081669849</v>
          </cell>
          <cell r="K499" t="str">
            <v>Computer Science</v>
          </cell>
          <cell r="L499" t="str">
            <v>Full Stack Developer(Spring Boot)</v>
          </cell>
        </row>
        <row r="500">
          <cell r="D500">
            <v>2022468330</v>
          </cell>
          <cell r="E500">
            <v>2201010670</v>
          </cell>
          <cell r="F500" t="str">
            <v>B-Tech CSE-VI H</v>
          </cell>
          <cell r="G500" t="str">
            <v>Bachelor of Technology</v>
          </cell>
          <cell r="H500" t="str">
            <v>2022468330.shivam@ug.sharda.ac.in</v>
          </cell>
          <cell r="I500" t="str">
            <v>2022468330.surendra@pt.sharda.ac.in</v>
          </cell>
          <cell r="J500" t="str">
            <v>7982564713</v>
          </cell>
          <cell r="K500" t="str">
            <v>Computer Science</v>
          </cell>
          <cell r="L500" t="str">
            <v>Cyber Security Analyst</v>
          </cell>
        </row>
        <row r="501">
          <cell r="D501">
            <v>2022006868</v>
          </cell>
          <cell r="E501">
            <v>2201010673</v>
          </cell>
          <cell r="F501" t="str">
            <v>B-Tech CSE-VI H</v>
          </cell>
          <cell r="G501" t="str">
            <v>Bachelor of Technology</v>
          </cell>
          <cell r="H501" t="str">
            <v>2022006868.shivam@ug.sharda.ac.in</v>
          </cell>
          <cell r="I501" t="str">
            <v>2022006868.sanjeev@pt.sharda.ac.in</v>
          </cell>
          <cell r="J501" t="str">
            <v>7644822120</v>
          </cell>
          <cell r="K501" t="str">
            <v>Computer Science</v>
          </cell>
          <cell r="L501" t="str">
            <v>Software Developer</v>
          </cell>
        </row>
        <row r="502">
          <cell r="D502">
            <v>2022006890</v>
          </cell>
          <cell r="E502">
            <v>2201010686</v>
          </cell>
          <cell r="F502" t="str">
            <v>B-Tech CSE-VI H</v>
          </cell>
          <cell r="G502" t="str">
            <v>Bachelor of Technology</v>
          </cell>
          <cell r="H502" t="str">
            <v>2022006890.shristi@ug.sharda.ac.in</v>
          </cell>
          <cell r="I502" t="str">
            <v>2022006890.arvindkumar@pt.sharda.ac.in</v>
          </cell>
          <cell r="J502" t="str">
            <v>7905342875</v>
          </cell>
          <cell r="K502" t="str">
            <v>Computer Science</v>
          </cell>
          <cell r="L502" t="str">
            <v>Software Developer</v>
          </cell>
        </row>
        <row r="503">
          <cell r="D503">
            <v>2022559432</v>
          </cell>
          <cell r="E503">
            <v>2201010689</v>
          </cell>
          <cell r="F503" t="str">
            <v>B-Tech CSE-VI H</v>
          </cell>
          <cell r="G503" t="str">
            <v>Bachelor of Technology</v>
          </cell>
          <cell r="H503" t="str">
            <v>2022559432.shubham@ug.sharda.ac.in</v>
          </cell>
          <cell r="I503" t="str">
            <v>2022559432.hem@pt.sharda.ac.in</v>
          </cell>
          <cell r="J503" t="str">
            <v>6263994974</v>
          </cell>
          <cell r="K503" t="str">
            <v>Computer Science</v>
          </cell>
          <cell r="L503" t="str">
            <v>Software Developer</v>
          </cell>
        </row>
        <row r="504">
          <cell r="D504">
            <v>2022338616</v>
          </cell>
          <cell r="E504">
            <v>2201010695</v>
          </cell>
          <cell r="F504" t="str">
            <v>B-Tech CSE-VI H</v>
          </cell>
          <cell r="G504" t="str">
            <v>Bachelor of Technology</v>
          </cell>
          <cell r="H504" t="str">
            <v>2022338616.simran@ug.sharda.ac.in</v>
          </cell>
          <cell r="I504" t="str">
            <v>2022338616.manoj@pt.sharda.ac.in</v>
          </cell>
          <cell r="J504" t="str">
            <v>7827186921</v>
          </cell>
          <cell r="K504" t="str">
            <v>Computer Science</v>
          </cell>
          <cell r="L504" t="str">
            <v>Software Developer</v>
          </cell>
        </row>
        <row r="505">
          <cell r="D505">
            <v>2022508695</v>
          </cell>
          <cell r="E505">
            <v>2201010720</v>
          </cell>
          <cell r="F505" t="str">
            <v>B-Tech CSE-VI H</v>
          </cell>
          <cell r="G505" t="str">
            <v>Bachelor of Technology</v>
          </cell>
          <cell r="H505" t="str">
            <v>2022508695.sumit@ug.sharda.ac.in</v>
          </cell>
          <cell r="I505" t="str">
            <v>2022508695.omprakash@pt.sharda.ac.in</v>
          </cell>
          <cell r="J505" t="str">
            <v>9548741286</v>
          </cell>
          <cell r="K505" t="str">
            <v>Computer Science</v>
          </cell>
          <cell r="L505" t="str">
            <v>Software Developer</v>
          </cell>
        </row>
        <row r="506">
          <cell r="D506">
            <v>2022403475</v>
          </cell>
          <cell r="E506">
            <v>2201010726</v>
          </cell>
          <cell r="F506" t="str">
            <v>B-Tech CSE-VI H</v>
          </cell>
          <cell r="G506" t="str">
            <v>Bachelor of Technology</v>
          </cell>
          <cell r="H506" t="str">
            <v>2022403475.surabhi@ug.sharda.ac.in</v>
          </cell>
          <cell r="I506" t="str">
            <v>2022403475.satyendrakumar@pt.sharda.ac.in</v>
          </cell>
          <cell r="J506" t="str">
            <v>8433363676</v>
          </cell>
          <cell r="K506" t="str">
            <v>Computer Science</v>
          </cell>
          <cell r="L506" t="str">
            <v>Full Stack Developer(Spring Boot)</v>
          </cell>
        </row>
        <row r="507">
          <cell r="D507">
            <v>2022561225</v>
          </cell>
          <cell r="E507">
            <v>2201010750</v>
          </cell>
          <cell r="F507" t="str">
            <v>B-Tech CSE-VI H</v>
          </cell>
          <cell r="G507" t="str">
            <v>Bachelor of Technology</v>
          </cell>
          <cell r="H507" t="str">
            <v>2022561225.tarun@ug.sharda.ac.in</v>
          </cell>
          <cell r="I507" t="str">
            <v>2022561225.navdeep@pt.sharda.ac.in</v>
          </cell>
          <cell r="J507" t="str">
            <v>8791477144</v>
          </cell>
          <cell r="K507" t="str">
            <v>Computer Science</v>
          </cell>
          <cell r="L507" t="str">
            <v>Full Stack Developer(Spring Boot)</v>
          </cell>
        </row>
        <row r="508">
          <cell r="D508">
            <v>2022003841</v>
          </cell>
          <cell r="E508">
            <v>2201010798</v>
          </cell>
          <cell r="F508" t="str">
            <v>B-Tech CSE-VI H</v>
          </cell>
          <cell r="G508" t="str">
            <v>Bachelor of Technology</v>
          </cell>
          <cell r="H508" t="str">
            <v>2022003841.vishvendra@ug.sharda.ac.in</v>
          </cell>
          <cell r="I508" t="str">
            <v>2022003841.pushpendra@pt.sharda.ac.in</v>
          </cell>
          <cell r="J508" t="str">
            <v>9368863746</v>
          </cell>
          <cell r="K508" t="str">
            <v>Computer Science</v>
          </cell>
          <cell r="L508" t="str">
            <v>Full Stack Developer(Spring Boot)</v>
          </cell>
        </row>
        <row r="509">
          <cell r="D509">
            <v>2022007179</v>
          </cell>
          <cell r="E509">
            <v>2201010836</v>
          </cell>
          <cell r="F509" t="str">
            <v>B-Tech CSE-VI H</v>
          </cell>
          <cell r="G509" t="str">
            <v>Bachelor of Technology</v>
          </cell>
          <cell r="H509" t="str">
            <v>2022007179.akshit@ug.sharda.ac.in</v>
          </cell>
          <cell r="I509" t="str">
            <v>2022007179.harish@pt.sharda.ac.in</v>
          </cell>
          <cell r="J509" t="str">
            <v>8076487808</v>
          </cell>
          <cell r="K509" t="str">
            <v>Computer Science</v>
          </cell>
          <cell r="L509" t="str">
            <v>Full Stack Developer(MERN Stack)</v>
          </cell>
        </row>
        <row r="510">
          <cell r="D510">
            <v>2022007342</v>
          </cell>
          <cell r="E510">
            <v>2201010845</v>
          </cell>
          <cell r="F510" t="str">
            <v>B-Tech CSE-VI H</v>
          </cell>
          <cell r="G510" t="str">
            <v>Bachelor of Technology</v>
          </cell>
          <cell r="H510" t="str">
            <v>2022007342.kunal@ug.sharda.ac.in</v>
          </cell>
          <cell r="I510" t="str">
            <v>2022007342.mahendra@pt.sharda.ac.in</v>
          </cell>
          <cell r="J510" t="str">
            <v>9149220680</v>
          </cell>
          <cell r="K510" t="str">
            <v>Computer Science</v>
          </cell>
          <cell r="L510" t="str">
            <v>Software Developer</v>
          </cell>
        </row>
        <row r="511">
          <cell r="D511">
            <v>2022007381</v>
          </cell>
          <cell r="E511">
            <v>2201010846</v>
          </cell>
          <cell r="F511" t="str">
            <v>B-Tech CSE-VI H</v>
          </cell>
          <cell r="G511" t="str">
            <v>Bachelor of Technology</v>
          </cell>
          <cell r="H511" t="str">
            <v>2022007381.ankit@ug.sharda.ac.in</v>
          </cell>
          <cell r="I511" t="str">
            <v>2022007381.virendra@pt.sharda.ac.in</v>
          </cell>
          <cell r="J511" t="str">
            <v>7759816393</v>
          </cell>
          <cell r="K511" t="str">
            <v>Computer Science</v>
          </cell>
          <cell r="L511" t="str">
            <v>Full Stack Developer(Spring Boot)</v>
          </cell>
        </row>
        <row r="512">
          <cell r="D512">
            <v>2022007635</v>
          </cell>
          <cell r="E512">
            <v>2201010854</v>
          </cell>
          <cell r="F512" t="str">
            <v>B-Tech CSE-VI H</v>
          </cell>
          <cell r="G512" t="str">
            <v>Bachelor of Technology</v>
          </cell>
          <cell r="H512" t="str">
            <v>2022007635.ashish@ug.sharda.ac.in</v>
          </cell>
          <cell r="I512" t="str">
            <v>2022007635.mahavirprasad@pt.sharda.ac.in</v>
          </cell>
          <cell r="J512">
            <v>0</v>
          </cell>
          <cell r="K512" t="str">
            <v>Computer Science</v>
          </cell>
          <cell r="L512" t="str">
            <v>Software Developer</v>
          </cell>
        </row>
        <row r="513">
          <cell r="D513">
            <v>2022485674</v>
          </cell>
          <cell r="E513">
            <v>2201010872</v>
          </cell>
          <cell r="F513" t="str">
            <v>B-Tech CSE-VI H</v>
          </cell>
          <cell r="G513" t="str">
            <v>Bachelor of Technology</v>
          </cell>
          <cell r="H513" t="str">
            <v>2022485674.baliram@ug.sharda.ac.in</v>
          </cell>
          <cell r="I513" t="str">
            <v>2022485674.shivmuni@pt.sharda.ac.in</v>
          </cell>
          <cell r="J513" t="str">
            <v>6204937729</v>
          </cell>
          <cell r="K513" t="str">
            <v>Computer Science</v>
          </cell>
          <cell r="L513" t="str">
            <v>Software Developer</v>
          </cell>
        </row>
        <row r="514">
          <cell r="D514">
            <v>2022558410</v>
          </cell>
          <cell r="E514">
            <v>2201010882</v>
          </cell>
          <cell r="F514" t="str">
            <v>B-Tech CSE-VI H</v>
          </cell>
          <cell r="G514" t="str">
            <v>Bachelor of Technology</v>
          </cell>
          <cell r="H514" t="str">
            <v>2022558410.md@ug.sharda.ac.in</v>
          </cell>
          <cell r="I514" t="str">
            <v>2022558410.mdahsan@pt.sharda.ac.in</v>
          </cell>
          <cell r="J514" t="str">
            <v>7033913503</v>
          </cell>
          <cell r="K514" t="str">
            <v>Computer Science</v>
          </cell>
          <cell r="L514" t="str">
            <v>Software Developer</v>
          </cell>
        </row>
        <row r="515">
          <cell r="D515">
            <v>2022593768</v>
          </cell>
          <cell r="E515">
            <v>2201010891</v>
          </cell>
          <cell r="F515" t="str">
            <v>B-Tech CSE-VI H</v>
          </cell>
          <cell r="G515" t="str">
            <v>Bachelor of Technology</v>
          </cell>
          <cell r="H515" t="str">
            <v>2022593768.alok@ug.sharda.ac.in</v>
          </cell>
          <cell r="I515" t="str">
            <v>2022593768.kamalbash@pt.sharda.ac.in</v>
          </cell>
          <cell r="J515" t="str">
            <v>7207263026</v>
          </cell>
          <cell r="K515" t="str">
            <v>Computer Science</v>
          </cell>
          <cell r="L515" t="e">
            <v>#N/A</v>
          </cell>
        </row>
        <row r="516">
          <cell r="D516">
            <v>2022621767</v>
          </cell>
          <cell r="E516">
            <v>2201010905</v>
          </cell>
          <cell r="F516" t="str">
            <v>B-Tech CSE-VI H</v>
          </cell>
          <cell r="G516" t="str">
            <v>Bachelor of Technology</v>
          </cell>
          <cell r="H516" t="str">
            <v>2022621767.anagh@ug.sharda.ac.in</v>
          </cell>
          <cell r="I516" t="str">
            <v>2022621767.chandran@pt.sharda.ac.in</v>
          </cell>
          <cell r="J516" t="str">
            <v>9479557386</v>
          </cell>
          <cell r="K516" t="str">
            <v>Computer Science</v>
          </cell>
          <cell r="L516" t="str">
            <v>Full Stack Developer(Spring Boot)</v>
          </cell>
        </row>
        <row r="517">
          <cell r="D517">
            <v>2022624445</v>
          </cell>
          <cell r="E517">
            <v>2201010906</v>
          </cell>
          <cell r="F517" t="str">
            <v>B-Tech CSE-VI H</v>
          </cell>
          <cell r="G517" t="str">
            <v>Bachelor of Technology</v>
          </cell>
          <cell r="H517" t="str">
            <v>2022624445.anshuman@ug.sharda.ac.in</v>
          </cell>
          <cell r="I517" t="str">
            <v>2022624445.awadheshkumar@pt.sharda.ac.in</v>
          </cell>
          <cell r="J517" t="str">
            <v>9572408902</v>
          </cell>
          <cell r="K517" t="str">
            <v>Computer Science</v>
          </cell>
          <cell r="L517" t="str">
            <v>Software Developer</v>
          </cell>
        </row>
        <row r="518">
          <cell r="D518">
            <v>2023521223</v>
          </cell>
          <cell r="E518">
            <v>2301017014</v>
          </cell>
          <cell r="F518" t="str">
            <v>B-Tech CSE-VI H</v>
          </cell>
          <cell r="G518" t="str">
            <v>Bachelor of Technology</v>
          </cell>
          <cell r="H518" t="str">
            <v>2023521223.sahil@ug.sharda.ac.in</v>
          </cell>
          <cell r="I518" t="str">
            <v>2023521223.sushil@pt.sharda.ac.in</v>
          </cell>
          <cell r="J518" t="str">
            <v>8126223351</v>
          </cell>
          <cell r="K518" t="str">
            <v>Computer Science</v>
          </cell>
          <cell r="L518" t="str">
            <v>Software Developer</v>
          </cell>
        </row>
        <row r="519">
          <cell r="D519">
            <v>2022003160</v>
          </cell>
          <cell r="E519">
            <v>2201010002</v>
          </cell>
          <cell r="F519" t="str">
            <v>B-Tech CSE (SPL)-VI J</v>
          </cell>
          <cell r="G519" t="str">
            <v>Bachelor of Technology</v>
          </cell>
          <cell r="H519" t="str">
            <v>2022003160.aadesh@ug.sharda.ac.in</v>
          </cell>
          <cell r="I519" t="str">
            <v>2022003160.ranjeet@pt.sharda.ac.in</v>
          </cell>
          <cell r="J519" t="str">
            <v>9599134513</v>
          </cell>
          <cell r="K519" t="str">
            <v>CS - AI&amp; Machine Learning</v>
          </cell>
          <cell r="L519" t="str">
            <v>Machine Learning Engineer</v>
          </cell>
        </row>
        <row r="520">
          <cell r="D520">
            <v>2022486764</v>
          </cell>
          <cell r="E520">
            <v>2201010004</v>
          </cell>
          <cell r="F520" t="str">
            <v>B-Tech CSE (SPL)-VI J</v>
          </cell>
          <cell r="G520" t="str">
            <v>Bachelor of Technology</v>
          </cell>
          <cell r="H520" t="str">
            <v>2022486764.aaisha@ug.sharda.ac.in</v>
          </cell>
          <cell r="I520" t="str">
            <v>2022486764.aijaz@pt.sharda.ac.in</v>
          </cell>
          <cell r="J520" t="str">
            <v>7042799743</v>
          </cell>
          <cell r="K520" t="str">
            <v>CS - AI&amp; Machine Learning</v>
          </cell>
          <cell r="L520" t="str">
            <v>Machine Learning Engineer</v>
          </cell>
        </row>
        <row r="521">
          <cell r="D521">
            <v>2022380686</v>
          </cell>
          <cell r="E521">
            <v>2201010011</v>
          </cell>
          <cell r="F521" t="str">
            <v>B-Tech CSE (SPL)-VI J</v>
          </cell>
          <cell r="G521" t="str">
            <v>Bachelor of Technology</v>
          </cell>
          <cell r="H521" t="str">
            <v>2022380686.abdul@ug.sharda.ac.in</v>
          </cell>
          <cell r="I521" t="str">
            <v>2022380686.khaliqur@pt.sharda.ac.in</v>
          </cell>
          <cell r="J521" t="str">
            <v>9899677847</v>
          </cell>
          <cell r="K521" t="str">
            <v>CS - AI&amp; Machine Learning</v>
          </cell>
          <cell r="L521" t="str">
            <v>Software Developer</v>
          </cell>
        </row>
        <row r="522">
          <cell r="D522">
            <v>2022516040</v>
          </cell>
          <cell r="E522">
            <v>2201010020</v>
          </cell>
          <cell r="F522" t="str">
            <v>B-Tech CSE (SPL)-VI J</v>
          </cell>
          <cell r="G522" t="str">
            <v>Bachelor of Technology</v>
          </cell>
          <cell r="H522" t="str">
            <v>2022516040.abhinav@ug.sharda.ac.in</v>
          </cell>
          <cell r="I522" t="str">
            <v>2022516040.chandramohan@pt.sharda.ac.in</v>
          </cell>
          <cell r="J522" t="str">
            <v>9568548982</v>
          </cell>
          <cell r="K522" t="str">
            <v>CS - AI&amp; Machine Learning</v>
          </cell>
          <cell r="L522" t="str">
            <v>Software Developer</v>
          </cell>
        </row>
        <row r="523">
          <cell r="D523">
            <v>2022354445</v>
          </cell>
          <cell r="E523">
            <v>2201010021</v>
          </cell>
          <cell r="F523" t="str">
            <v>B-Tech CSE (SPL)-VI J</v>
          </cell>
          <cell r="G523" t="str">
            <v>Bachelor of Technology</v>
          </cell>
          <cell r="H523" t="str">
            <v>2022354445.abhinav@ug.sharda.ac.in</v>
          </cell>
          <cell r="I523" t="str">
            <v>2022354445.vivekkumar@pt.sharda.ac.in</v>
          </cell>
          <cell r="J523" t="str">
            <v>8178953238</v>
          </cell>
          <cell r="K523" t="str">
            <v>CS - AI&amp; Machine Learning</v>
          </cell>
          <cell r="L523" t="str">
            <v>Machine Learning Engineer</v>
          </cell>
        </row>
        <row r="524">
          <cell r="D524">
            <v>2022460612</v>
          </cell>
          <cell r="E524">
            <v>2201010026</v>
          </cell>
          <cell r="F524" t="str">
            <v>B-Tech CSE (SPL)-VI J</v>
          </cell>
          <cell r="G524" t="str">
            <v>Bachelor of Technology</v>
          </cell>
          <cell r="H524" t="str">
            <v>2022460612.abhishek@ug.sharda.ac.in</v>
          </cell>
          <cell r="I524" t="str">
            <v>2022460612.ajay@pt.sharda.ac.in</v>
          </cell>
          <cell r="J524" t="str">
            <v>9108031401</v>
          </cell>
          <cell r="K524" t="str">
            <v>CS - AI&amp; Machine Learning</v>
          </cell>
          <cell r="L524" t="e">
            <v>#N/A</v>
          </cell>
        </row>
        <row r="525">
          <cell r="D525">
            <v>2022445444</v>
          </cell>
          <cell r="E525">
            <v>2201010028</v>
          </cell>
          <cell r="F525" t="str">
            <v>B-Tech CSE (SPL)-VI J</v>
          </cell>
          <cell r="G525" t="str">
            <v>Bachelor of Technology</v>
          </cell>
          <cell r="H525" t="str">
            <v>2022445444.abiral@ug.sharda.ac.in</v>
          </cell>
          <cell r="I525" t="str">
            <v>2022445444.hemant@pt.sharda.ac.in</v>
          </cell>
          <cell r="J525" t="str">
            <v>9453785176</v>
          </cell>
          <cell r="K525" t="str">
            <v>CS - AI&amp; Machine Learning</v>
          </cell>
          <cell r="L525" t="str">
            <v>Machine Learning Engineer</v>
          </cell>
        </row>
        <row r="526">
          <cell r="D526">
            <v>2022489115</v>
          </cell>
          <cell r="E526">
            <v>2201010036</v>
          </cell>
          <cell r="F526" t="str">
            <v>B-Tech CSE (SPL)-VI J</v>
          </cell>
          <cell r="G526" t="str">
            <v>Bachelor of Technology</v>
          </cell>
          <cell r="H526" t="str">
            <v>2022489115.adeem@ug.sharda.ac.in</v>
          </cell>
          <cell r="I526" t="str">
            <v>2022489115.mohammadayoub@pt.sharda.ac.in</v>
          </cell>
          <cell r="J526" t="str">
            <v>8899211060</v>
          </cell>
          <cell r="K526" t="str">
            <v>CS - AI&amp; Machine Learning</v>
          </cell>
          <cell r="L526" t="str">
            <v>Machine Learning Engineer</v>
          </cell>
        </row>
        <row r="527">
          <cell r="D527">
            <v>2022508637</v>
          </cell>
          <cell r="E527">
            <v>2201010060</v>
          </cell>
          <cell r="F527" t="str">
            <v>B-Tech CSE (SPL)-VI J</v>
          </cell>
          <cell r="G527" t="str">
            <v>Bachelor of Technology</v>
          </cell>
          <cell r="H527" t="str">
            <v>2022508637.akarsh@ug.sharda.ac.in</v>
          </cell>
          <cell r="I527" t="str">
            <v>2022508637.atul@pt.sharda.ac.in</v>
          </cell>
          <cell r="J527" t="str">
            <v>8429340368</v>
          </cell>
          <cell r="K527" t="str">
            <v>CS - AI&amp; Machine Learning</v>
          </cell>
          <cell r="L527" t="str">
            <v>Software Developer</v>
          </cell>
        </row>
        <row r="528">
          <cell r="D528">
            <v>2022002974</v>
          </cell>
          <cell r="E528">
            <v>2201010074</v>
          </cell>
          <cell r="F528" t="str">
            <v>B-Tech CSE (SPL)-VI J</v>
          </cell>
          <cell r="G528" t="str">
            <v>Bachelor of Technology</v>
          </cell>
          <cell r="H528" t="str">
            <v>2022002974.aman@ug.sharda.ac.in</v>
          </cell>
          <cell r="I528" t="str">
            <v>2022002974.jhinku@pt.sharda.ac.in</v>
          </cell>
          <cell r="J528" t="str">
            <v>6394293533</v>
          </cell>
          <cell r="K528" t="str">
            <v>CS - AI&amp; Machine Learning</v>
          </cell>
          <cell r="L528" t="str">
            <v>Machine Learning Engineer</v>
          </cell>
        </row>
        <row r="529">
          <cell r="D529">
            <v>2022405043</v>
          </cell>
          <cell r="E529">
            <v>2201010112</v>
          </cell>
          <cell r="F529" t="str">
            <v>B-Tech CSE (SPL)-VI J</v>
          </cell>
          <cell r="G529" t="str">
            <v>Bachelor of Technology</v>
          </cell>
          <cell r="H529" t="str">
            <v>2022405043.anuj@ug.sharda.ac.in</v>
          </cell>
          <cell r="I529" t="str">
            <v>2022405043.arunkumar@pt.sharda.ac.in</v>
          </cell>
          <cell r="J529" t="str">
            <v>9335019513</v>
          </cell>
          <cell r="K529" t="str">
            <v>CS - AI&amp; Machine Learning</v>
          </cell>
          <cell r="L529" t="str">
            <v>Android Developer</v>
          </cell>
        </row>
        <row r="530">
          <cell r="D530">
            <v>2022445607</v>
          </cell>
          <cell r="E530">
            <v>2201010136</v>
          </cell>
          <cell r="F530" t="str">
            <v>B-Tech CSE (SPL)-VI J</v>
          </cell>
          <cell r="G530" t="str">
            <v>Bachelor of Technology</v>
          </cell>
          <cell r="H530" t="str">
            <v>2022445607.arvind@ug.sharda.ac.in</v>
          </cell>
          <cell r="I530" t="str">
            <v>2022445607.ravindra@pt.sharda.ac.in</v>
          </cell>
          <cell r="J530" t="str">
            <v>6306879588</v>
          </cell>
          <cell r="K530" t="str">
            <v>CS - AI&amp; Machine Learning</v>
          </cell>
          <cell r="L530" t="str">
            <v>Data Scientist</v>
          </cell>
        </row>
        <row r="531">
          <cell r="D531">
            <v>2022005224</v>
          </cell>
          <cell r="E531">
            <v>2201010158</v>
          </cell>
          <cell r="F531" t="str">
            <v>B-Tech CSE (SPL)-VI J</v>
          </cell>
          <cell r="G531" t="str">
            <v>Bachelor of Technology</v>
          </cell>
          <cell r="H531" t="str">
            <v>2022005224.ashwani@ug.sharda.ac.in</v>
          </cell>
          <cell r="I531" t="str">
            <v>2022005224.ashutosh@pt.sharda.ac.in</v>
          </cell>
          <cell r="J531" t="str">
            <v>9813460093</v>
          </cell>
          <cell r="K531" t="str">
            <v>CS - AI&amp; Machine Learning</v>
          </cell>
          <cell r="L531" t="str">
            <v>Machine Learning Engineer</v>
          </cell>
        </row>
        <row r="532">
          <cell r="D532">
            <v>2022002716</v>
          </cell>
          <cell r="E532">
            <v>2201010165</v>
          </cell>
          <cell r="F532" t="str">
            <v>B-Tech CSE (SPL)-VI J</v>
          </cell>
          <cell r="G532" t="str">
            <v>Bachelor of Technology</v>
          </cell>
          <cell r="H532" t="str">
            <v>2022002716.avni@ug.sharda.ac.in</v>
          </cell>
          <cell r="I532" t="str">
            <v>2022002716.rajkumar@pt.sharda.ac.in</v>
          </cell>
          <cell r="J532" t="str">
            <v>8527190946</v>
          </cell>
          <cell r="K532" t="str">
            <v>CS - AI&amp; Machine Learning</v>
          </cell>
          <cell r="L532" t="str">
            <v>Software Developer</v>
          </cell>
        </row>
        <row r="533">
          <cell r="D533">
            <v>2022305160</v>
          </cell>
          <cell r="E533">
            <v>2201010168</v>
          </cell>
          <cell r="F533" t="str">
            <v>B-Tech CSE (SPL)-VI J</v>
          </cell>
          <cell r="G533" t="str">
            <v>Bachelor of Technology</v>
          </cell>
          <cell r="H533" t="str">
            <v>2022305160.ayinaparthi@ug.sharda.ac.in</v>
          </cell>
          <cell r="I533" t="str">
            <v>2022305160.avgv@pt.sharda.ac.in</v>
          </cell>
          <cell r="J533" t="str">
            <v>8920775331</v>
          </cell>
          <cell r="K533" t="str">
            <v>CS - AI&amp; Machine Learning</v>
          </cell>
          <cell r="L533" t="str">
            <v>Software Developer</v>
          </cell>
        </row>
        <row r="534">
          <cell r="D534">
            <v>2022408489</v>
          </cell>
          <cell r="E534">
            <v>2201010180</v>
          </cell>
          <cell r="F534" t="str">
            <v>B-Tech CSE (SPL)-VI J</v>
          </cell>
          <cell r="G534" t="str">
            <v>Bachelor of Technology</v>
          </cell>
          <cell r="H534" t="str">
            <v>2022408489.bikash@ug.sharda.ac.in</v>
          </cell>
          <cell r="I534" t="str">
            <v>2022408489.bidyutaranjan@pt.sharda.ac.in</v>
          </cell>
          <cell r="J534" t="str">
            <v>9692559937</v>
          </cell>
          <cell r="K534" t="str">
            <v>CS - AI&amp; Machine Learning</v>
          </cell>
          <cell r="L534" t="str">
            <v>Machine Learning Engineer</v>
          </cell>
        </row>
        <row r="535">
          <cell r="D535">
            <v>2022360947</v>
          </cell>
          <cell r="E535">
            <v>2201010200</v>
          </cell>
          <cell r="F535" t="str">
            <v>B-Tech CSE (SPL)-VI J</v>
          </cell>
          <cell r="G535" t="str">
            <v>Bachelor of Technology</v>
          </cell>
          <cell r="H535" t="str">
            <v>2022360947.daniel@ug.sharda.ac.in</v>
          </cell>
          <cell r="I535" t="str">
            <v>2022360947.soubamdebajit@pt.sharda.ac.in</v>
          </cell>
          <cell r="J535" t="str">
            <v>7005984553</v>
          </cell>
          <cell r="K535" t="str">
            <v>CS - AI&amp; Machine Learning</v>
          </cell>
          <cell r="L535" t="str">
            <v>Machine Learning Engineer</v>
          </cell>
        </row>
        <row r="536">
          <cell r="D536">
            <v>2022520080</v>
          </cell>
          <cell r="E536">
            <v>2201010206</v>
          </cell>
          <cell r="F536" t="str">
            <v>B-Tech CSE (SPL)-VI J</v>
          </cell>
          <cell r="G536" t="str">
            <v>Bachelor of Technology</v>
          </cell>
          <cell r="H536" t="str">
            <v>2022520080.deepayan@ug.sharda.ac.in</v>
          </cell>
          <cell r="I536" t="str">
            <v>2022520080.soumen@pt.sharda.ac.in</v>
          </cell>
          <cell r="J536" t="str">
            <v>8588016904</v>
          </cell>
          <cell r="K536" t="str">
            <v>CS - AI&amp; Machine Learning</v>
          </cell>
          <cell r="L536" t="str">
            <v>Software Developer</v>
          </cell>
        </row>
        <row r="537">
          <cell r="D537">
            <v>2022487026</v>
          </cell>
          <cell r="E537">
            <v>2201010216</v>
          </cell>
          <cell r="F537" t="str">
            <v>B-Tech CSE (SPL)-VI J</v>
          </cell>
          <cell r="G537" t="str">
            <v>Bachelor of Technology</v>
          </cell>
          <cell r="H537" t="str">
            <v>2022487026.dheeraj@ug.sharda.ac.in</v>
          </cell>
          <cell r="I537" t="str">
            <v>2022487026.h@pt.sharda.ac.in</v>
          </cell>
          <cell r="J537" t="str">
            <v>8240971413</v>
          </cell>
          <cell r="K537" t="str">
            <v>CS - AI&amp; Machine Learning</v>
          </cell>
          <cell r="L537" t="str">
            <v>Data Scientist</v>
          </cell>
        </row>
        <row r="538">
          <cell r="D538">
            <v>2022345074</v>
          </cell>
          <cell r="E538">
            <v>2201010223</v>
          </cell>
          <cell r="F538" t="str">
            <v>B-Tech CSE (SPL)-VI J</v>
          </cell>
          <cell r="G538" t="str">
            <v>Bachelor of Technology</v>
          </cell>
          <cell r="H538" t="str">
            <v>2022345074.divya@ug.sharda.ac.in</v>
          </cell>
          <cell r="I538" t="str">
            <v>2022345074.rajendra@pt.sharda.ac.in</v>
          </cell>
          <cell r="J538" t="str">
            <v>9953772038</v>
          </cell>
          <cell r="K538" t="str">
            <v>CS - AI&amp; Machine Learning</v>
          </cell>
          <cell r="L538" t="str">
            <v>Machine Learning Engineer</v>
          </cell>
        </row>
        <row r="539">
          <cell r="D539">
            <v>2022005900</v>
          </cell>
          <cell r="E539">
            <v>2201010265</v>
          </cell>
          <cell r="F539" t="str">
            <v>B-Tech CSE (SPL)-VI J</v>
          </cell>
          <cell r="G539" t="str">
            <v>Bachelor of Technology</v>
          </cell>
          <cell r="H539" t="str">
            <v>2022005900.harsh@ug.sharda.ac.in</v>
          </cell>
          <cell r="I539" t="str">
            <v>2022005900.rajkumar@pt.sharda.ac.in</v>
          </cell>
          <cell r="J539" t="str">
            <v>9569217132</v>
          </cell>
          <cell r="K539" t="str">
            <v>CS - AI&amp; Machine Learning</v>
          </cell>
          <cell r="L539" t="str">
            <v>Full Stack Developer(MERN Stack)</v>
          </cell>
        </row>
        <row r="540">
          <cell r="D540">
            <v>2022004383</v>
          </cell>
          <cell r="E540">
            <v>2201010277</v>
          </cell>
          <cell r="F540" t="str">
            <v>B-Tech CSE (SPL)-VI J</v>
          </cell>
          <cell r="G540" t="str">
            <v>Bachelor of Technology</v>
          </cell>
          <cell r="H540" t="str">
            <v>2022004383.harshit@ug.sharda.ac.in</v>
          </cell>
          <cell r="I540" t="str">
            <v>2022004383.ram@pt.sharda.ac.in</v>
          </cell>
          <cell r="J540" t="str">
            <v>9058211983</v>
          </cell>
          <cell r="K540" t="str">
            <v>CS - AI&amp; Machine Learning</v>
          </cell>
          <cell r="L540" t="str">
            <v>Machine Learning Engineer</v>
          </cell>
        </row>
        <row r="541">
          <cell r="D541">
            <v>2022477650</v>
          </cell>
          <cell r="E541">
            <v>2201010287</v>
          </cell>
          <cell r="F541" t="str">
            <v>B-Tech CSE (SPL)-VI J</v>
          </cell>
          <cell r="G541" t="str">
            <v>Bachelor of Technology</v>
          </cell>
          <cell r="H541" t="str">
            <v>2022477650.himanshu@ug.sharda.ac.in</v>
          </cell>
          <cell r="I541" t="str">
            <v>2022477650.santoshkumar@pt.sharda.ac.in</v>
          </cell>
          <cell r="J541" t="str">
            <v>8545953186</v>
          </cell>
          <cell r="K541" t="str">
            <v>CS - AI&amp; Machine Learning</v>
          </cell>
          <cell r="L541" t="str">
            <v>Full Stack Developer(MERN Stack)</v>
          </cell>
        </row>
        <row r="542">
          <cell r="D542">
            <v>2022451567</v>
          </cell>
          <cell r="E542">
            <v>2201010291</v>
          </cell>
          <cell r="F542" t="str">
            <v>B-Tech CSE (SPL)-VI J</v>
          </cell>
          <cell r="G542" t="str">
            <v>Bachelor of Technology</v>
          </cell>
          <cell r="H542" t="str">
            <v>2022451567.isaac@ug.sharda.ac.in</v>
          </cell>
          <cell r="I542" t="str">
            <v>2022451567.noel@pt.sharda.ac.in</v>
          </cell>
          <cell r="J542" t="str">
            <v>9319679899</v>
          </cell>
          <cell r="K542" t="str">
            <v>CS - AI&amp; Machine Learning</v>
          </cell>
          <cell r="L542" t="str">
            <v>Software Developer</v>
          </cell>
        </row>
        <row r="543">
          <cell r="D543">
            <v>2022003541</v>
          </cell>
          <cell r="E543">
            <v>2201010309</v>
          </cell>
          <cell r="F543" t="str">
            <v>B-Tech CSE (SPL)-VI J</v>
          </cell>
          <cell r="G543" t="str">
            <v>Bachelor of Technology</v>
          </cell>
          <cell r="H543" t="str">
            <v>2022003541.jigisha@ug.sharda.ac.in</v>
          </cell>
          <cell r="I543" t="str">
            <v>2022003541.ramgopal@pt.sharda.ac.in</v>
          </cell>
          <cell r="J543" t="str">
            <v>8130937203</v>
          </cell>
          <cell r="K543" t="str">
            <v>CS - AI&amp; Machine Learning</v>
          </cell>
          <cell r="L543" t="str">
            <v>Machine Learning Engineer</v>
          </cell>
        </row>
        <row r="544">
          <cell r="D544">
            <v>2022543048</v>
          </cell>
          <cell r="E544">
            <v>2201010315</v>
          </cell>
          <cell r="F544" t="str">
            <v>B-Tech CSE (SPL)-VI J</v>
          </cell>
          <cell r="G544" t="str">
            <v>Bachelor of Technology</v>
          </cell>
          <cell r="H544" t="str">
            <v>2022543048.kambam@ug.sharda.ac.in</v>
          </cell>
          <cell r="I544" t="str">
            <v>2022543048.kvn@pt.sharda.ac.in</v>
          </cell>
          <cell r="J544" t="str">
            <v>9121986655</v>
          </cell>
          <cell r="K544" t="str">
            <v>CS - AI&amp; Machine Learning</v>
          </cell>
          <cell r="L544" t="e">
            <v>#N/A</v>
          </cell>
        </row>
        <row r="545">
          <cell r="D545">
            <v>2022501831</v>
          </cell>
          <cell r="E545">
            <v>2201010320</v>
          </cell>
          <cell r="F545" t="str">
            <v>B-Tech CSE (SPL)-VI J</v>
          </cell>
          <cell r="G545" t="str">
            <v>Bachelor of Technology</v>
          </cell>
          <cell r="H545" t="str">
            <v>2022501831.kartikay@ug.sharda.ac.in</v>
          </cell>
          <cell r="I545" t="str">
            <v>2022501831.nitin@pt.sharda.ac.in</v>
          </cell>
          <cell r="J545" t="str">
            <v>8745055541</v>
          </cell>
          <cell r="K545" t="str">
            <v>CS - AI&amp; Machine Learning</v>
          </cell>
          <cell r="L545" t="e">
            <v>#N/A</v>
          </cell>
        </row>
        <row r="546">
          <cell r="D546">
            <v>2022321571</v>
          </cell>
          <cell r="E546">
            <v>2201010336</v>
          </cell>
          <cell r="F546" t="str">
            <v>B-Tech CSE (SPL)-VI J</v>
          </cell>
          <cell r="G546" t="str">
            <v>Bachelor of Technology</v>
          </cell>
          <cell r="H546" t="str">
            <v>2022321571.krish@ug.sharda.ac.in</v>
          </cell>
          <cell r="I546" t="str">
            <v>2022321571.kamal@pt.sharda.ac.in</v>
          </cell>
          <cell r="J546" t="str">
            <v>7011978800</v>
          </cell>
          <cell r="K546" t="str">
            <v>CS - AI&amp; Machine Learning</v>
          </cell>
          <cell r="L546" t="str">
            <v>Machine Learning Engineer</v>
          </cell>
        </row>
        <row r="547">
          <cell r="D547">
            <v>2022006436</v>
          </cell>
          <cell r="E547">
            <v>2201010338</v>
          </cell>
          <cell r="F547" t="str">
            <v>B-Tech CSE (SPL)-VI J</v>
          </cell>
          <cell r="G547" t="str">
            <v>Bachelor of Technology</v>
          </cell>
          <cell r="H547" t="str">
            <v>2022006436.krishna@ug.sharda.ac.in</v>
          </cell>
          <cell r="I547" t="str">
            <v>2022006436.dinesh@pt.sharda.ac.in</v>
          </cell>
          <cell r="J547" t="str">
            <v>9821899782</v>
          </cell>
          <cell r="K547" t="str">
            <v>CS - AI&amp; Machine Learning</v>
          </cell>
          <cell r="L547" t="str">
            <v>Full Stack Developer(MERN Stack)</v>
          </cell>
        </row>
        <row r="548">
          <cell r="D548">
            <v>2022005401</v>
          </cell>
          <cell r="E548">
            <v>2201010341</v>
          </cell>
          <cell r="F548" t="str">
            <v>B-Tech CSE (SPL)-VI J</v>
          </cell>
          <cell r="G548" t="str">
            <v>Bachelor of Technology</v>
          </cell>
          <cell r="H548" t="str">
            <v>2022005401.kritika@ug.sharda.ac.in</v>
          </cell>
          <cell r="I548" t="str">
            <v>2022005401.rajneesh@pt.sharda.ac.in</v>
          </cell>
          <cell r="J548" t="str">
            <v>9368830023</v>
          </cell>
          <cell r="K548" t="str">
            <v>CS - AI&amp; Machine Learning</v>
          </cell>
          <cell r="L548" t="str">
            <v>Machine Learning Engineer</v>
          </cell>
        </row>
        <row r="549">
          <cell r="D549">
            <v>2022502804</v>
          </cell>
          <cell r="E549">
            <v>2201010342</v>
          </cell>
          <cell r="F549" t="str">
            <v>B-Tech CSE (SPL)-VI J</v>
          </cell>
          <cell r="G549" t="str">
            <v>Bachelor of Technology</v>
          </cell>
          <cell r="H549" t="str">
            <v>2022502804.kritika@ug.sharda.ac.in</v>
          </cell>
          <cell r="I549" t="str">
            <v>2022502804.ramkishan@pt.sharda.ac.in</v>
          </cell>
          <cell r="J549" t="str">
            <v>7617524839</v>
          </cell>
          <cell r="K549" t="str">
            <v>CS - AI&amp; Machine Learning</v>
          </cell>
          <cell r="L549" t="str">
            <v>Software Developer</v>
          </cell>
        </row>
        <row r="550">
          <cell r="D550">
            <v>2022001992</v>
          </cell>
          <cell r="E550">
            <v>2201010371</v>
          </cell>
          <cell r="F550" t="str">
            <v>B-Tech CSE (SPL)-VI J</v>
          </cell>
          <cell r="G550" t="str">
            <v>Bachelor of Technology</v>
          </cell>
          <cell r="H550" t="str">
            <v>2022001992.manish@ug.sharda.ac.in</v>
          </cell>
          <cell r="I550" t="str">
            <v>2022001992.yogendra@pt.sharda.ac.in</v>
          </cell>
          <cell r="J550" t="str">
            <v>6398599852</v>
          </cell>
          <cell r="K550" t="str">
            <v>CS - AI&amp; Machine Learning</v>
          </cell>
          <cell r="L550" t="str">
            <v>Machine Learning Engineer</v>
          </cell>
        </row>
        <row r="551">
          <cell r="D551">
            <v>2022464237</v>
          </cell>
          <cell r="E551">
            <v>2201010411</v>
          </cell>
          <cell r="F551" t="str">
            <v>B-Tech CSE (SPL)-VI J</v>
          </cell>
          <cell r="G551" t="str">
            <v>Bachelor of Technology</v>
          </cell>
          <cell r="H551" t="str">
            <v>2022464237.mohammad@ug.sharda.ac.in</v>
          </cell>
          <cell r="I551" t="str">
            <v>2022464237.anisuddin@pt.sharda.ac.in</v>
          </cell>
          <cell r="J551" t="str">
            <v>9517028373</v>
          </cell>
          <cell r="K551" t="str">
            <v>CS - AI&amp; Machine Learning</v>
          </cell>
          <cell r="L551" t="str">
            <v>Machine Learning Engineer</v>
          </cell>
        </row>
        <row r="552">
          <cell r="D552">
            <v>2022420368</v>
          </cell>
          <cell r="E552">
            <v>2201010423</v>
          </cell>
          <cell r="F552" t="str">
            <v>B-Tech CSE (SPL)-VI J</v>
          </cell>
          <cell r="G552" t="str">
            <v>Bachelor of Technology</v>
          </cell>
          <cell r="H552" t="str">
            <v>2022420368.mohd@ug.sharda.ac.in</v>
          </cell>
          <cell r="I552" t="str">
            <v>2022420368.mohd@pt.sharda.ac.in</v>
          </cell>
          <cell r="J552" t="str">
            <v>9149191157</v>
          </cell>
          <cell r="K552" t="str">
            <v>CS - AI&amp; Machine Learning</v>
          </cell>
          <cell r="L552" t="str">
            <v>Machine Learning Engineer</v>
          </cell>
        </row>
        <row r="553">
          <cell r="D553">
            <v>2022834880</v>
          </cell>
          <cell r="E553">
            <v>2201010440</v>
          </cell>
          <cell r="F553" t="str">
            <v>B-Tech CSE (SPL)-VI J</v>
          </cell>
          <cell r="G553" t="str">
            <v>Bachelor of Technology</v>
          </cell>
          <cell r="H553" t="str">
            <v>2022834880.anmolkumar@ug.sharda.ac.in</v>
          </cell>
          <cell r="I553" t="str">
            <v>2022834880.pawankumarsah@pt.sharda.ac.in</v>
          </cell>
          <cell r="J553" t="str">
            <v>9934591397</v>
          </cell>
          <cell r="K553" t="str">
            <v>CS - AI&amp; Machine Learning</v>
          </cell>
          <cell r="L553" t="str">
            <v>Machine Learning Engineer</v>
          </cell>
        </row>
        <row r="554">
          <cell r="D554">
            <v>2022511920</v>
          </cell>
          <cell r="E554">
            <v>2201010446</v>
          </cell>
          <cell r="F554" t="str">
            <v>B-Tech CSE (SPL)-VI J</v>
          </cell>
          <cell r="G554" t="str">
            <v>Bachelor of Technology</v>
          </cell>
          <cell r="H554" t="str">
            <v>2022511920.mridul@ug.sharda.ac.in</v>
          </cell>
          <cell r="I554" t="str">
            <v>2022511920.kuldeepkumar@pt.sharda.ac.in</v>
          </cell>
          <cell r="J554" t="str">
            <v>9998011537</v>
          </cell>
          <cell r="K554" t="str">
            <v>CS - AI&amp; Machine Learning</v>
          </cell>
          <cell r="L554" t="str">
            <v>Full Stack Developer(MERN Stack)</v>
          </cell>
        </row>
        <row r="555">
          <cell r="D555">
            <v>2022002243</v>
          </cell>
          <cell r="E555">
            <v>2201010462</v>
          </cell>
          <cell r="F555" t="str">
            <v>B-Tech CSE (SPL)-VI J</v>
          </cell>
          <cell r="G555" t="str">
            <v>Bachelor of Technology</v>
          </cell>
          <cell r="H555" t="str">
            <v>2022002243.navya@ug.sharda.ac.in</v>
          </cell>
          <cell r="I555" t="str">
            <v>2022002243.john@pt.sharda.ac.in</v>
          </cell>
          <cell r="J555" t="str">
            <v>7982100704</v>
          </cell>
          <cell r="K555" t="str">
            <v>CS - AI&amp; Machine Learning</v>
          </cell>
          <cell r="L555" t="str">
            <v>Machine Learning Engineer</v>
          </cell>
        </row>
        <row r="556">
          <cell r="D556">
            <v>2022404434</v>
          </cell>
          <cell r="E556">
            <v>2201010486</v>
          </cell>
          <cell r="F556" t="str">
            <v>B-Tech CSE (SPL)-VI J</v>
          </cell>
          <cell r="G556" t="str">
            <v>Bachelor of Technology</v>
          </cell>
          <cell r="H556" t="str">
            <v>2022404434.nupur@ug.sharda.ac.in</v>
          </cell>
          <cell r="I556" t="str">
            <v>2022404434.vinaykumar@pt.sharda.ac.in</v>
          </cell>
          <cell r="J556" t="str">
            <v>7518302004</v>
          </cell>
          <cell r="K556" t="str">
            <v>CS - AI&amp; Machine Learning</v>
          </cell>
          <cell r="L556" t="str">
            <v>Machine Learning Engineer</v>
          </cell>
        </row>
        <row r="557">
          <cell r="D557">
            <v>2022494330</v>
          </cell>
          <cell r="E557">
            <v>2201010492</v>
          </cell>
          <cell r="F557" t="str">
            <v>B-Tech CSE (SPL)-VI J</v>
          </cell>
          <cell r="G557" t="str">
            <v>Bachelor of Technology</v>
          </cell>
          <cell r="H557" t="str">
            <v>2022494330.pallav@ug.sharda.ac.in</v>
          </cell>
          <cell r="I557" t="str">
            <v>2022494330.manojkumar@pt.sharda.ac.in</v>
          </cell>
          <cell r="J557" t="str">
            <v>8409390516</v>
          </cell>
          <cell r="K557" t="str">
            <v>CS - AI&amp; Machine Learning</v>
          </cell>
          <cell r="L557" t="str">
            <v>Machine Learning Engineer</v>
          </cell>
        </row>
        <row r="558">
          <cell r="D558">
            <v>2022544917</v>
          </cell>
          <cell r="E558">
            <v>2201010582</v>
          </cell>
          <cell r="F558" t="str">
            <v>B-Tech CSE (SPL)-VI J</v>
          </cell>
          <cell r="G558" t="str">
            <v>Bachelor of Technology</v>
          </cell>
          <cell r="H558" t="str">
            <v>2022544917.rishita@ug.sharda.ac.in</v>
          </cell>
          <cell r="I558" t="str">
            <v>2022544917.kanwaramarjeet@pt.sharda.ac.in</v>
          </cell>
          <cell r="J558" t="str">
            <v>8708812293</v>
          </cell>
          <cell r="K558" t="str">
            <v>CS - AI&amp; Machine Learning</v>
          </cell>
          <cell r="L558" t="str">
            <v>Machine Learning Engineer</v>
          </cell>
        </row>
        <row r="559">
          <cell r="D559">
            <v>2022507803</v>
          </cell>
          <cell r="E559">
            <v>2201010590</v>
          </cell>
          <cell r="F559" t="str">
            <v>B-Tech CSE (SPL)-VI J</v>
          </cell>
          <cell r="G559" t="str">
            <v>Bachelor of Technology</v>
          </cell>
          <cell r="H559" t="str">
            <v>2022507803.ritu@ug.sharda.ac.in</v>
          </cell>
          <cell r="I559" t="str">
            <v>2022507803.bibekranjan@pt.sharda.ac.in</v>
          </cell>
          <cell r="J559" t="str">
            <v>9315695483</v>
          </cell>
          <cell r="K559" t="str">
            <v>CS - AI&amp; Machine Learning</v>
          </cell>
          <cell r="L559" t="str">
            <v>Machine Learning Engineer</v>
          </cell>
        </row>
        <row r="560">
          <cell r="D560">
            <v>2022004067</v>
          </cell>
          <cell r="E560">
            <v>2201010624</v>
          </cell>
          <cell r="F560" t="str">
            <v>B-Tech CSE (SPL)-VI J</v>
          </cell>
          <cell r="G560" t="str">
            <v>Bachelor of Technology</v>
          </cell>
          <cell r="H560" t="str">
            <v>2022004067.samarth@ug.sharda.ac.in</v>
          </cell>
          <cell r="I560" t="str">
            <v>2022004067.sanjay@pt.sharda.ac.in</v>
          </cell>
          <cell r="J560" t="str">
            <v>8802684280</v>
          </cell>
          <cell r="K560" t="str">
            <v>CS - AI&amp; Machine Learning</v>
          </cell>
          <cell r="L560" t="str">
            <v>Software Developer</v>
          </cell>
        </row>
        <row r="561">
          <cell r="D561">
            <v>2022003455</v>
          </cell>
          <cell r="E561">
            <v>2201010625</v>
          </cell>
          <cell r="F561" t="str">
            <v>B-Tech CSE (SPL)-VI J</v>
          </cell>
          <cell r="G561" t="str">
            <v>Bachelor of Technology</v>
          </cell>
          <cell r="H561" t="str">
            <v>2022003455.sameer@ug.sharda.ac.in</v>
          </cell>
          <cell r="I561" t="str">
            <v>2022003455.abdul@pt.sharda.ac.in</v>
          </cell>
          <cell r="J561" t="str">
            <v>9319250476</v>
          </cell>
          <cell r="K561" t="str">
            <v>CS - AI&amp; Machine Learning</v>
          </cell>
          <cell r="L561" t="str">
            <v>Software Developer</v>
          </cell>
        </row>
        <row r="562">
          <cell r="D562">
            <v>2022446086</v>
          </cell>
          <cell r="E562">
            <v>2201010657</v>
          </cell>
          <cell r="F562" t="str">
            <v>B-Tech CSE (SPL)-VI J</v>
          </cell>
          <cell r="G562" t="str">
            <v>Bachelor of Technology</v>
          </cell>
          <cell r="H562" t="str">
            <v>2022446086.shashank@ug.sharda.ac.in</v>
          </cell>
          <cell r="I562" t="str">
            <v>2022446086.surenderkumar@pt.sharda.ac.in</v>
          </cell>
          <cell r="J562" t="str">
            <v>8882440907</v>
          </cell>
          <cell r="K562" t="str">
            <v>CS - AI&amp; Machine Learning</v>
          </cell>
          <cell r="L562" t="str">
            <v>Machine Learning Engineer</v>
          </cell>
        </row>
        <row r="563">
          <cell r="D563">
            <v>2022442734</v>
          </cell>
          <cell r="E563">
            <v>2201010662</v>
          </cell>
          <cell r="F563" t="str">
            <v>B-Tech CSE (SPL)-VI J</v>
          </cell>
          <cell r="G563" t="str">
            <v>Bachelor of Technology</v>
          </cell>
          <cell r="H563" t="str">
            <v>2022442734.sheema@ug.sharda.ac.in</v>
          </cell>
          <cell r="I563" t="str">
            <v>2022442734.khurshid@pt.sharda.ac.in</v>
          </cell>
          <cell r="J563" t="str">
            <v>6005436291</v>
          </cell>
          <cell r="K563" t="str">
            <v>CS - AI&amp; Machine Learning</v>
          </cell>
          <cell r="L563" t="str">
            <v>Machine Learning Engineer</v>
          </cell>
        </row>
        <row r="564">
          <cell r="D564">
            <v>2022306140</v>
          </cell>
          <cell r="E564">
            <v>2201010674</v>
          </cell>
          <cell r="F564" t="str">
            <v>B-Tech CSE (SPL)-VI J</v>
          </cell>
          <cell r="G564" t="str">
            <v>Bachelor of Technology</v>
          </cell>
          <cell r="H564" t="str">
            <v>2022306140.shivam@ug.sharda.ac.in</v>
          </cell>
          <cell r="I564" t="str">
            <v>2022306140.ranjeetkumar@pt.sharda.ac.in</v>
          </cell>
          <cell r="J564" t="str">
            <v>8578949023</v>
          </cell>
          <cell r="K564" t="str">
            <v>CS - AI&amp; Machine Learning</v>
          </cell>
          <cell r="L564" t="str">
            <v>Machine Learning Engineer</v>
          </cell>
        </row>
        <row r="565">
          <cell r="D565">
            <v>2022396848</v>
          </cell>
          <cell r="E565">
            <v>2201010678</v>
          </cell>
          <cell r="F565" t="str">
            <v>B-Tech CSE (SPL)-VI J</v>
          </cell>
          <cell r="G565" t="str">
            <v>Bachelor of Technology</v>
          </cell>
          <cell r="H565" t="str">
            <v>2022396848.shivank@ug.sharda.ac.in</v>
          </cell>
          <cell r="I565" t="str">
            <v>2022396848.sushant@pt.sharda.ac.in</v>
          </cell>
          <cell r="J565" t="str">
            <v>9354905548</v>
          </cell>
          <cell r="K565" t="str">
            <v>CS - AI&amp; Machine Learning</v>
          </cell>
          <cell r="L565" t="str">
            <v>Software Developer</v>
          </cell>
        </row>
        <row r="566">
          <cell r="D566">
            <v>2022445249</v>
          </cell>
          <cell r="E566">
            <v>2201010690</v>
          </cell>
          <cell r="F566" t="str">
            <v>B-Tech CSE (SPL)-VI J</v>
          </cell>
          <cell r="G566" t="str">
            <v>Bachelor of Technology</v>
          </cell>
          <cell r="H566" t="str">
            <v>2022445249.shubham@ug.sharda.ac.in</v>
          </cell>
          <cell r="I566" t="str">
            <v>2022445249.vijay@pt.sharda.ac.in</v>
          </cell>
          <cell r="J566" t="str">
            <v>9794795946</v>
          </cell>
          <cell r="K566" t="str">
            <v>CS - AI&amp; Machine Learning</v>
          </cell>
          <cell r="L566" t="str">
            <v>Machine Learning Engineer</v>
          </cell>
        </row>
        <row r="567">
          <cell r="D567">
            <v>2022006059</v>
          </cell>
          <cell r="E567">
            <v>2201010738</v>
          </cell>
          <cell r="F567" t="str">
            <v>B-Tech CSE (SPL)-VI J</v>
          </cell>
          <cell r="G567" t="str">
            <v>Bachelor of Technology</v>
          </cell>
          <cell r="H567" t="str">
            <v>2022006059.tanishka@ug.sharda.ac.in</v>
          </cell>
          <cell r="I567" t="str">
            <v>2022006059.rajeev@pt.sharda.ac.in</v>
          </cell>
          <cell r="J567" t="str">
            <v>9412768354</v>
          </cell>
          <cell r="K567" t="str">
            <v>CS - AI&amp; Machine Learning</v>
          </cell>
          <cell r="L567" t="str">
            <v>Machine Learning Engineer</v>
          </cell>
        </row>
        <row r="568">
          <cell r="D568">
            <v>2022005125</v>
          </cell>
          <cell r="E568">
            <v>2201010748</v>
          </cell>
          <cell r="F568" t="str">
            <v>B-Tech CSE (SPL)-VI J</v>
          </cell>
          <cell r="G568" t="str">
            <v>Bachelor of Technology</v>
          </cell>
          <cell r="H568" t="str">
            <v>2022005125.taran@ug.sharda.ac.in</v>
          </cell>
          <cell r="I568" t="str">
            <v>2022005125.kirandeepsingh@pt.sharda.ac.in</v>
          </cell>
          <cell r="J568" t="str">
            <v>9999355292</v>
          </cell>
          <cell r="K568" t="str">
            <v>CS - AI&amp; Machine Learning</v>
          </cell>
          <cell r="L568" t="str">
            <v>Machine Learning Engineer</v>
          </cell>
        </row>
        <row r="569">
          <cell r="D569">
            <v>2022413409</v>
          </cell>
          <cell r="E569">
            <v>2201010760</v>
          </cell>
          <cell r="F569" t="str">
            <v>B-Tech CSE (SPL)-VI J</v>
          </cell>
          <cell r="G569" t="str">
            <v>Bachelor of Technology</v>
          </cell>
          <cell r="H569" t="str">
            <v>2022413409.umair@ug.sharda.ac.in</v>
          </cell>
          <cell r="I569" t="str">
            <v>2022413409.amir@pt.sharda.ac.in</v>
          </cell>
          <cell r="J569" t="str">
            <v>8434678857</v>
          </cell>
          <cell r="K569" t="str">
            <v>CS - AI&amp; Machine Learning</v>
          </cell>
          <cell r="L569" t="str">
            <v>Data Scientist</v>
          </cell>
        </row>
        <row r="570">
          <cell r="D570">
            <v>2022354885</v>
          </cell>
          <cell r="E570">
            <v>2201010772</v>
          </cell>
          <cell r="F570" t="str">
            <v>B-Tech CSE (SPL)-VI J</v>
          </cell>
          <cell r="G570" t="str">
            <v>Bachelor of Technology</v>
          </cell>
          <cell r="H570" t="str">
            <v>2022354885.vaibhav@ug.sharda.ac.in</v>
          </cell>
          <cell r="I570" t="str">
            <v>2022354885.vijay@pt.sharda.ac.in</v>
          </cell>
          <cell r="J570" t="str">
            <v>8081987121</v>
          </cell>
          <cell r="K570" t="str">
            <v>CS - AI&amp; Machine Learning</v>
          </cell>
          <cell r="L570" t="str">
            <v>Machine Learning Engineer</v>
          </cell>
        </row>
        <row r="571">
          <cell r="D571">
            <v>2022338152</v>
          </cell>
          <cell r="E571">
            <v>2201010773</v>
          </cell>
          <cell r="F571" t="str">
            <v>B-Tech CSE (SPL)-VI J</v>
          </cell>
          <cell r="G571" t="str">
            <v>Bachelor of Technology</v>
          </cell>
          <cell r="H571" t="str">
            <v>2022338152.vanshika@ug.sharda.ac.in</v>
          </cell>
          <cell r="I571" t="str">
            <v>2022338152.mudit@pt.sharda.ac.in</v>
          </cell>
          <cell r="J571" t="str">
            <v>8081318290</v>
          </cell>
          <cell r="K571" t="str">
            <v>CS - AI&amp; Machine Learning</v>
          </cell>
          <cell r="L571" t="str">
            <v>Machine Learning Engineer</v>
          </cell>
        </row>
        <row r="572">
          <cell r="D572">
            <v>2022003792</v>
          </cell>
          <cell r="E572">
            <v>2201010777</v>
          </cell>
          <cell r="F572" t="str">
            <v>B-Tech CSE (SPL)-VI J</v>
          </cell>
          <cell r="G572" t="str">
            <v>Bachelor of Technology</v>
          </cell>
          <cell r="H572" t="str">
            <v>2022003792.varsha@ug.sharda.ac.in</v>
          </cell>
          <cell r="I572" t="str">
            <v>2022003792.pintu@pt.sharda.ac.in</v>
          </cell>
          <cell r="J572" t="str">
            <v>7906972153</v>
          </cell>
          <cell r="K572" t="str">
            <v>CS - AI&amp; Machine Learning</v>
          </cell>
          <cell r="L572" t="str">
            <v>Machine Learning Engineer</v>
          </cell>
        </row>
        <row r="573">
          <cell r="D573">
            <v>2022498647</v>
          </cell>
          <cell r="E573">
            <v>2201010789</v>
          </cell>
          <cell r="F573" t="str">
            <v>B-Tech CSE (SPL)-VI J</v>
          </cell>
          <cell r="G573" t="str">
            <v>Bachelor of Technology</v>
          </cell>
          <cell r="H573" t="str">
            <v>2022498647.vikash@ug.sharda.ac.in</v>
          </cell>
          <cell r="I573" t="str">
            <v>2022498647.shivji@pt.sharda.ac.in</v>
          </cell>
          <cell r="J573" t="str">
            <v>8102612088</v>
          </cell>
          <cell r="K573" t="str">
            <v>CS - AI&amp; Machine Learning</v>
          </cell>
          <cell r="L573" t="str">
            <v>Machine Learning Engineer</v>
          </cell>
        </row>
        <row r="574">
          <cell r="D574">
            <v>2022521262</v>
          </cell>
          <cell r="E574">
            <v>2201010792</v>
          </cell>
          <cell r="F574" t="str">
            <v>B-Tech CSE (SPL)-VI J</v>
          </cell>
          <cell r="G574" t="str">
            <v>Bachelor of Technology</v>
          </cell>
          <cell r="H574" t="str">
            <v>2022521262.vinayak@ug.sharda.ac.in</v>
          </cell>
          <cell r="I574" t="str">
            <v>2022521262.sachin@pt.sharda.ac.in</v>
          </cell>
          <cell r="J574" t="str">
            <v>7456959156</v>
          </cell>
          <cell r="K574" t="str">
            <v>CS - AI&amp; Machine Learning</v>
          </cell>
          <cell r="L574" t="str">
            <v>Machine Learning Engineer</v>
          </cell>
        </row>
        <row r="575">
          <cell r="D575">
            <v>2022339160</v>
          </cell>
          <cell r="E575">
            <v>2201010808</v>
          </cell>
          <cell r="F575" t="str">
            <v>B-Tech CSE (SPL)-VI J</v>
          </cell>
          <cell r="G575" t="str">
            <v>Bachelor of Technology</v>
          </cell>
          <cell r="H575" t="str">
            <v>2022339160.yash@ug.sharda.ac.in</v>
          </cell>
          <cell r="I575" t="str">
            <v>2022339160.nagendra@pt.sharda.ac.in</v>
          </cell>
          <cell r="J575" t="str">
            <v>9877860105</v>
          </cell>
          <cell r="K575" t="str">
            <v>CS - AI&amp; Machine Learning</v>
          </cell>
          <cell r="L575" t="str">
            <v>Software Developer</v>
          </cell>
        </row>
        <row r="576">
          <cell r="D576">
            <v>2022007267</v>
          </cell>
          <cell r="E576">
            <v>2201010838</v>
          </cell>
          <cell r="F576" t="str">
            <v>B-Tech CSE (SPL)-VI J</v>
          </cell>
          <cell r="G576" t="str">
            <v>Bachelor of Technology</v>
          </cell>
          <cell r="H576" t="str">
            <v>2022007267.akhtar@ug.sharda.ac.in</v>
          </cell>
          <cell r="I576" t="str">
            <v>2022007267.mm@pt.sharda.ac.in</v>
          </cell>
          <cell r="J576" t="str">
            <v>7860927609</v>
          </cell>
          <cell r="K576" t="str">
            <v>CS - AI&amp; Machine Learning</v>
          </cell>
          <cell r="L576" t="str">
            <v>Android Developer</v>
          </cell>
        </row>
        <row r="577">
          <cell r="D577">
            <v>2022620180</v>
          </cell>
          <cell r="E577">
            <v>2201010904</v>
          </cell>
          <cell r="F577" t="str">
            <v>B-Tech CSE (SPL)-VI J</v>
          </cell>
          <cell r="G577" t="str">
            <v>Bachelor of Technology</v>
          </cell>
          <cell r="H577" t="str">
            <v>2022620180.tohin@ug.sharda.ac.in</v>
          </cell>
          <cell r="I577" t="str">
            <v>2022620180.uttamkumar@pt.sharda.ac.in</v>
          </cell>
          <cell r="J577" t="str">
            <v>9383267527</v>
          </cell>
          <cell r="K577" t="str">
            <v>CS - AI&amp; Machine Learning</v>
          </cell>
          <cell r="L577" t="str">
            <v>Machine Learning Engineer</v>
          </cell>
        </row>
        <row r="578">
          <cell r="D578">
            <v>2022479218</v>
          </cell>
          <cell r="E578">
            <v>2201010929</v>
          </cell>
          <cell r="F578" t="str">
            <v>B-Tech CSE (SPL)-VI J</v>
          </cell>
          <cell r="G578" t="str">
            <v>Bachelor of Technology</v>
          </cell>
          <cell r="H578" t="str">
            <v>2022479218.ashish@ug.sharda.ac.in</v>
          </cell>
          <cell r="I578" t="str">
            <v>2022479218.rajkumar@pt.sharda.ac.in</v>
          </cell>
          <cell r="J578" t="str">
            <v>8920364577</v>
          </cell>
          <cell r="K578" t="str">
            <v>CS - AI&amp; Machine Learning</v>
          </cell>
          <cell r="L578" t="str">
            <v>Software Developer</v>
          </cell>
        </row>
        <row r="579">
          <cell r="D579">
            <v>2022600192</v>
          </cell>
          <cell r="E579">
            <v>2201010933</v>
          </cell>
          <cell r="F579" t="str">
            <v>B-Tech CSE (SPL)-VI J</v>
          </cell>
          <cell r="G579" t="str">
            <v>Bachelor of Technology</v>
          </cell>
          <cell r="H579" t="str">
            <v>2022600192.vishal@ug.sharda.ac.in</v>
          </cell>
          <cell r="I579" t="str">
            <v>2022600192.vishnuprasad@pt.sharda.ac.in</v>
          </cell>
          <cell r="J579" t="str">
            <v>7000857830</v>
          </cell>
          <cell r="K579" t="str">
            <v>CS - AI&amp; Machine Learning</v>
          </cell>
          <cell r="L579" t="str">
            <v>Machine Learning Engineer</v>
          </cell>
        </row>
        <row r="580">
          <cell r="D580">
            <v>2022601761</v>
          </cell>
          <cell r="E580">
            <v>2201010934</v>
          </cell>
          <cell r="F580" t="str">
            <v>B-Tech CSE (SPL)-VI J</v>
          </cell>
          <cell r="G580" t="str">
            <v>Bachelor of Technology</v>
          </cell>
          <cell r="H580" t="str">
            <v>2022601761.budda@ug.sharda.ac.in</v>
          </cell>
          <cell r="I580" t="str">
            <v>2022601761.buddaramana@pt.sharda.ac.in</v>
          </cell>
          <cell r="J580" t="str">
            <v>8143322343</v>
          </cell>
          <cell r="K580" t="str">
            <v>CS - AI&amp; Machine Learning</v>
          </cell>
          <cell r="L580" t="str">
            <v>Software Developer</v>
          </cell>
        </row>
        <row r="581">
          <cell r="D581">
            <v>2022610396</v>
          </cell>
          <cell r="E581">
            <v>2201010937</v>
          </cell>
          <cell r="F581" t="str">
            <v>B-Tech CSE (SPL)-VI J</v>
          </cell>
          <cell r="G581" t="str">
            <v>Bachelor of Technology</v>
          </cell>
          <cell r="H581" t="str">
            <v>2022610396.ansh@ug.sharda.ac.in</v>
          </cell>
          <cell r="I581" t="str">
            <v>2022610396.rajesh@pt.sharda.ac.in</v>
          </cell>
          <cell r="J581" t="str">
            <v>9625641703</v>
          </cell>
          <cell r="K581" t="str">
            <v>CS - AI&amp; Machine Learning</v>
          </cell>
          <cell r="L581" t="str">
            <v>Software Developer</v>
          </cell>
        </row>
        <row r="582">
          <cell r="D582">
            <v>2022623133</v>
          </cell>
          <cell r="E582">
            <v>2201010939</v>
          </cell>
          <cell r="F582" t="str">
            <v>B-Tech CSE (SPL)-VI J</v>
          </cell>
          <cell r="G582" t="str">
            <v>Bachelor of Technology</v>
          </cell>
          <cell r="H582" t="str">
            <v>2022623133.suhani@ug.sharda.ac.in</v>
          </cell>
          <cell r="I582" t="str">
            <v>2022623133.shravan@pt.sharda.ac.in</v>
          </cell>
          <cell r="J582" t="str">
            <v>8340572904</v>
          </cell>
          <cell r="K582" t="str">
            <v>CS - AI&amp; Machine Learning</v>
          </cell>
          <cell r="L582" t="str">
            <v>Software Developer</v>
          </cell>
        </row>
        <row r="583">
          <cell r="D583">
            <v>2021002535</v>
          </cell>
          <cell r="E583">
            <v>210101305</v>
          </cell>
          <cell r="F583" t="str">
            <v>B-Tech CSE (SPL)-VI M</v>
          </cell>
          <cell r="G583" t="str">
            <v>Bachelor of Technology</v>
          </cell>
          <cell r="H583" t="str">
            <v>2021002535.chandra@ug.sharda.ac.in</v>
          </cell>
          <cell r="I583" t="str">
            <v>2021002535.rajesh@pt.sharda.ac.in</v>
          </cell>
          <cell r="J583" t="str">
            <v>8757008601</v>
          </cell>
          <cell r="K583" t="str">
            <v>CSE- Data Science</v>
          </cell>
          <cell r="L583" t="str">
            <v>Software Developer</v>
          </cell>
        </row>
        <row r="584">
          <cell r="D584">
            <v>2022004361</v>
          </cell>
          <cell r="E584">
            <v>2201010024</v>
          </cell>
          <cell r="F584" t="str">
            <v>B-Tech CSE (SPL)-VI M</v>
          </cell>
          <cell r="G584" t="str">
            <v>Bachelor of Technology</v>
          </cell>
          <cell r="H584" t="str">
            <v>2022004361.abhishek@ug.sharda.ac.in</v>
          </cell>
          <cell r="I584" t="str">
            <v>2022004361.jaypal@pt.sharda.ac.in</v>
          </cell>
          <cell r="J584" t="str">
            <v>9027813284</v>
          </cell>
          <cell r="K584" t="str">
            <v>CSE- Data Science</v>
          </cell>
          <cell r="L584" t="str">
            <v>Data Scientist</v>
          </cell>
        </row>
        <row r="585">
          <cell r="D585">
            <v>2022506579</v>
          </cell>
          <cell r="E585">
            <v>2201010061</v>
          </cell>
          <cell r="F585" t="str">
            <v>B-Tech CSE (SPL)-VI M</v>
          </cell>
          <cell r="G585" t="str">
            <v>Bachelor of Technology</v>
          </cell>
          <cell r="H585" t="str">
            <v>2022506579.akash@ug.sharda.ac.in</v>
          </cell>
          <cell r="I585" t="str">
            <v>2022506579.santoshkumar@pt.sharda.ac.in</v>
          </cell>
          <cell r="J585" t="str">
            <v>8340794862</v>
          </cell>
          <cell r="K585" t="str">
            <v>CSE- Data Science</v>
          </cell>
          <cell r="L585" t="str">
            <v>Data Scientist</v>
          </cell>
        </row>
        <row r="586">
          <cell r="D586">
            <v>2022334026</v>
          </cell>
          <cell r="E586">
            <v>2201010063</v>
          </cell>
          <cell r="F586" t="str">
            <v>B-Tech CSE (SPL)-VI M</v>
          </cell>
          <cell r="G586" t="str">
            <v>Bachelor of Technology</v>
          </cell>
          <cell r="H586" t="str">
            <v>2022334026.akhil@ug.sharda.ac.in</v>
          </cell>
          <cell r="I586" t="str">
            <v>2022334026.rajesh@pt.sharda.ac.in</v>
          </cell>
          <cell r="J586" t="str">
            <v>9810236485</v>
          </cell>
          <cell r="K586" t="str">
            <v>CSE- Data Science</v>
          </cell>
          <cell r="L586" t="str">
            <v>Data Scientist</v>
          </cell>
        </row>
        <row r="587">
          <cell r="D587">
            <v>2022426354</v>
          </cell>
          <cell r="E587">
            <v>2201010067</v>
          </cell>
          <cell r="F587" t="str">
            <v>B-Tech CSE (SPL)-VI M</v>
          </cell>
          <cell r="G587" t="str">
            <v>Bachelor of Technology</v>
          </cell>
          <cell r="H587" t="str">
            <v>2022426354.akshat@ug.sharda.ac.in</v>
          </cell>
          <cell r="I587" t="str">
            <v>2022426354.pitamber@pt.sharda.ac.in</v>
          </cell>
          <cell r="J587" t="str">
            <v>9582376739</v>
          </cell>
          <cell r="K587" t="str">
            <v>CSE- Data Science</v>
          </cell>
          <cell r="L587" t="str">
            <v>Data Scientist</v>
          </cell>
        </row>
        <row r="588">
          <cell r="D588">
            <v>2022005817</v>
          </cell>
          <cell r="E588">
            <v>2201010087</v>
          </cell>
          <cell r="F588" t="str">
            <v>B-Tech CSE (SPL)-VI M</v>
          </cell>
          <cell r="G588" t="str">
            <v>Bachelor of Technology</v>
          </cell>
          <cell r="H588" t="str">
            <v>2022005817.anirudh@ug.sharda.ac.in</v>
          </cell>
          <cell r="I588" t="str">
            <v>2022005817.manojkumar@pt.sharda.ac.in</v>
          </cell>
          <cell r="J588" t="str">
            <v>9027202759</v>
          </cell>
          <cell r="K588" t="str">
            <v>CSE- Data Science</v>
          </cell>
          <cell r="L588" t="str">
            <v>Data Scientist</v>
          </cell>
        </row>
        <row r="589">
          <cell r="D589">
            <v>2022409017</v>
          </cell>
          <cell r="E589">
            <v>2201010094</v>
          </cell>
          <cell r="F589" t="str">
            <v>B-Tech CSE (SPL)-VI M</v>
          </cell>
          <cell r="G589" t="str">
            <v>Bachelor of Technology</v>
          </cell>
          <cell r="H589" t="str">
            <v>2022409017.ankit@ug.sharda.ac.in</v>
          </cell>
          <cell r="I589" t="str">
            <v>2022409017.jayprakash@pt.sharda.ac.in</v>
          </cell>
          <cell r="J589" t="str">
            <v>7004291475</v>
          </cell>
          <cell r="K589" t="str">
            <v>CSE- Data Science</v>
          </cell>
          <cell r="L589" t="str">
            <v>Data Scientist</v>
          </cell>
        </row>
        <row r="590">
          <cell r="D590">
            <v>2022535335</v>
          </cell>
          <cell r="E590">
            <v>2201010100</v>
          </cell>
          <cell r="F590" t="str">
            <v>B-Tech CSE (SPL)-VI M</v>
          </cell>
          <cell r="G590" t="str">
            <v>Bachelor of Technology</v>
          </cell>
          <cell r="H590" t="str">
            <v>2022535335.anshara@ug.sharda.ac.in</v>
          </cell>
          <cell r="I590" t="str">
            <v>2022535335.fayazahmad@pt.sharda.ac.in</v>
          </cell>
          <cell r="J590" t="str">
            <v>8803082919</v>
          </cell>
          <cell r="K590" t="str">
            <v>CSE- Data Science</v>
          </cell>
          <cell r="L590" t="str">
            <v>Data Scientist</v>
          </cell>
        </row>
        <row r="591">
          <cell r="D591">
            <v>2022369167</v>
          </cell>
          <cell r="E591">
            <v>2201010113</v>
          </cell>
          <cell r="F591" t="str">
            <v>B-Tech CSE (SPL)-VI M</v>
          </cell>
          <cell r="G591" t="str">
            <v>Bachelor of Technology</v>
          </cell>
          <cell r="H591" t="str">
            <v>2022369167.anurag@ug.sharda.ac.in</v>
          </cell>
          <cell r="I591" t="str">
            <v>2022369167.mohanish@pt.sharda.ac.in</v>
          </cell>
          <cell r="J591" t="str">
            <v>9431016216</v>
          </cell>
          <cell r="K591" t="str">
            <v>CSE- Data Science</v>
          </cell>
          <cell r="L591" t="str">
            <v>Machine Learning Engineer</v>
          </cell>
        </row>
        <row r="592">
          <cell r="D592">
            <v>2022456042</v>
          </cell>
          <cell r="E592">
            <v>2201010120</v>
          </cell>
          <cell r="F592" t="str">
            <v>B-Tech CSE (SPL)-VI M</v>
          </cell>
          <cell r="G592" t="str">
            <v>Bachelor of Technology</v>
          </cell>
          <cell r="H592" t="str">
            <v>2022456042.arbaaj@ug.sharda.ac.in</v>
          </cell>
          <cell r="I592" t="str">
            <v>2022456042.aftab@pt.sharda.ac.in</v>
          </cell>
          <cell r="J592" t="str">
            <v>7011212339</v>
          </cell>
          <cell r="K592" t="str">
            <v>CSE- Data Science</v>
          </cell>
          <cell r="L592" t="str">
            <v>Data Scientist</v>
          </cell>
        </row>
        <row r="593">
          <cell r="D593">
            <v>2022539806</v>
          </cell>
          <cell r="E593">
            <v>2201010133</v>
          </cell>
          <cell r="F593" t="str">
            <v>B-Tech CSE (SPL)-VI M</v>
          </cell>
          <cell r="G593" t="str">
            <v>Bachelor of Technology</v>
          </cell>
          <cell r="H593" t="str">
            <v>2022539806.arunoday@ug.sharda.ac.in</v>
          </cell>
          <cell r="I593" t="str">
            <v>2022539806.munshilal@pt.sharda.ac.in</v>
          </cell>
          <cell r="J593" t="str">
            <v>9304656117</v>
          </cell>
          <cell r="K593" t="str">
            <v>CSE- Data Science</v>
          </cell>
          <cell r="L593" t="str">
            <v>Data Scientist</v>
          </cell>
        </row>
        <row r="594">
          <cell r="D594">
            <v>2022504700</v>
          </cell>
          <cell r="E594">
            <v>2201010144</v>
          </cell>
          <cell r="F594" t="str">
            <v>B-Tech CSE (SPL)-VI M</v>
          </cell>
          <cell r="G594" t="str">
            <v>Bachelor of Technology</v>
          </cell>
          <cell r="H594" t="str">
            <v>2022504700.aryan@ug.sharda.ac.in</v>
          </cell>
          <cell r="I594" t="str">
            <v>2022504700.rajesh@pt.sharda.ac.in</v>
          </cell>
          <cell r="J594" t="str">
            <v>8287368166</v>
          </cell>
          <cell r="K594" t="str">
            <v>CSE- Data Science</v>
          </cell>
          <cell r="L594" t="str">
            <v>Data Scientist</v>
          </cell>
        </row>
        <row r="595">
          <cell r="D595">
            <v>2022360832</v>
          </cell>
          <cell r="E595">
            <v>2201010151</v>
          </cell>
          <cell r="F595" t="str">
            <v>B-Tech CSE (SPL)-VI M</v>
          </cell>
          <cell r="G595" t="str">
            <v>Bachelor of Technology</v>
          </cell>
          <cell r="H595" t="str">
            <v>2022360832.ashish@ug.sharda.ac.in</v>
          </cell>
          <cell r="I595" t="str">
            <v>2022360832.satish@pt.sharda.ac.in</v>
          </cell>
          <cell r="J595" t="str">
            <v>7461026537</v>
          </cell>
          <cell r="K595" t="str">
            <v>CSE- Data Science</v>
          </cell>
          <cell r="L595" t="str">
            <v>Data Scientist</v>
          </cell>
        </row>
        <row r="596">
          <cell r="D596">
            <v>2022542429</v>
          </cell>
          <cell r="E596">
            <v>2201010174</v>
          </cell>
          <cell r="F596" t="str">
            <v>B-Tech CSE (SPL)-VI M</v>
          </cell>
          <cell r="G596" t="str">
            <v>Bachelor of Technology</v>
          </cell>
          <cell r="H596" t="str">
            <v>2022542429.ayush@ug.sharda.ac.in</v>
          </cell>
          <cell r="I596" t="str">
            <v>2022542429.akhileshkumar@pt.sharda.ac.in</v>
          </cell>
          <cell r="J596" t="str">
            <v>9310531689</v>
          </cell>
          <cell r="K596" t="str">
            <v>CSE- Data Science</v>
          </cell>
          <cell r="L596" t="str">
            <v>Data Scientist</v>
          </cell>
        </row>
        <row r="597">
          <cell r="D597">
            <v>2022825759</v>
          </cell>
          <cell r="E597">
            <v>2201010202</v>
          </cell>
          <cell r="F597" t="str">
            <v>B-Tech CSE (SPL)-VI M</v>
          </cell>
          <cell r="G597" t="str">
            <v>Bachelor of Technology</v>
          </cell>
          <cell r="H597" t="str">
            <v>2022825759.debadrita@ug.sharda.ac.in</v>
          </cell>
          <cell r="I597" t="str">
            <v>2022825759.debojit@pt.sharda.ac.in</v>
          </cell>
          <cell r="J597" t="str">
            <v>8282934341</v>
          </cell>
          <cell r="K597" t="str">
            <v>CSE- Data Science</v>
          </cell>
          <cell r="L597" t="str">
            <v>Data Scientist</v>
          </cell>
        </row>
        <row r="598">
          <cell r="D598">
            <v>2022005712</v>
          </cell>
          <cell r="E598">
            <v>2201010210</v>
          </cell>
          <cell r="F598" t="str">
            <v>B-Tech CSE (SPL)-VI M</v>
          </cell>
          <cell r="G598" t="str">
            <v>Bachelor of Technology</v>
          </cell>
          <cell r="H598" t="str">
            <v>2022005712.devansh@ug.sharda.ac.in</v>
          </cell>
          <cell r="I598" t="str">
            <v>2022005712.sanjay@pt.sharda.ac.in</v>
          </cell>
          <cell r="J598" t="str">
            <v>9462241759</v>
          </cell>
          <cell r="K598" t="str">
            <v>CSE- Data Science</v>
          </cell>
          <cell r="L598" t="str">
            <v>Data Scientist</v>
          </cell>
        </row>
        <row r="599">
          <cell r="D599">
            <v>2022325712</v>
          </cell>
          <cell r="E599">
            <v>2201010280</v>
          </cell>
          <cell r="F599" t="str">
            <v>B-Tech CSE (SPL)-VI M</v>
          </cell>
          <cell r="G599" t="str">
            <v>Bachelor of Technology</v>
          </cell>
          <cell r="H599" t="str">
            <v>2022325712.harshit@ug.sharda.ac.in</v>
          </cell>
          <cell r="I599" t="str">
            <v>2022325712.pratap@pt.sharda.ac.in</v>
          </cell>
          <cell r="J599" t="str">
            <v>6398613166</v>
          </cell>
          <cell r="K599" t="str">
            <v>CSE- Data Science</v>
          </cell>
          <cell r="L599" t="str">
            <v>Data Scientist</v>
          </cell>
        </row>
        <row r="600">
          <cell r="D600">
            <v>2022005046</v>
          </cell>
          <cell r="E600">
            <v>2201010302</v>
          </cell>
          <cell r="F600" t="str">
            <v>B-Tech CSE (SPL)-VI M</v>
          </cell>
          <cell r="G600" t="str">
            <v>Bachelor of Technology</v>
          </cell>
          <cell r="H600" t="str">
            <v>2022005046.jatin@ug.sharda.ac.in</v>
          </cell>
          <cell r="I600" t="str">
            <v>2022005046.jitendra@pt.sharda.ac.in</v>
          </cell>
          <cell r="J600" t="str">
            <v>9569851824</v>
          </cell>
          <cell r="K600" t="str">
            <v>CSE- Data Science</v>
          </cell>
          <cell r="L600" t="str">
            <v>Software Developer</v>
          </cell>
        </row>
        <row r="601">
          <cell r="D601">
            <v>2022480883</v>
          </cell>
          <cell r="E601">
            <v>2201010305</v>
          </cell>
          <cell r="F601" t="str">
            <v>B-Tech CSE (SPL)-VI M</v>
          </cell>
          <cell r="G601" t="str">
            <v>Bachelor of Technology</v>
          </cell>
          <cell r="H601" t="str">
            <v>2022480883.jatinkumar@ug.sharda.ac.in</v>
          </cell>
          <cell r="I601" t="str">
            <v>2022480883.vijaykumar@pt.sharda.ac.in</v>
          </cell>
          <cell r="J601" t="str">
            <v>9810725365</v>
          </cell>
          <cell r="K601" t="str">
            <v>CSE- Data Science</v>
          </cell>
          <cell r="L601" t="str">
            <v>Data Scientist</v>
          </cell>
        </row>
        <row r="602">
          <cell r="D602">
            <v>2022469633</v>
          </cell>
          <cell r="E602">
            <v>2201010328</v>
          </cell>
          <cell r="F602" t="str">
            <v>B-Tech CSE (SPL)-VI M</v>
          </cell>
          <cell r="G602" t="str">
            <v>Bachelor of Technology</v>
          </cell>
          <cell r="H602" t="str">
            <v>2022469633.khushboo@ug.sharda.ac.in</v>
          </cell>
          <cell r="I602" t="str">
            <v>2022469633.dhiraj@pt.sharda.ac.in</v>
          </cell>
          <cell r="J602" t="str">
            <v>6203462235</v>
          </cell>
          <cell r="K602" t="str">
            <v>CSE- Data Science</v>
          </cell>
          <cell r="L602" t="str">
            <v>Data Scientist</v>
          </cell>
        </row>
        <row r="603">
          <cell r="D603">
            <v>2022366544</v>
          </cell>
          <cell r="E603">
            <v>2201010363</v>
          </cell>
          <cell r="F603" t="str">
            <v>B-Tech CSE (SPL)-VI M</v>
          </cell>
          <cell r="G603" t="str">
            <v>Bachelor of Technology</v>
          </cell>
          <cell r="H603" t="str">
            <v>2022366544.manan@ug.sharda.ac.in</v>
          </cell>
          <cell r="I603" t="str">
            <v>2022366544.sanjeev@pt.sharda.ac.in</v>
          </cell>
          <cell r="J603" t="str">
            <v>8076298986</v>
          </cell>
          <cell r="K603" t="str">
            <v>CSE- Data Science</v>
          </cell>
          <cell r="L603" t="str">
            <v>Data Scientist</v>
          </cell>
        </row>
        <row r="604">
          <cell r="D604">
            <v>2022414035</v>
          </cell>
          <cell r="E604">
            <v>2201010375</v>
          </cell>
          <cell r="F604" t="str">
            <v>B-Tech CSE (SPL)-VI M</v>
          </cell>
          <cell r="G604" t="str">
            <v>Bachelor of Technology</v>
          </cell>
          <cell r="H604" t="str">
            <v>2022414035.manjay@ug.sharda.ac.in</v>
          </cell>
          <cell r="I604" t="str">
            <v>2022414035.alok@pt.sharda.ac.in</v>
          </cell>
          <cell r="J604" t="str">
            <v>9155447487</v>
          </cell>
          <cell r="K604" t="str">
            <v>CSE- Data Science</v>
          </cell>
          <cell r="L604" t="str">
            <v>Data Scientist</v>
          </cell>
        </row>
        <row r="605">
          <cell r="D605">
            <v>2022456058</v>
          </cell>
          <cell r="E605">
            <v>2201010381</v>
          </cell>
          <cell r="F605" t="str">
            <v>B-Tech CSE (SPL)-VI M</v>
          </cell>
          <cell r="G605" t="str">
            <v>Bachelor of Technology</v>
          </cell>
          <cell r="H605" t="str">
            <v>2022456058.manveer@ug.sharda.ac.in</v>
          </cell>
          <cell r="I605" t="str">
            <v>2022456058.udaybhan@pt.sharda.ac.in</v>
          </cell>
          <cell r="J605" t="str">
            <v>9565945698</v>
          </cell>
          <cell r="K605" t="str">
            <v>CSE- Data Science</v>
          </cell>
          <cell r="L605" t="str">
            <v>Data Scientist</v>
          </cell>
        </row>
        <row r="606">
          <cell r="D606">
            <v>2022533506</v>
          </cell>
          <cell r="E606">
            <v>2201010386</v>
          </cell>
          <cell r="F606" t="str">
            <v>B-Tech CSE (SPL)-VI M</v>
          </cell>
          <cell r="G606" t="str">
            <v>Bachelor of Technology</v>
          </cell>
          <cell r="H606" t="str">
            <v>2022533506.mayon@ug.sharda.ac.in</v>
          </cell>
          <cell r="I606" t="str">
            <v>2022533506.gajendrasingh@pt.sharda.ac.in</v>
          </cell>
          <cell r="J606" t="str">
            <v>8448320213</v>
          </cell>
          <cell r="K606" t="str">
            <v>CSE- Data Science</v>
          </cell>
          <cell r="L606" t="str">
            <v>Data Scientist</v>
          </cell>
        </row>
        <row r="607">
          <cell r="D607">
            <v>2022338119</v>
          </cell>
          <cell r="E607">
            <v>2201010402</v>
          </cell>
          <cell r="F607" t="str">
            <v>B-Tech CSE (SPL)-VI M</v>
          </cell>
          <cell r="G607" t="str">
            <v>Bachelor of Technology</v>
          </cell>
          <cell r="H607" t="str">
            <v>2022338119.mehul@ug.sharda.ac.in</v>
          </cell>
          <cell r="I607" t="str">
            <v>2022338119.dineshkumar@pt.sharda.ac.in</v>
          </cell>
          <cell r="J607" t="str">
            <v>9811008887</v>
          </cell>
          <cell r="K607" t="str">
            <v>CSE- Data Science</v>
          </cell>
          <cell r="L607" t="str">
            <v>Data Scientist</v>
          </cell>
        </row>
        <row r="608">
          <cell r="D608">
            <v>2022438436</v>
          </cell>
          <cell r="E608">
            <v>2201010408</v>
          </cell>
          <cell r="F608" t="str">
            <v>B-Tech CSE (SPL)-VI M</v>
          </cell>
          <cell r="G608" t="str">
            <v>Bachelor of Technology</v>
          </cell>
          <cell r="H608" t="str">
            <v>2022438436.mohammad@ug.sharda.ac.in</v>
          </cell>
          <cell r="I608" t="str">
            <v>2022438436.jawed@pt.sharda.ac.in</v>
          </cell>
          <cell r="J608" t="str">
            <v>8207877816</v>
          </cell>
          <cell r="K608" t="str">
            <v>CSE- Data Science</v>
          </cell>
          <cell r="L608" t="str">
            <v>Data Scientist</v>
          </cell>
        </row>
        <row r="609">
          <cell r="D609">
            <v>2022403267</v>
          </cell>
          <cell r="E609">
            <v>2201010410</v>
          </cell>
          <cell r="F609" t="str">
            <v>B-Tech CSE (SPL)-VI M</v>
          </cell>
          <cell r="G609" t="str">
            <v>Bachelor of Technology</v>
          </cell>
          <cell r="H609" t="str">
            <v>2022403267.mohammad@ug.sharda.ac.in</v>
          </cell>
          <cell r="I609" t="str">
            <v>2022403267.md@pt.sharda.ac.in</v>
          </cell>
          <cell r="J609" t="str">
            <v>8797872365</v>
          </cell>
          <cell r="K609" t="str">
            <v>CSE- Data Science</v>
          </cell>
          <cell r="L609" t="str">
            <v>Software Developer</v>
          </cell>
        </row>
        <row r="610">
          <cell r="D610">
            <v>2022007037</v>
          </cell>
          <cell r="E610">
            <v>2201010447</v>
          </cell>
          <cell r="F610" t="str">
            <v>B-Tech CSE (SPL)-VI M</v>
          </cell>
          <cell r="G610" t="str">
            <v>Bachelor of Technology</v>
          </cell>
          <cell r="H610" t="str">
            <v>2022007037.mridul@ug.sharda.ac.in</v>
          </cell>
          <cell r="I610" t="str">
            <v>2022007037.gulshan@pt.sharda.ac.in</v>
          </cell>
          <cell r="J610" t="str">
            <v>9205900265</v>
          </cell>
          <cell r="K610" t="str">
            <v>CSE- Data Science</v>
          </cell>
          <cell r="L610" t="str">
            <v>Data Scientist</v>
          </cell>
        </row>
        <row r="611">
          <cell r="D611">
            <v>2022428888</v>
          </cell>
          <cell r="E611">
            <v>2201010463</v>
          </cell>
          <cell r="F611" t="str">
            <v>B-Tech CSE (SPL)-VI M</v>
          </cell>
          <cell r="G611" t="str">
            <v>Bachelor of Technology</v>
          </cell>
          <cell r="H611" t="str">
            <v>2022428888.navya@ug.sharda.ac.in</v>
          </cell>
          <cell r="I611" t="str">
            <v>2022428888.girishkumar@pt.sharda.ac.in</v>
          </cell>
          <cell r="J611" t="str">
            <v>7701997160</v>
          </cell>
          <cell r="K611" t="str">
            <v>CSE- Data Science</v>
          </cell>
          <cell r="L611" t="str">
            <v>Data Scientist</v>
          </cell>
        </row>
        <row r="612">
          <cell r="D612">
            <v>2022496362</v>
          </cell>
          <cell r="E612">
            <v>2201010504</v>
          </cell>
          <cell r="F612" t="str">
            <v>B-Tech CSE (SPL)-VI M</v>
          </cell>
          <cell r="G612" t="str">
            <v>Bachelor of Technology</v>
          </cell>
          <cell r="H612" t="str">
            <v>2022496362.piyush@ug.sharda.ac.in</v>
          </cell>
          <cell r="I612" t="str">
            <v>2022496362.deveshchandra@pt.sharda.ac.in</v>
          </cell>
          <cell r="J612" t="str">
            <v>8840751848</v>
          </cell>
          <cell r="K612" t="str">
            <v>CSE- Data Science</v>
          </cell>
          <cell r="L612" t="str">
            <v>Data Scientist</v>
          </cell>
        </row>
        <row r="613">
          <cell r="D613">
            <v>2022005278</v>
          </cell>
          <cell r="E613">
            <v>2201010524</v>
          </cell>
          <cell r="F613" t="str">
            <v>B-Tech CSE (SPL)-VI M</v>
          </cell>
          <cell r="G613" t="str">
            <v>Bachelor of Technology</v>
          </cell>
          <cell r="H613" t="str">
            <v>2022005278.prince@ug.sharda.ac.in</v>
          </cell>
          <cell r="I613" t="str">
            <v>2022005278.chhatradhari@pt.sharda.ac.in</v>
          </cell>
          <cell r="J613" t="str">
            <v>8709314257</v>
          </cell>
          <cell r="K613" t="str">
            <v>CSE- Data Science</v>
          </cell>
          <cell r="L613" t="str">
            <v>Full Stack Developer(MERN Stack)</v>
          </cell>
        </row>
        <row r="614">
          <cell r="D614">
            <v>2022529691</v>
          </cell>
          <cell r="E614">
            <v>2201010528</v>
          </cell>
          <cell r="F614" t="str">
            <v>B-Tech CSE (SPL)-VI M</v>
          </cell>
          <cell r="G614" t="str">
            <v>Bachelor of Technology</v>
          </cell>
          <cell r="H614" t="str">
            <v>2022529691.priyansh@ug.sharda.ac.in</v>
          </cell>
          <cell r="I614" t="str">
            <v>2022529691.prabhat@pt.sharda.ac.in</v>
          </cell>
          <cell r="J614" t="str">
            <v>7302447130</v>
          </cell>
          <cell r="K614" t="str">
            <v>CSE- Data Science</v>
          </cell>
          <cell r="L614" t="str">
            <v>Data Scientist</v>
          </cell>
        </row>
        <row r="615">
          <cell r="D615">
            <v>2022439234</v>
          </cell>
          <cell r="E615">
            <v>2201010533</v>
          </cell>
          <cell r="F615" t="str">
            <v>B-Tech CSE (SPL)-VI M</v>
          </cell>
          <cell r="G615" t="str">
            <v>Bachelor of Technology</v>
          </cell>
          <cell r="H615" t="str">
            <v>2022439234.priyanshu@ug.sharda.ac.in</v>
          </cell>
          <cell r="I615" t="str">
            <v>2022439234.jaiprakash@pt.sharda.ac.in</v>
          </cell>
          <cell r="J615" t="str">
            <v>9599806982</v>
          </cell>
          <cell r="K615" t="str">
            <v>CSE- Data Science</v>
          </cell>
          <cell r="L615" t="str">
            <v>Data Scientist</v>
          </cell>
        </row>
        <row r="616">
          <cell r="D616">
            <v>2022006709</v>
          </cell>
          <cell r="E616">
            <v>2201010548</v>
          </cell>
          <cell r="F616" t="str">
            <v>B-Tech CSE (SPL)-VI M</v>
          </cell>
          <cell r="G616" t="str">
            <v>Bachelor of Technology</v>
          </cell>
          <cell r="H616" t="str">
            <v>2022006709.raj@ug.sharda.ac.in</v>
          </cell>
          <cell r="I616" t="str">
            <v>2022006709.rajnikant@pt.sharda.ac.in</v>
          </cell>
          <cell r="J616" t="str">
            <v>8397958947</v>
          </cell>
          <cell r="K616" t="str">
            <v>CSE- Data Science</v>
          </cell>
          <cell r="L616" t="str">
            <v>Data Scientist</v>
          </cell>
        </row>
        <row r="617">
          <cell r="D617">
            <v>2022006115</v>
          </cell>
          <cell r="E617">
            <v>2201010560</v>
          </cell>
          <cell r="F617" t="str">
            <v>B-Tech CSE (SPL)-VI M</v>
          </cell>
          <cell r="G617" t="str">
            <v>Bachelor of Technology</v>
          </cell>
          <cell r="H617" t="str">
            <v>2022006115.ranya@ug.sharda.ac.in</v>
          </cell>
          <cell r="I617" t="str">
            <v>2022006115.ranjan@pt.sharda.ac.in</v>
          </cell>
          <cell r="J617" t="str">
            <v>7209648347</v>
          </cell>
          <cell r="K617" t="str">
            <v>CSE- Data Science</v>
          </cell>
          <cell r="L617" t="str">
            <v>Data Scientist</v>
          </cell>
        </row>
        <row r="618">
          <cell r="D618">
            <v>2022410984</v>
          </cell>
          <cell r="E618">
            <v>2201010566</v>
          </cell>
          <cell r="F618" t="str">
            <v>B-Tech CSE (SPL)-VI M</v>
          </cell>
          <cell r="G618" t="str">
            <v>Bachelor of Technology</v>
          </cell>
          <cell r="H618" t="str">
            <v>2022410984.rebekah@ug.sharda.ac.in</v>
          </cell>
          <cell r="I618" t="str">
            <v>2022410984.crussel@pt.sharda.ac.in</v>
          </cell>
          <cell r="J618" t="str">
            <v>9778206460</v>
          </cell>
          <cell r="K618" t="str">
            <v>CSE- Data Science</v>
          </cell>
          <cell r="L618" t="str">
            <v>Data Scientist</v>
          </cell>
        </row>
        <row r="619">
          <cell r="D619">
            <v>2022307000</v>
          </cell>
          <cell r="E619">
            <v>2201010589</v>
          </cell>
          <cell r="F619" t="str">
            <v>B-Tech CSE (SPL)-VI M</v>
          </cell>
          <cell r="G619" t="str">
            <v>Bachelor of Technology</v>
          </cell>
          <cell r="H619" t="str">
            <v>2022307000.ritu@ug.sharda.ac.in</v>
          </cell>
          <cell r="I619" t="str">
            <v>2022307000.rambabu@pt.sharda.ac.in</v>
          </cell>
          <cell r="J619" t="str">
            <v>8448407708</v>
          </cell>
          <cell r="K619" t="str">
            <v>CSE- Data Science</v>
          </cell>
          <cell r="L619" t="str">
            <v>Data Scientist</v>
          </cell>
        </row>
        <row r="620">
          <cell r="D620">
            <v>2022553875</v>
          </cell>
          <cell r="E620">
            <v>2201010609</v>
          </cell>
          <cell r="F620" t="str">
            <v>B-Tech CSE (SPL)-VI M</v>
          </cell>
          <cell r="G620" t="str">
            <v>Bachelor of Technology</v>
          </cell>
          <cell r="H620" t="str">
            <v>2022553875.sadaf@ug.sharda.ac.in</v>
          </cell>
          <cell r="I620" t="str">
            <v>2022553875.syedshakeel@pt.sharda.ac.in</v>
          </cell>
          <cell r="J620" t="str">
            <v>7705055654</v>
          </cell>
          <cell r="K620" t="str">
            <v>CSE- Data Science</v>
          </cell>
          <cell r="L620" t="str">
            <v>Data Scientist</v>
          </cell>
        </row>
        <row r="621">
          <cell r="D621">
            <v>2022459247</v>
          </cell>
          <cell r="E621">
            <v>2201010618</v>
          </cell>
          <cell r="F621" t="str">
            <v>B-Tech CSE (SPL)-VI M</v>
          </cell>
          <cell r="G621" t="str">
            <v>Bachelor of Technology</v>
          </cell>
          <cell r="H621" t="str">
            <v>2022459247.sakshi@ug.sharda.ac.in</v>
          </cell>
          <cell r="I621" t="str">
            <v>2022459247.rahul@pt.sharda.ac.in</v>
          </cell>
          <cell r="J621" t="str">
            <v>6003035272</v>
          </cell>
          <cell r="K621" t="str">
            <v>CSE- Data Science</v>
          </cell>
          <cell r="L621" t="str">
            <v>Data Scientist</v>
          </cell>
        </row>
        <row r="622">
          <cell r="D622">
            <v>2022465132</v>
          </cell>
          <cell r="E622">
            <v>2201010649</v>
          </cell>
          <cell r="F622" t="str">
            <v>B-Tech CSE (SPL)-VI M</v>
          </cell>
          <cell r="G622" t="str">
            <v>Bachelor of Technology</v>
          </cell>
          <cell r="H622" t="str">
            <v>2022465132.saurabh@ug.sharda.ac.in</v>
          </cell>
          <cell r="I622" t="str">
            <v>2022465132.bhavendrakumar@pt.sharda.ac.in</v>
          </cell>
          <cell r="J622" t="str">
            <v>7838177753</v>
          </cell>
          <cell r="K622" t="str">
            <v>CSE- Data Science</v>
          </cell>
          <cell r="L622" t="str">
            <v>Data Scientist</v>
          </cell>
        </row>
        <row r="623">
          <cell r="D623">
            <v>2022513718</v>
          </cell>
          <cell r="E623">
            <v>2201010696</v>
          </cell>
          <cell r="F623" t="str">
            <v>B-Tech CSE (SPL)-VI M</v>
          </cell>
          <cell r="G623" t="str">
            <v>Bachelor of Technology</v>
          </cell>
          <cell r="H623" t="str">
            <v>2022513718.sivam@ug.sharda.ac.in</v>
          </cell>
          <cell r="I623" t="str">
            <v>2022513718.sushil@pt.sharda.ac.in</v>
          </cell>
          <cell r="J623" t="str">
            <v>9910743793</v>
          </cell>
          <cell r="K623" t="str">
            <v>CSE- Data Science</v>
          </cell>
          <cell r="L623" t="str">
            <v>Software Developer</v>
          </cell>
        </row>
        <row r="624">
          <cell r="D624">
            <v>2022518889</v>
          </cell>
          <cell r="E624">
            <v>2201010697</v>
          </cell>
          <cell r="F624" t="str">
            <v>B-Tech CSE (SPL)-VI M</v>
          </cell>
          <cell r="G624" t="str">
            <v>Bachelor of Technology</v>
          </cell>
          <cell r="H624" t="str">
            <v>2022518889.smriti@ug.sharda.ac.in</v>
          </cell>
          <cell r="I624" t="str">
            <v>2022518889.bimla@pt.sharda.ac.in</v>
          </cell>
          <cell r="J624" t="str">
            <v>9835638407</v>
          </cell>
          <cell r="K624" t="str">
            <v>CSE- Data Science</v>
          </cell>
          <cell r="L624" t="str">
            <v>Data Scientist</v>
          </cell>
        </row>
        <row r="625">
          <cell r="D625">
            <v>2022003733</v>
          </cell>
          <cell r="E625">
            <v>2201010708</v>
          </cell>
          <cell r="F625" t="str">
            <v>B-Tech CSE (SPL)-VI M</v>
          </cell>
          <cell r="G625" t="str">
            <v>Bachelor of Technology</v>
          </cell>
          <cell r="H625" t="str">
            <v>2022003733.sonal@ug.sharda.ac.in</v>
          </cell>
          <cell r="I625" t="str">
            <v>2022003733.sanjay@pt.sharda.ac.in</v>
          </cell>
          <cell r="J625" t="str">
            <v>9711782891</v>
          </cell>
          <cell r="K625" t="str">
            <v>CSE- Data Science</v>
          </cell>
          <cell r="L625" t="str">
            <v>Data Scientist</v>
          </cell>
        </row>
        <row r="626">
          <cell r="D626">
            <v>2022335852</v>
          </cell>
          <cell r="E626">
            <v>2201010739</v>
          </cell>
          <cell r="F626" t="str">
            <v>B-Tech CSE (SPL)-VI M</v>
          </cell>
          <cell r="G626" t="str">
            <v>Bachelor of Technology</v>
          </cell>
          <cell r="H626" t="str">
            <v>2022335852.tanishq@ug.sharda.ac.in</v>
          </cell>
          <cell r="I626" t="str">
            <v>2022335852.sanjay@pt.sharda.ac.in</v>
          </cell>
          <cell r="J626" t="str">
            <v>9899751392</v>
          </cell>
          <cell r="K626" t="str">
            <v>CSE- Data Science</v>
          </cell>
          <cell r="L626" t="str">
            <v>Software Developer</v>
          </cell>
        </row>
        <row r="627">
          <cell r="D627">
            <v>2022005013</v>
          </cell>
          <cell r="E627">
            <v>2201010742</v>
          </cell>
          <cell r="F627" t="str">
            <v>B-Tech CSE (SPL)-VI M</v>
          </cell>
          <cell r="G627" t="str">
            <v>Bachelor of Technology</v>
          </cell>
          <cell r="H627" t="str">
            <v>2022005013.tanu@ug.sharda.ac.in</v>
          </cell>
          <cell r="I627" t="str">
            <v>2022005013.jaswant@pt.sharda.ac.in</v>
          </cell>
          <cell r="J627" t="str">
            <v>8103186720</v>
          </cell>
          <cell r="K627" t="str">
            <v>CSE- Data Science</v>
          </cell>
          <cell r="L627" t="str">
            <v>Data Scientist</v>
          </cell>
        </row>
        <row r="628">
          <cell r="D628">
            <v>2022520199</v>
          </cell>
          <cell r="E628">
            <v>2201010744</v>
          </cell>
          <cell r="F628" t="str">
            <v>B-Tech CSE (SPL)-VI M</v>
          </cell>
          <cell r="G628" t="str">
            <v>Bachelor of Technology</v>
          </cell>
          <cell r="H628" t="str">
            <v>2022520199.tanuj@ug.sharda.ac.in</v>
          </cell>
          <cell r="I628" t="str">
            <v>2022520199.rakeshkumar@pt.sharda.ac.in</v>
          </cell>
          <cell r="J628" t="str">
            <v>8279408366</v>
          </cell>
          <cell r="K628" t="str">
            <v>CSE- Data Science</v>
          </cell>
          <cell r="L628" t="str">
            <v>Data Scientist</v>
          </cell>
        </row>
        <row r="629">
          <cell r="D629">
            <v>2022823509</v>
          </cell>
          <cell r="E629">
            <v>2201010755</v>
          </cell>
          <cell r="F629" t="str">
            <v>B-Tech CSE (SPL)-VI M</v>
          </cell>
          <cell r="G629" t="str">
            <v>Bachelor of Technology</v>
          </cell>
          <cell r="H629" t="str">
            <v>2022823509.tummenye@ug.sharda.ac.in</v>
          </cell>
          <cell r="I629" t="str">
            <v>2022823509.amos@pt.sharda.ac.in</v>
          </cell>
          <cell r="J629" t="str">
            <v>9560018314</v>
          </cell>
          <cell r="K629" t="str">
            <v>CSE- Data Science</v>
          </cell>
          <cell r="L629" t="str">
            <v>Data Scientist</v>
          </cell>
        </row>
        <row r="630">
          <cell r="D630">
            <v>2022421811</v>
          </cell>
          <cell r="E630">
            <v>2201010758</v>
          </cell>
          <cell r="F630" t="str">
            <v>B-Tech CSE (SPL)-VI M</v>
          </cell>
          <cell r="G630" t="str">
            <v>Bachelor of Technology</v>
          </cell>
          <cell r="H630" t="str">
            <v>2022421811.ujjwal@ug.sharda.ac.in</v>
          </cell>
          <cell r="I630" t="str">
            <v>2022421811.vijaykumar@pt.sharda.ac.in</v>
          </cell>
          <cell r="J630" t="str">
            <v>8449136909</v>
          </cell>
          <cell r="K630" t="str">
            <v>CSE- Data Science</v>
          </cell>
          <cell r="L630" t="str">
            <v>Machine Learning Engineer</v>
          </cell>
        </row>
        <row r="631">
          <cell r="D631">
            <v>2022477719</v>
          </cell>
          <cell r="E631">
            <v>2201010759</v>
          </cell>
          <cell r="F631" t="str">
            <v>B-Tech CSE (SPL)-VI M</v>
          </cell>
          <cell r="G631" t="str">
            <v>Bachelor of Technology</v>
          </cell>
          <cell r="H631" t="str">
            <v>2022477719.uma@ug.sharda.ac.in</v>
          </cell>
          <cell r="I631" t="str">
            <v>2022477719.ravindra@pt.sharda.ac.in</v>
          </cell>
          <cell r="J631" t="str">
            <v>9891991299</v>
          </cell>
          <cell r="K631" t="str">
            <v>CSE- Data Science</v>
          </cell>
          <cell r="L631" t="str">
            <v>Data Scientist</v>
          </cell>
        </row>
        <row r="632">
          <cell r="D632">
            <v>2022374380</v>
          </cell>
          <cell r="E632">
            <v>2201010768</v>
          </cell>
          <cell r="F632" t="str">
            <v>B-Tech CSE (SPL)-VI M</v>
          </cell>
          <cell r="G632" t="str">
            <v>Bachelor of Technology</v>
          </cell>
          <cell r="H632" t="str">
            <v>2022374380.uttam@ug.sharda.ac.in</v>
          </cell>
          <cell r="I632" t="str">
            <v>2022374380.dipak@pt.sharda.ac.in</v>
          </cell>
          <cell r="J632" t="str">
            <v>6200040819</v>
          </cell>
          <cell r="K632" t="str">
            <v>CSE- Data Science</v>
          </cell>
          <cell r="L632" t="str">
            <v>Software Developer</v>
          </cell>
        </row>
        <row r="633">
          <cell r="D633">
            <v>2022495156</v>
          </cell>
          <cell r="E633">
            <v>2201010775</v>
          </cell>
          <cell r="F633" t="str">
            <v>B-Tech CSE (SPL)-VI M</v>
          </cell>
          <cell r="G633" t="str">
            <v>Bachelor of Technology</v>
          </cell>
          <cell r="H633" t="str">
            <v>2022495156.vanshika@ug.sharda.ac.in</v>
          </cell>
          <cell r="I633" t="str">
            <v>2022495156.vikram@pt.sharda.ac.in</v>
          </cell>
          <cell r="J633" t="str">
            <v>9654097286</v>
          </cell>
          <cell r="K633" t="str">
            <v>CSE- Data Science</v>
          </cell>
          <cell r="L633" t="str">
            <v>Data Scientist</v>
          </cell>
        </row>
        <row r="634">
          <cell r="D634">
            <v>2022006597</v>
          </cell>
          <cell r="E634">
            <v>2201010802</v>
          </cell>
          <cell r="F634" t="str">
            <v>B-Tech CSE (SPL)-VI M</v>
          </cell>
          <cell r="G634" t="str">
            <v>Bachelor of Technology</v>
          </cell>
          <cell r="H634" t="str">
            <v>2022006597.wasiullah@ug.sharda.ac.in</v>
          </cell>
          <cell r="I634" t="str">
            <v>2022006597.mdaqueeque@pt.sharda.ac.in</v>
          </cell>
          <cell r="J634" t="str">
            <v>9334342439</v>
          </cell>
          <cell r="K634" t="str">
            <v>CSE- Data Science</v>
          </cell>
          <cell r="L634" t="str">
            <v>Full Stack Developer(MERN Stack)</v>
          </cell>
        </row>
        <row r="635">
          <cell r="D635">
            <v>2022518973</v>
          </cell>
          <cell r="E635">
            <v>2201010814</v>
          </cell>
          <cell r="F635" t="str">
            <v>B-Tech CSE (SPL)-VI M</v>
          </cell>
          <cell r="G635" t="str">
            <v>Bachelor of Technology</v>
          </cell>
          <cell r="H635" t="str">
            <v>2022518973.yashi@ug.sharda.ac.in</v>
          </cell>
          <cell r="I635" t="str">
            <v>2022518973.awadhesh@pt.sharda.ac.in</v>
          </cell>
          <cell r="J635" t="str">
            <v>7355119701</v>
          </cell>
          <cell r="K635" t="str">
            <v>CSE- Data Science</v>
          </cell>
          <cell r="L635" t="str">
            <v>Data Scientist</v>
          </cell>
        </row>
        <row r="636">
          <cell r="D636">
            <v>2022490281</v>
          </cell>
          <cell r="E636">
            <v>2201010824</v>
          </cell>
          <cell r="F636" t="str">
            <v>B-Tech CSE (SPL)-VI M</v>
          </cell>
          <cell r="G636" t="str">
            <v>Bachelor of Technology</v>
          </cell>
          <cell r="H636" t="str">
            <v>2022490281.yuvraj@ug.sharda.ac.in</v>
          </cell>
          <cell r="I636" t="str">
            <v>2022490281.vikas@pt.sharda.ac.in</v>
          </cell>
          <cell r="J636" t="str">
            <v>7618391125</v>
          </cell>
          <cell r="K636" t="str">
            <v>CSE- Data Science</v>
          </cell>
          <cell r="L636" t="str">
            <v>Data Scientist</v>
          </cell>
        </row>
        <row r="637">
          <cell r="D637">
            <v>2022006563</v>
          </cell>
          <cell r="E637">
            <v>2201010942</v>
          </cell>
          <cell r="F637" t="str">
            <v>B-Tech CSE (SPL)-VI M</v>
          </cell>
          <cell r="G637" t="str">
            <v>Bachelor of Technology</v>
          </cell>
          <cell r="H637" t="str">
            <v>2022006563.jeevansh@ug.sharda.ac.in</v>
          </cell>
          <cell r="I637" t="str">
            <v>2022006563.deep@pt.sharda.ac.in</v>
          </cell>
          <cell r="J637" t="str">
            <v>9891292692</v>
          </cell>
          <cell r="K637" t="str">
            <v>CSE- Data Science</v>
          </cell>
          <cell r="L637" t="str">
            <v>Data Scientist</v>
          </cell>
        </row>
        <row r="638">
          <cell r="D638">
            <v>2022006893</v>
          </cell>
          <cell r="E638">
            <v>2201010943</v>
          </cell>
          <cell r="F638" t="str">
            <v>B-Tech CSE (SPL)-VI M</v>
          </cell>
          <cell r="G638" t="str">
            <v>Bachelor of Technology</v>
          </cell>
          <cell r="H638" t="str">
            <v>2022006893.nikhil@ug.sharda.ac.in</v>
          </cell>
          <cell r="I638" t="str">
            <v>2022006893.shrikrishna@pt.sharda.ac.in</v>
          </cell>
          <cell r="J638" t="str">
            <v>8009066918</v>
          </cell>
          <cell r="K638" t="str">
            <v>CSE- Data Science</v>
          </cell>
          <cell r="L638" t="str">
            <v>Data Scientist</v>
          </cell>
        </row>
        <row r="639">
          <cell r="D639">
            <v>2022007789</v>
          </cell>
          <cell r="E639">
            <v>2201010945</v>
          </cell>
          <cell r="F639" t="str">
            <v>B-Tech CSE (SPL)-VI M</v>
          </cell>
          <cell r="G639" t="str">
            <v>Bachelor of Technology</v>
          </cell>
          <cell r="H639" t="str">
            <v>2022007789.kapil@ug.sharda.ac.in</v>
          </cell>
          <cell r="I639" t="str">
            <v>2022007789.ashokkumar@pt.sharda.ac.in</v>
          </cell>
          <cell r="J639" t="str">
            <v>9654279733</v>
          </cell>
          <cell r="K639" t="str">
            <v>CSE- Data Science</v>
          </cell>
          <cell r="L639" t="str">
            <v>Data Scientist</v>
          </cell>
        </row>
        <row r="640">
          <cell r="D640">
            <v>2022565521</v>
          </cell>
          <cell r="E640">
            <v>2201010948</v>
          </cell>
          <cell r="F640" t="str">
            <v>B-Tech CSE (SPL)-VI M</v>
          </cell>
          <cell r="G640" t="str">
            <v>Bachelor of Technology</v>
          </cell>
          <cell r="H640" t="str">
            <v>2022565521.utkarsh@ug.sharda.ac.in</v>
          </cell>
          <cell r="I640" t="str">
            <v>2022565521.vimalkumar@pt.sharda.ac.in</v>
          </cell>
          <cell r="J640" t="str">
            <v>9263634121</v>
          </cell>
          <cell r="K640" t="str">
            <v>CSE- Data Science</v>
          </cell>
          <cell r="L640" t="str">
            <v>Data Scientist</v>
          </cell>
        </row>
        <row r="641">
          <cell r="D641">
            <v>2022573142</v>
          </cell>
          <cell r="E641">
            <v>2201010949</v>
          </cell>
          <cell r="F641" t="str">
            <v>B-Tech CSE (SPL)-VI M</v>
          </cell>
          <cell r="G641" t="str">
            <v>Bachelor of Technology</v>
          </cell>
          <cell r="H641" t="str">
            <v>2022573142.aditya@ug.sharda.ac.in</v>
          </cell>
          <cell r="I641" t="str">
            <v>2022573142.rajeev@pt.sharda.ac.in</v>
          </cell>
          <cell r="J641" t="str">
            <v>9318419158</v>
          </cell>
          <cell r="K641" t="str">
            <v>CSE- Data Science</v>
          </cell>
          <cell r="L641" t="str">
            <v>Data Scientist</v>
          </cell>
        </row>
        <row r="642">
          <cell r="D642">
            <v>2022586591</v>
          </cell>
          <cell r="E642">
            <v>2201010950</v>
          </cell>
          <cell r="F642" t="str">
            <v>B-Tech CSE (SPL)-VI M</v>
          </cell>
          <cell r="G642" t="str">
            <v>Bachelor of Technology</v>
          </cell>
          <cell r="H642" t="str">
            <v>2022586591.ram@ug.sharda.ac.in</v>
          </cell>
          <cell r="I642" t="str">
            <v>2022586591.jaykishor@pt.sharda.ac.in</v>
          </cell>
          <cell r="J642" t="str">
            <v>8595873389</v>
          </cell>
          <cell r="K642" t="str">
            <v>CSE- Data Science</v>
          </cell>
          <cell r="L642" t="str">
            <v>Data Scientist</v>
          </cell>
        </row>
        <row r="643">
          <cell r="D643">
            <v>2022599098</v>
          </cell>
          <cell r="E643">
            <v>2201010951</v>
          </cell>
          <cell r="F643" t="str">
            <v>B-Tech CSE (SPL)-VI M</v>
          </cell>
          <cell r="G643" t="str">
            <v>Bachelor of Technology</v>
          </cell>
          <cell r="H643" t="str">
            <v>2022599098.mohammad@ug.sharda.ac.in</v>
          </cell>
          <cell r="I643" t="str">
            <v>2022599098.mdafroz@pt.sharda.ac.in</v>
          </cell>
          <cell r="J643" t="str">
            <v>7428733580</v>
          </cell>
          <cell r="K643" t="str">
            <v>CSE- Data Science</v>
          </cell>
          <cell r="L643" t="str">
            <v>Data Scientist</v>
          </cell>
        </row>
        <row r="644">
          <cell r="D644">
            <v>2022603519</v>
          </cell>
          <cell r="E644">
            <v>2201010952</v>
          </cell>
          <cell r="F644" t="str">
            <v>B-Tech CSE (SPL)-VI M</v>
          </cell>
          <cell r="G644" t="str">
            <v>Bachelor of Technology</v>
          </cell>
          <cell r="H644" t="str">
            <v>2022603519.kamal@ug.sharda.ac.in</v>
          </cell>
          <cell r="I644" t="str">
            <v>2022603519.kamruddin@pt.sharda.ac.in</v>
          </cell>
          <cell r="J644" t="str">
            <v>7054869489</v>
          </cell>
          <cell r="K644" t="str">
            <v>CSE- Data Science</v>
          </cell>
          <cell r="L644" t="str">
            <v>Data Scientist</v>
          </cell>
        </row>
        <row r="645">
          <cell r="D645">
            <v>2022617520</v>
          </cell>
          <cell r="E645">
            <v>2201010954</v>
          </cell>
          <cell r="F645" t="str">
            <v>B-Tech CSE (SPL)-VI M</v>
          </cell>
          <cell r="G645" t="str">
            <v>Bachelor of Technology</v>
          </cell>
          <cell r="H645" t="str">
            <v>2022617520.aditya@ug.sharda.ac.in</v>
          </cell>
          <cell r="I645" t="str">
            <v>2022617520.vijaykumar@pt.sharda.ac.in</v>
          </cell>
          <cell r="J645" t="str">
            <v>6201660982</v>
          </cell>
          <cell r="K645" t="str">
            <v>CSE- Data Science</v>
          </cell>
          <cell r="L645" t="str">
            <v>Data Scientist</v>
          </cell>
        </row>
        <row r="646">
          <cell r="D646">
            <v>2022618106</v>
          </cell>
          <cell r="E646">
            <v>2201010955</v>
          </cell>
          <cell r="F646" t="str">
            <v>B-Tech CSE (SPL)-VI M</v>
          </cell>
          <cell r="G646" t="str">
            <v>Bachelor of Technology</v>
          </cell>
          <cell r="H646" t="str">
            <v>2022618106.isha@ug.sharda.ac.in</v>
          </cell>
          <cell r="I646" t="str">
            <v>2022618106.ramkishan@pt.sharda.ac.in</v>
          </cell>
          <cell r="J646" t="str">
            <v>9812579800</v>
          </cell>
          <cell r="K646" t="str">
            <v>CSE- Data Science</v>
          </cell>
          <cell r="L646" t="str">
            <v>Data Scientist</v>
          </cell>
        </row>
        <row r="647">
          <cell r="D647">
            <v>2022435623</v>
          </cell>
          <cell r="E647">
            <v>2201010108</v>
          </cell>
          <cell r="F647" t="str">
            <v>B-Tech CSE (SPL)-VI K</v>
          </cell>
          <cell r="G647" t="str">
            <v>Bachelor of Technology</v>
          </cell>
          <cell r="H647" t="str">
            <v>2022435623.anubhav@ug.sharda.ac.in</v>
          </cell>
          <cell r="I647" t="str">
            <v>2022435623.karampal@pt.sharda.ac.in</v>
          </cell>
          <cell r="J647" t="str">
            <v>8708482858</v>
          </cell>
          <cell r="K647" t="str">
            <v>B.Tech (CSE - Block Chain)</v>
          </cell>
          <cell r="L647" t="str">
            <v>Machine Learning Engineer</v>
          </cell>
        </row>
        <row r="648">
          <cell r="D648">
            <v>2022431018</v>
          </cell>
          <cell r="E648">
            <v>2201010421</v>
          </cell>
          <cell r="F648" t="str">
            <v>B-Tech CSE (SPL)-VI K</v>
          </cell>
          <cell r="G648" t="str">
            <v>Bachelor of Technology</v>
          </cell>
          <cell r="H648" t="str">
            <v>2022431018.mohd@ug.sharda.ac.in</v>
          </cell>
          <cell r="I648" t="str">
            <v>2022431018.alimul@pt.sharda.ac.in</v>
          </cell>
          <cell r="J648" t="str">
            <v>9889511924</v>
          </cell>
          <cell r="K648" t="str">
            <v>B.Tech (CSE - Block Chain)</v>
          </cell>
          <cell r="L648" t="str">
            <v>Cyber Security Analyst</v>
          </cell>
        </row>
        <row r="649">
          <cell r="D649">
            <v>2022434137</v>
          </cell>
          <cell r="E649">
            <v>2201010501</v>
          </cell>
          <cell r="F649" t="str">
            <v>B-Tech CSE (SPL)-VI K</v>
          </cell>
          <cell r="G649" t="str">
            <v>Bachelor of Technology</v>
          </cell>
          <cell r="H649" t="str">
            <v>2022434137.piyush@ug.sharda.ac.in</v>
          </cell>
          <cell r="I649" t="str">
            <v>2022434137.karampal@pt.sharda.ac.in</v>
          </cell>
          <cell r="J649" t="str">
            <v>9588385607</v>
          </cell>
          <cell r="K649" t="str">
            <v>B.Tech (CSE - Block Chain)</v>
          </cell>
          <cell r="L649" t="str">
            <v>Machine Learning Engineer</v>
          </cell>
        </row>
        <row r="650">
          <cell r="D650">
            <v>2021362606</v>
          </cell>
          <cell r="E650">
            <v>210101044</v>
          </cell>
          <cell r="F650" t="str">
            <v>B-Tech CSE (SPL)-VI K</v>
          </cell>
          <cell r="G650" t="str">
            <v>Bachelor of Technology</v>
          </cell>
          <cell r="H650" t="str">
            <v>2021362606.aditya@ug.sharda.ac.in</v>
          </cell>
          <cell r="I650" t="str">
            <v>2021362606.atulkumar@pt.sharda.ac.in</v>
          </cell>
          <cell r="J650" t="str">
            <v>9650790541</v>
          </cell>
          <cell r="K650" t="str">
            <v>CS - AI&amp; Machine Learning</v>
          </cell>
          <cell r="L650" t="e">
            <v>#N/A</v>
          </cell>
        </row>
        <row r="651">
          <cell r="D651">
            <v>2021518169</v>
          </cell>
          <cell r="E651">
            <v>210101063</v>
          </cell>
          <cell r="F651" t="str">
            <v>B-Tech CSE (SPL)-VI K</v>
          </cell>
          <cell r="G651" t="str">
            <v>Bachelor of Technology</v>
          </cell>
          <cell r="H651" t="str">
            <v>2021518169.aman@ug.sharda.ac.in</v>
          </cell>
          <cell r="I651" t="str">
            <v>2021518169.shatrughan@pt.sharda.ac.in</v>
          </cell>
          <cell r="J651" t="str">
            <v>6302163675</v>
          </cell>
          <cell r="K651" t="str">
            <v>CS - AI&amp; Machine Learning</v>
          </cell>
          <cell r="L651" t="e">
            <v>#N/A</v>
          </cell>
        </row>
        <row r="652">
          <cell r="D652">
            <v>2021455580</v>
          </cell>
          <cell r="E652">
            <v>210101114</v>
          </cell>
          <cell r="F652" t="str">
            <v>B-Tech CSE (SPL)-VI K</v>
          </cell>
          <cell r="G652" t="str">
            <v>Bachelor of Technology</v>
          </cell>
          <cell r="H652">
            <v>0</v>
          </cell>
          <cell r="I652" t="str">
            <v>2021455580.dimod@pt.sharda.ac.in</v>
          </cell>
          <cell r="J652">
            <v>8707071635</v>
          </cell>
          <cell r="K652" t="str">
            <v>CS - AI&amp; Machine Learning</v>
          </cell>
          <cell r="L652">
            <v>0</v>
          </cell>
        </row>
        <row r="653">
          <cell r="D653">
            <v>2021341739</v>
          </cell>
          <cell r="E653">
            <v>210101150</v>
          </cell>
          <cell r="F653" t="str">
            <v>B-Tech CSE (SPL)-VI K</v>
          </cell>
          <cell r="G653" t="str">
            <v>Bachelor of Technology</v>
          </cell>
          <cell r="H653" t="str">
            <v>2021341739.chandra@ug.sharda.ac.in</v>
          </cell>
          <cell r="I653" t="str">
            <v>2021341739.birendra@pt.sharda.ac.in</v>
          </cell>
          <cell r="J653" t="str">
            <v>9654228487</v>
          </cell>
          <cell r="K653" t="str">
            <v>CS - AI&amp; Machine Learning</v>
          </cell>
          <cell r="L653" t="e">
            <v>#N/A</v>
          </cell>
        </row>
        <row r="654">
          <cell r="D654">
            <v>2021399162</v>
          </cell>
          <cell r="E654">
            <v>210101172</v>
          </cell>
          <cell r="F654" t="str">
            <v>B-Tech CSE (SPL)-VI K</v>
          </cell>
          <cell r="G654" t="str">
            <v>Bachelor of Technology</v>
          </cell>
          <cell r="H654" t="str">
            <v>2021399162.dhruv@ug.sharda.ac.in</v>
          </cell>
          <cell r="I654" t="str">
            <v>2021399162.pradeep@pt.sharda.ac.in</v>
          </cell>
          <cell r="J654" t="str">
            <v>7897723111</v>
          </cell>
          <cell r="K654" t="str">
            <v>CS - AI&amp; Machine Learning</v>
          </cell>
          <cell r="L654" t="e">
            <v>#N/A</v>
          </cell>
        </row>
        <row r="655">
          <cell r="D655">
            <v>2021411743</v>
          </cell>
          <cell r="E655">
            <v>210101211</v>
          </cell>
          <cell r="F655" t="str">
            <v>B-Tech CSE (SPL)-VI K</v>
          </cell>
          <cell r="G655" t="str">
            <v>Bachelor of Technology</v>
          </cell>
          <cell r="H655">
            <v>0</v>
          </cell>
          <cell r="I655" t="str">
            <v>2021411743.rajesh@pt.sharda.ac.in</v>
          </cell>
          <cell r="J655">
            <v>9399130373</v>
          </cell>
          <cell r="K655" t="str">
            <v>CS - AI&amp; Machine Learning</v>
          </cell>
          <cell r="L655">
            <v>0</v>
          </cell>
        </row>
        <row r="656">
          <cell r="D656">
            <v>2021344584</v>
          </cell>
          <cell r="E656">
            <v>210101214</v>
          </cell>
          <cell r="F656" t="str">
            <v>B-Tech CSE (SPL)-VI K</v>
          </cell>
          <cell r="G656" t="str">
            <v>Bachelor of Technology</v>
          </cell>
          <cell r="H656" t="str">
            <v>2021344584.hasya@ug.sharda.ac.in</v>
          </cell>
          <cell r="I656" t="str">
            <v>2021344584.vipin@pt.sharda.ac.in</v>
          </cell>
          <cell r="J656" t="str">
            <v>9953758003</v>
          </cell>
          <cell r="K656" t="str">
            <v>CS - AI&amp; Machine Learning</v>
          </cell>
          <cell r="L656" t="e">
            <v>#N/A</v>
          </cell>
        </row>
        <row r="657">
          <cell r="D657">
            <v>2021390811</v>
          </cell>
          <cell r="E657">
            <v>210101238</v>
          </cell>
          <cell r="F657" t="str">
            <v>B-Tech CSE (SPL)-VI K</v>
          </cell>
          <cell r="G657" t="str">
            <v>Bachelor of Technology</v>
          </cell>
          <cell r="H657" t="str">
            <v>2021390811.karan@ug.sharda.ac.in</v>
          </cell>
          <cell r="I657" t="str">
            <v>2021390811.divakar@pt.sharda.ac.in</v>
          </cell>
          <cell r="J657" t="str">
            <v>8527315450</v>
          </cell>
          <cell r="K657" t="str">
            <v>CS - AI&amp; Machine Learning</v>
          </cell>
          <cell r="L657" t="e">
            <v>#N/A</v>
          </cell>
        </row>
        <row r="658">
          <cell r="D658">
            <v>2021369165</v>
          </cell>
          <cell r="E658">
            <v>2101134004</v>
          </cell>
          <cell r="F658" t="str">
            <v>B-Tech CSE (SPL)-VI K</v>
          </cell>
          <cell r="G658" t="str">
            <v>Bachelor of Technology</v>
          </cell>
          <cell r="H658" t="str">
            <v>2021369165.moh@ug.sharda.ac.in</v>
          </cell>
          <cell r="I658" t="str">
            <v>2021369165.mohammad@pt.sharda.ac.in</v>
          </cell>
          <cell r="J658" t="str">
            <v>7078016459</v>
          </cell>
          <cell r="K658" t="str">
            <v>CS - AI&amp; Machine Learning</v>
          </cell>
          <cell r="L658" t="str">
            <v>Machine Learning Engineer</v>
          </cell>
        </row>
        <row r="659">
          <cell r="D659">
            <v>2022004949</v>
          </cell>
          <cell r="E659">
            <v>2201010006</v>
          </cell>
          <cell r="F659" t="str">
            <v>B-Tech CSE (SPL)-VI K</v>
          </cell>
          <cell r="G659" t="str">
            <v>Bachelor of Technology</v>
          </cell>
          <cell r="H659" t="str">
            <v>2022004949.aaradhya@ug.sharda.ac.in</v>
          </cell>
          <cell r="I659" t="str">
            <v>2022004949.lategyanesh@pt.sharda.ac.in</v>
          </cell>
          <cell r="J659" t="str">
            <v>8294762440</v>
          </cell>
          <cell r="K659" t="str">
            <v>CS - AI&amp; Machine Learning</v>
          </cell>
          <cell r="L659" t="str">
            <v>Machine Learning Engineer</v>
          </cell>
        </row>
        <row r="660">
          <cell r="D660">
            <v>2022006849</v>
          </cell>
          <cell r="E660">
            <v>2201010092</v>
          </cell>
          <cell r="F660" t="str">
            <v>B-Tech CSE (SPL)-VI K</v>
          </cell>
          <cell r="G660" t="str">
            <v>Bachelor of Technology</v>
          </cell>
          <cell r="H660" t="str">
            <v>2022006849.ankesh@ug.sharda.ac.in</v>
          </cell>
          <cell r="I660" t="str">
            <v>2022006849.anand@pt.sharda.ac.in</v>
          </cell>
          <cell r="J660" t="str">
            <v>9110922006</v>
          </cell>
          <cell r="K660" t="str">
            <v>CS - AI&amp; Machine Learning</v>
          </cell>
          <cell r="L660" t="str">
            <v>Machine Learning Engineer</v>
          </cell>
        </row>
        <row r="661">
          <cell r="D661">
            <v>2022589100</v>
          </cell>
          <cell r="E661">
            <v>2201010107</v>
          </cell>
          <cell r="F661" t="str">
            <v>B-Tech CSE (SPL)-VI K</v>
          </cell>
          <cell r="G661" t="str">
            <v>Bachelor of Technology</v>
          </cell>
          <cell r="H661" t="str">
            <v>2022589100.antriksh@ug.sharda.ac.in</v>
          </cell>
          <cell r="I661" t="str">
            <v>2022589100.harendrasingh@pt.sharda.ac.in</v>
          </cell>
          <cell r="J661" t="str">
            <v>9997007933</v>
          </cell>
          <cell r="K661" t="str">
            <v>CS - AI&amp; Machine Learning</v>
          </cell>
          <cell r="L661" t="str">
            <v>Machine Learning Engineer</v>
          </cell>
        </row>
        <row r="662">
          <cell r="D662">
            <v>2022512918</v>
          </cell>
          <cell r="E662">
            <v>2201010170</v>
          </cell>
          <cell r="F662" t="str">
            <v>B-Tech CSE (SPL)-VI K</v>
          </cell>
          <cell r="G662" t="str">
            <v>Bachelor of Technology</v>
          </cell>
          <cell r="H662" t="str">
            <v>2022512918.ayush@ug.sharda.ac.in</v>
          </cell>
          <cell r="I662" t="str">
            <v>2022512918.ashok@pt.sharda.ac.in</v>
          </cell>
          <cell r="J662" t="str">
            <v>8059751408</v>
          </cell>
          <cell r="K662" t="str">
            <v>CS - AI&amp; Machine Learning</v>
          </cell>
          <cell r="L662" t="str">
            <v>Software Developer</v>
          </cell>
        </row>
        <row r="663">
          <cell r="D663">
            <v>2022309968</v>
          </cell>
          <cell r="E663">
            <v>2201010192</v>
          </cell>
          <cell r="F663" t="str">
            <v>B-Tech CSE (SPL)-VI K</v>
          </cell>
          <cell r="G663" t="str">
            <v>Bachelor of Technology</v>
          </cell>
          <cell r="H663" t="str">
            <v>2022309968.chirag@ug.sharda.ac.in</v>
          </cell>
          <cell r="I663" t="str">
            <v>2022309968.rambabu@pt.sharda.ac.in</v>
          </cell>
          <cell r="J663" t="str">
            <v>9991264474</v>
          </cell>
          <cell r="K663" t="str">
            <v>CS - AI&amp; Machine Learning</v>
          </cell>
          <cell r="L663" t="str">
            <v>Software Developer</v>
          </cell>
        </row>
        <row r="664">
          <cell r="D664">
            <v>2022473465</v>
          </cell>
          <cell r="E664">
            <v>2201010205</v>
          </cell>
          <cell r="F664" t="str">
            <v>B-Tech CSE (SPL)-VI K</v>
          </cell>
          <cell r="G664" t="str">
            <v>Bachelor of Technology</v>
          </cell>
          <cell r="H664" t="str">
            <v>2022473465.deepanshu@ug.sharda.ac.in</v>
          </cell>
          <cell r="I664" t="str">
            <v>2022473465.vivek@pt.sharda.ac.in</v>
          </cell>
          <cell r="J664" t="str">
            <v>8882135391</v>
          </cell>
          <cell r="K664" t="str">
            <v>CS - AI&amp; Machine Learning</v>
          </cell>
          <cell r="L664" t="e">
            <v>#N/A</v>
          </cell>
        </row>
        <row r="665">
          <cell r="D665">
            <v>2022340865</v>
          </cell>
          <cell r="E665">
            <v>2201010208</v>
          </cell>
          <cell r="F665" t="str">
            <v>B-Tech CSE (SPL)-VI K</v>
          </cell>
          <cell r="G665" t="str">
            <v>Bachelor of Technology</v>
          </cell>
          <cell r="H665" t="str">
            <v>2022340865.deependra@ug.sharda.ac.in</v>
          </cell>
          <cell r="I665" t="str">
            <v>2022340865.dharmender@pt.sharda.ac.in</v>
          </cell>
          <cell r="J665" t="str">
            <v>7428102368</v>
          </cell>
          <cell r="K665" t="str">
            <v>CS - AI&amp; Machine Learning</v>
          </cell>
          <cell r="L665" t="e">
            <v>#N/A</v>
          </cell>
        </row>
        <row r="666">
          <cell r="D666">
            <v>2022527313</v>
          </cell>
          <cell r="E666">
            <v>2201010267</v>
          </cell>
          <cell r="F666" t="str">
            <v>B-Tech CSE (SPL)-VI K</v>
          </cell>
          <cell r="G666" t="str">
            <v>Bachelor of Technology</v>
          </cell>
          <cell r="H666" t="str">
            <v>2022527313.harsh@ug.sharda.ac.in</v>
          </cell>
          <cell r="I666" t="str">
            <v>2022527313.harendrapd@pt.sharda.ac.in</v>
          </cell>
          <cell r="J666" t="str">
            <v>8826110212</v>
          </cell>
          <cell r="K666" t="str">
            <v>CS - AI&amp; Machine Learning</v>
          </cell>
          <cell r="L666" t="e">
            <v>#N/A</v>
          </cell>
        </row>
        <row r="667">
          <cell r="D667">
            <v>2022572764</v>
          </cell>
          <cell r="E667">
            <v>2201010290</v>
          </cell>
          <cell r="F667" t="str">
            <v>B-Tech CSE (SPL)-VI K</v>
          </cell>
          <cell r="G667" t="str">
            <v>Bachelor of Technology</v>
          </cell>
          <cell r="H667" t="str">
            <v>2022572764.hunar@ug.sharda.ac.in</v>
          </cell>
          <cell r="I667" t="str">
            <v>2022572764.sajjan@pt.sharda.ac.in</v>
          </cell>
          <cell r="J667" t="str">
            <v>7587727300</v>
          </cell>
          <cell r="K667" t="str">
            <v>CS - AI&amp; Machine Learning</v>
          </cell>
          <cell r="L667" t="str">
            <v>Machine Learning Engineer</v>
          </cell>
        </row>
        <row r="668">
          <cell r="D668">
            <v>2022416375</v>
          </cell>
          <cell r="E668">
            <v>2201010295</v>
          </cell>
          <cell r="F668" t="str">
            <v>B-Tech CSE (SPL)-VI K</v>
          </cell>
          <cell r="G668" t="str">
            <v>Bachelor of Technology</v>
          </cell>
          <cell r="H668" t="str">
            <v>2022416375.ishika@ug.sharda.ac.in</v>
          </cell>
          <cell r="I668" t="str">
            <v>2022416375.sanjeev@pt.sharda.ac.in</v>
          </cell>
          <cell r="J668" t="str">
            <v>9289202666</v>
          </cell>
          <cell r="K668" t="str">
            <v>CS - AI&amp; Machine Learning</v>
          </cell>
          <cell r="L668" t="str">
            <v>Machine Learning Engineer</v>
          </cell>
        </row>
        <row r="669">
          <cell r="D669">
            <v>2022000628</v>
          </cell>
          <cell r="E669">
            <v>2201010313</v>
          </cell>
          <cell r="F669" t="str">
            <v>B-Tech CSE (SPL)-VI K</v>
          </cell>
          <cell r="G669" t="str">
            <v>Bachelor of Technology</v>
          </cell>
          <cell r="H669" t="str">
            <v>2022000628.kaif@ug.sharda.ac.in</v>
          </cell>
          <cell r="I669" t="str">
            <v>2022000628.mdakram@pt.sharda.ac.in</v>
          </cell>
          <cell r="J669" t="str">
            <v>8766253997</v>
          </cell>
          <cell r="K669" t="str">
            <v>CS - AI&amp; Machine Learning</v>
          </cell>
          <cell r="L669" t="str">
            <v>Machine Learning Engineer</v>
          </cell>
        </row>
        <row r="670">
          <cell r="D670">
            <v>2022512289</v>
          </cell>
          <cell r="E670">
            <v>2201010366</v>
          </cell>
          <cell r="F670" t="str">
            <v>B-Tech CSE (SPL)-VI K</v>
          </cell>
          <cell r="G670" t="str">
            <v>Bachelor of Technology</v>
          </cell>
          <cell r="H670" t="str">
            <v>2022512289.manav@ug.sharda.ac.in</v>
          </cell>
          <cell r="I670" t="str">
            <v>2022512289.praveen@pt.sharda.ac.in</v>
          </cell>
          <cell r="J670" t="str">
            <v>7303803216</v>
          </cell>
          <cell r="K670" t="str">
            <v>CS - AI&amp; Machine Learning</v>
          </cell>
          <cell r="L670" t="str">
            <v>Full Stack Developer(MERN Stack)</v>
          </cell>
        </row>
        <row r="671">
          <cell r="D671">
            <v>2022510361</v>
          </cell>
          <cell r="E671">
            <v>2201010385</v>
          </cell>
          <cell r="F671" t="str">
            <v>B-Tech CSE (SPL)-VI K</v>
          </cell>
          <cell r="G671" t="str">
            <v>Bachelor of Technology</v>
          </cell>
          <cell r="H671" t="str">
            <v>2022510361.mayank@ug.sharda.ac.in</v>
          </cell>
          <cell r="I671" t="str">
            <v>2022510361.manoranjankumar@pt.sharda.ac.in</v>
          </cell>
          <cell r="J671" t="str">
            <v>8209124495</v>
          </cell>
          <cell r="K671" t="str">
            <v>CS - AI&amp; Machine Learning</v>
          </cell>
          <cell r="L671" t="e">
            <v>#N/A</v>
          </cell>
        </row>
        <row r="672">
          <cell r="D672">
            <v>2022449092</v>
          </cell>
          <cell r="E672">
            <v>2201010400</v>
          </cell>
          <cell r="F672" t="str">
            <v>B-Tech CSE (SPL)-VI K</v>
          </cell>
          <cell r="G672" t="str">
            <v>Bachelor of Technology</v>
          </cell>
          <cell r="H672" t="str">
            <v>2022449092.mehak@ug.sharda.ac.in</v>
          </cell>
          <cell r="I672" t="str">
            <v>2022449092.deep@pt.sharda.ac.in</v>
          </cell>
          <cell r="J672" t="str">
            <v>9899795950</v>
          </cell>
          <cell r="K672" t="str">
            <v>CS - AI&amp; Machine Learning</v>
          </cell>
          <cell r="L672" t="str">
            <v>Software Developer</v>
          </cell>
        </row>
        <row r="673">
          <cell r="D673">
            <v>2022505589</v>
          </cell>
          <cell r="E673">
            <v>2201010407</v>
          </cell>
          <cell r="F673" t="str">
            <v>B-Tech CSE (SPL)-VI K</v>
          </cell>
          <cell r="G673" t="str">
            <v>Bachelor of Technology</v>
          </cell>
          <cell r="H673" t="str">
            <v>2022505589.mohammad@ug.sharda.ac.in</v>
          </cell>
          <cell r="I673" t="str">
            <v>2022505589.mazhar@pt.sharda.ac.in</v>
          </cell>
          <cell r="J673" t="str">
            <v>7250896124</v>
          </cell>
          <cell r="K673" t="str">
            <v>CS - AI&amp; Machine Learning</v>
          </cell>
          <cell r="L673" t="str">
            <v>Machine Learning Engineer</v>
          </cell>
        </row>
        <row r="674">
          <cell r="D674">
            <v>2022574378</v>
          </cell>
          <cell r="E674">
            <v>2201010426</v>
          </cell>
          <cell r="F674" t="str">
            <v>B-Tech CSE (SPL)-VI K</v>
          </cell>
          <cell r="G674" t="str">
            <v>Bachelor of Technology</v>
          </cell>
          <cell r="H674" t="str">
            <v>2022574378.mohd@ug.sharda.ac.in</v>
          </cell>
          <cell r="I674" t="str">
            <v>2022574378.mohd@pt.sharda.ac.in</v>
          </cell>
          <cell r="J674" t="str">
            <v>8448939385</v>
          </cell>
          <cell r="K674" t="str">
            <v>CS - AI&amp; Machine Learning</v>
          </cell>
          <cell r="L674" t="str">
            <v>Machine Learning Engineer</v>
          </cell>
        </row>
        <row r="675">
          <cell r="D675">
            <v>2022539044</v>
          </cell>
          <cell r="E675">
            <v>2201010434</v>
          </cell>
          <cell r="F675" t="str">
            <v>B-Tech CSE (SPL)-VI K</v>
          </cell>
          <cell r="G675" t="str">
            <v>Bachelor of Technology</v>
          </cell>
          <cell r="H675" t="str">
            <v>2022539044.mokara@ug.sharda.ac.in</v>
          </cell>
          <cell r="I675" t="str">
            <v>2022539044.mokaraanand@pt.sharda.ac.in</v>
          </cell>
          <cell r="J675" t="str">
            <v>7981169700</v>
          </cell>
          <cell r="K675" t="str">
            <v>CS - AI&amp; Machine Learning</v>
          </cell>
          <cell r="L675" t="str">
            <v>Machine Learning Engineer</v>
          </cell>
        </row>
        <row r="676">
          <cell r="D676">
            <v>2022001306</v>
          </cell>
          <cell r="E676">
            <v>2201010469</v>
          </cell>
          <cell r="F676" t="str">
            <v>B-Tech CSE (SPL)-VI K</v>
          </cell>
          <cell r="G676" t="str">
            <v>Bachelor of Technology</v>
          </cell>
          <cell r="H676" t="str">
            <v>2022001306.nikhil@ug.sharda.ac.in</v>
          </cell>
          <cell r="I676" t="str">
            <v>2022001306.munnakumar@pt.sharda.ac.in</v>
          </cell>
          <cell r="J676" t="str">
            <v>8130225959</v>
          </cell>
          <cell r="K676" t="str">
            <v>CS - AI&amp; Machine Learning</v>
          </cell>
          <cell r="L676" t="str">
            <v>Software Developer</v>
          </cell>
        </row>
        <row r="677">
          <cell r="D677">
            <v>2022515421</v>
          </cell>
          <cell r="E677">
            <v>2201010484</v>
          </cell>
          <cell r="F677" t="str">
            <v>B-Tech CSE (SPL)-VI K</v>
          </cell>
          <cell r="G677" t="str">
            <v>Bachelor of Technology</v>
          </cell>
          <cell r="H677" t="str">
            <v>2022515421.nitya@ug.sharda.ac.in</v>
          </cell>
          <cell r="I677" t="str">
            <v>2022515421.akashpratap@pt.sharda.ac.in</v>
          </cell>
          <cell r="J677" t="str">
            <v>9811554132</v>
          </cell>
          <cell r="K677" t="str">
            <v>CS - AI&amp; Machine Learning</v>
          </cell>
          <cell r="L677" t="str">
            <v>Machine Learning Engineer</v>
          </cell>
        </row>
        <row r="678">
          <cell r="D678">
            <v>2022563312</v>
          </cell>
          <cell r="E678">
            <v>2201010532</v>
          </cell>
          <cell r="F678" t="str">
            <v>B-Tech CSE (SPL)-VI K</v>
          </cell>
          <cell r="G678" t="str">
            <v>Bachelor of Technology</v>
          </cell>
          <cell r="H678" t="str">
            <v>2022563312.priyanshu@ug.sharda.ac.in</v>
          </cell>
          <cell r="I678" t="str">
            <v>2022563312.karamchand@pt.sharda.ac.in</v>
          </cell>
          <cell r="J678" t="str">
            <v>7658095205</v>
          </cell>
          <cell r="K678" t="str">
            <v>CS - AI&amp; Machine Learning</v>
          </cell>
          <cell r="L678" t="str">
            <v>Machine Learning Engineer</v>
          </cell>
        </row>
        <row r="679">
          <cell r="D679">
            <v>2022483967</v>
          </cell>
          <cell r="E679">
            <v>2201010573</v>
          </cell>
          <cell r="F679" t="str">
            <v>B-Tech CSE (SPL)-VI K</v>
          </cell>
          <cell r="G679" t="str">
            <v>Bachelor of Technology</v>
          </cell>
          <cell r="H679" t="str">
            <v>2022483967.rishabh@ug.sharda.ac.in</v>
          </cell>
          <cell r="I679" t="str">
            <v>2022483967.leelanand@pt.sharda.ac.in</v>
          </cell>
          <cell r="J679" t="str">
            <v>9927263323</v>
          </cell>
          <cell r="K679" t="str">
            <v>CS - AI&amp; Machine Learning</v>
          </cell>
          <cell r="L679" t="e">
            <v>#N/A</v>
          </cell>
        </row>
        <row r="680">
          <cell r="D680">
            <v>2022330451</v>
          </cell>
          <cell r="E680">
            <v>2201010576</v>
          </cell>
          <cell r="F680" t="str">
            <v>B-Tech CSE (SPL)-VI K</v>
          </cell>
          <cell r="G680" t="str">
            <v>Bachelor of Technology</v>
          </cell>
          <cell r="H680" t="str">
            <v>2022330451.rishabh@ug.sharda.ac.in</v>
          </cell>
          <cell r="I680" t="str">
            <v>2022330451.rishi@pt.sharda.ac.in</v>
          </cell>
          <cell r="J680" t="str">
            <v>9625063177</v>
          </cell>
          <cell r="K680" t="str">
            <v>CS - AI&amp; Machine Learning</v>
          </cell>
          <cell r="L680" t="str">
            <v>Software Developer</v>
          </cell>
        </row>
        <row r="681">
          <cell r="D681">
            <v>2022006324</v>
          </cell>
          <cell r="E681">
            <v>2201010593</v>
          </cell>
          <cell r="F681" t="str">
            <v>B-Tech CSE (SPL)-VI K</v>
          </cell>
          <cell r="G681" t="str">
            <v>Bachelor of Technology</v>
          </cell>
          <cell r="H681" t="str">
            <v>2022006324.riya@ug.sharda.ac.in</v>
          </cell>
          <cell r="I681" t="str">
            <v>2022006324.neeraj@pt.sharda.ac.in</v>
          </cell>
          <cell r="J681" t="str">
            <v>9711766759</v>
          </cell>
          <cell r="K681" t="str">
            <v>CS - AI&amp; Machine Learning</v>
          </cell>
          <cell r="L681" t="str">
            <v>Machine Learning Engineer</v>
          </cell>
        </row>
        <row r="682">
          <cell r="D682">
            <v>2022495866</v>
          </cell>
          <cell r="E682">
            <v>2201010613</v>
          </cell>
          <cell r="F682" t="str">
            <v>B-Tech CSE (SPL)-VI K</v>
          </cell>
          <cell r="G682" t="str">
            <v>Bachelor of Technology</v>
          </cell>
          <cell r="H682" t="str">
            <v>2022495866.sahil@ug.sharda.ac.in</v>
          </cell>
          <cell r="I682" t="str">
            <v>2022495866.ravinkumar@pt.sharda.ac.in</v>
          </cell>
          <cell r="J682" t="str">
            <v>9079705091</v>
          </cell>
          <cell r="K682" t="str">
            <v>CS - AI&amp; Machine Learning</v>
          </cell>
          <cell r="L682" t="str">
            <v>Machine Learning Engineer</v>
          </cell>
        </row>
        <row r="683">
          <cell r="D683">
            <v>2022006712</v>
          </cell>
          <cell r="E683">
            <v>2201010633</v>
          </cell>
          <cell r="F683" t="str">
            <v>B-Tech CSE (SPL)-VI K</v>
          </cell>
          <cell r="G683" t="str">
            <v>Bachelor of Technology</v>
          </cell>
          <cell r="H683" t="str">
            <v>2022006712.sankalp@ug.sharda.ac.in</v>
          </cell>
          <cell r="I683" t="str">
            <v>2022006712.gajinder@pt.sharda.ac.in</v>
          </cell>
          <cell r="J683" t="str">
            <v>7027877594</v>
          </cell>
          <cell r="K683" t="str">
            <v>CS - AI&amp; Machine Learning</v>
          </cell>
          <cell r="L683" t="str">
            <v>Machine Learning Engineer</v>
          </cell>
        </row>
        <row r="684">
          <cell r="D684">
            <v>2022434098</v>
          </cell>
          <cell r="E684">
            <v>2201010727</v>
          </cell>
          <cell r="F684" t="str">
            <v>B-Tech CSE (SPL)-VI K</v>
          </cell>
          <cell r="G684" t="str">
            <v>Bachelor of Technology</v>
          </cell>
          <cell r="H684" t="str">
            <v>2022434098.suraj@ug.sharda.ac.in</v>
          </cell>
          <cell r="I684" t="str">
            <v>2022434098.vijaykumar@pt.sharda.ac.in</v>
          </cell>
          <cell r="J684" t="str">
            <v>9650937240</v>
          </cell>
          <cell r="K684" t="str">
            <v>CS - AI&amp; Machine Learning</v>
          </cell>
          <cell r="L684" t="str">
            <v>Software Developer</v>
          </cell>
        </row>
        <row r="685">
          <cell r="D685">
            <v>2022368174</v>
          </cell>
          <cell r="E685">
            <v>2201010728</v>
          </cell>
          <cell r="F685" t="str">
            <v>B-Tech CSE (SPL)-VI K</v>
          </cell>
          <cell r="G685" t="str">
            <v>Bachelor of Technology</v>
          </cell>
          <cell r="H685" t="str">
            <v>2022368174.suraj@ug.sharda.ac.in</v>
          </cell>
          <cell r="I685" t="str">
            <v>2022368174.dharmendra@pt.sharda.ac.in</v>
          </cell>
          <cell r="J685" t="str">
            <v>7042243306</v>
          </cell>
          <cell r="K685" t="str">
            <v>CS - AI&amp; Machine Learning</v>
          </cell>
          <cell r="L685" t="str">
            <v>Software Developer</v>
          </cell>
        </row>
        <row r="686">
          <cell r="D686">
            <v>2022484153</v>
          </cell>
          <cell r="E686">
            <v>2201010767</v>
          </cell>
          <cell r="F686" t="str">
            <v>B-Tech CSE (SPL)-VI K</v>
          </cell>
          <cell r="G686" t="str">
            <v>Bachelor of Technology</v>
          </cell>
          <cell r="H686" t="str">
            <v>2022484153.utsav@ug.sharda.ac.in</v>
          </cell>
          <cell r="I686" t="str">
            <v>2022484153.sushil@pt.sharda.ac.in</v>
          </cell>
          <cell r="J686" t="str">
            <v>9667014850</v>
          </cell>
          <cell r="K686" t="str">
            <v>CS - AI&amp; Machine Learning</v>
          </cell>
          <cell r="L686" t="e">
            <v>#N/A</v>
          </cell>
        </row>
        <row r="687">
          <cell r="D687">
            <v>2022003650</v>
          </cell>
          <cell r="E687">
            <v>2201010806</v>
          </cell>
          <cell r="F687" t="str">
            <v>B-Tech CSE (SPL)-VI K</v>
          </cell>
          <cell r="G687" t="str">
            <v>Bachelor of Technology</v>
          </cell>
          <cell r="H687" t="str">
            <v>2022003650.yash@ug.sharda.ac.in</v>
          </cell>
          <cell r="I687" t="str">
            <v>2022003650.raj@pt.sharda.ac.in</v>
          </cell>
          <cell r="J687" t="str">
            <v>9650136114</v>
          </cell>
          <cell r="K687" t="str">
            <v>CS - AI&amp; Machine Learning</v>
          </cell>
          <cell r="L687" t="e">
            <v>#N/A</v>
          </cell>
        </row>
        <row r="688">
          <cell r="D688">
            <v>2022005848</v>
          </cell>
          <cell r="E688">
            <v>2201010922</v>
          </cell>
          <cell r="F688" t="str">
            <v>B-Tech CSE (SPL)-VI K</v>
          </cell>
          <cell r="G688" t="str">
            <v>Bachelor of Technology</v>
          </cell>
          <cell r="H688" t="str">
            <v>2022005848.suraj@ug.sharda.ac.in</v>
          </cell>
          <cell r="I688" t="str">
            <v>2022005848.harendra@pt.sharda.ac.in</v>
          </cell>
          <cell r="J688" t="str">
            <v>8076173252</v>
          </cell>
          <cell r="K688" t="str">
            <v>CS - AI&amp; Machine Learning</v>
          </cell>
          <cell r="L688" t="str">
            <v>Software Developer</v>
          </cell>
        </row>
        <row r="689">
          <cell r="D689">
            <v>2022007324</v>
          </cell>
          <cell r="E689">
            <v>2201010924</v>
          </cell>
          <cell r="F689" t="str">
            <v>B-Tech CSE (SPL)-VI K</v>
          </cell>
          <cell r="G689" t="str">
            <v>Bachelor of Technology</v>
          </cell>
          <cell r="H689" t="str">
            <v>2022007324.ritik@ug.sharda.ac.in</v>
          </cell>
          <cell r="I689" t="str">
            <v>2022007324.rishi@pt.sharda.ac.in</v>
          </cell>
          <cell r="J689" t="str">
            <v>8130611967</v>
          </cell>
          <cell r="K689" t="str">
            <v>CS - AI&amp; Machine Learning</v>
          </cell>
          <cell r="L689" t="str">
            <v>Machine Learning Engineer</v>
          </cell>
        </row>
        <row r="690">
          <cell r="D690">
            <v>2022007387</v>
          </cell>
          <cell r="E690">
            <v>2201010925</v>
          </cell>
          <cell r="F690" t="str">
            <v>B-Tech CSE (SPL)-VI K</v>
          </cell>
          <cell r="G690" t="str">
            <v>Bachelor of Technology</v>
          </cell>
          <cell r="H690" t="str">
            <v>2022007387.anshika@ug.sharda.ac.in</v>
          </cell>
          <cell r="I690" t="str">
            <v>2022007387.jai@pt.sharda.ac.in</v>
          </cell>
          <cell r="J690" t="str">
            <v>7351557116</v>
          </cell>
          <cell r="K690" t="str">
            <v>CS - AI&amp; Machine Learning</v>
          </cell>
          <cell r="L690" t="str">
            <v>Machine Learning Engineer</v>
          </cell>
        </row>
        <row r="691">
          <cell r="D691">
            <v>2022311612</v>
          </cell>
          <cell r="E691">
            <v>2201010927</v>
          </cell>
          <cell r="F691" t="str">
            <v>B-Tech CSE (SPL)-VI K</v>
          </cell>
          <cell r="G691" t="str">
            <v>Bachelor of Technology</v>
          </cell>
          <cell r="H691" t="str">
            <v>2022311612.vishal@ug.sharda.ac.in</v>
          </cell>
          <cell r="I691" t="str">
            <v>2022311612.kedar@pt.sharda.ac.in</v>
          </cell>
          <cell r="J691" t="str">
            <v>9958812287</v>
          </cell>
          <cell r="K691" t="str">
            <v>CS - AI&amp; Machine Learning</v>
          </cell>
          <cell r="L691" t="e">
            <v>#N/A</v>
          </cell>
        </row>
        <row r="692">
          <cell r="D692">
            <v>2022530497</v>
          </cell>
          <cell r="E692">
            <v>2201010932</v>
          </cell>
          <cell r="F692" t="str">
            <v>B-Tech CSE (SPL)-VI K</v>
          </cell>
          <cell r="G692" t="str">
            <v>Bachelor of Technology</v>
          </cell>
          <cell r="H692" t="str">
            <v>2022530497.udit@ug.sharda.ac.in</v>
          </cell>
          <cell r="I692" t="str">
            <v>2022530497.deepak@pt.sharda.ac.in</v>
          </cell>
          <cell r="J692" t="str">
            <v>9818553760</v>
          </cell>
          <cell r="K692" t="str">
            <v>CS - AI&amp; Machine Learning</v>
          </cell>
          <cell r="L692" t="str">
            <v>Machine Learning Engineer</v>
          </cell>
        </row>
        <row r="693">
          <cell r="D693">
            <v>2022608097</v>
          </cell>
          <cell r="E693">
            <v>2201010935</v>
          </cell>
          <cell r="F693" t="str">
            <v>B-Tech CSE (SPL)-VI K</v>
          </cell>
          <cell r="G693" t="str">
            <v>Bachelor of Technology</v>
          </cell>
          <cell r="H693" t="str">
            <v>2022608097.nitish@ug.sharda.ac.in</v>
          </cell>
          <cell r="I693" t="str">
            <v>2022608097.satish@pt.sharda.ac.in</v>
          </cell>
          <cell r="J693" t="str">
            <v>9306836958</v>
          </cell>
          <cell r="K693" t="str">
            <v>CS - AI&amp; Machine Learning</v>
          </cell>
          <cell r="L693" t="str">
            <v>Machine Learning Engineer</v>
          </cell>
        </row>
        <row r="694">
          <cell r="D694">
            <v>2021365266</v>
          </cell>
          <cell r="E694">
            <v>210101054</v>
          </cell>
          <cell r="F694" t="str">
            <v>B-Tech CSE (SPL)-VI K</v>
          </cell>
          <cell r="G694" t="str">
            <v>Bachelor of Technology</v>
          </cell>
          <cell r="H694" t="str">
            <v>2021365266.akshat@ug.sharda.ac.in</v>
          </cell>
          <cell r="I694" t="str">
            <v>2021365266.puneet@pt.sharda.ac.in</v>
          </cell>
          <cell r="J694" t="str">
            <v>9899139991</v>
          </cell>
          <cell r="K694" t="str">
            <v>CSE- Data Science</v>
          </cell>
          <cell r="L694" t="e">
            <v>#N/A</v>
          </cell>
        </row>
        <row r="695">
          <cell r="D695">
            <v>2021424420</v>
          </cell>
          <cell r="E695">
            <v>210101151</v>
          </cell>
          <cell r="F695" t="str">
            <v>B-Tech CSE (SPL)-VI K</v>
          </cell>
          <cell r="G695" t="str">
            <v>Bachelor of Technology</v>
          </cell>
          <cell r="H695" t="str">
            <v>2021424420.chandra@ug.sharda.ac.in</v>
          </cell>
          <cell r="I695" t="str">
            <v>2021424420.ganesh@pt.sharda.ac.in</v>
          </cell>
          <cell r="J695" t="str">
            <v>9560340167</v>
          </cell>
          <cell r="K695" t="str">
            <v>CSE- Data Science</v>
          </cell>
          <cell r="L695" t="e">
            <v>#N/A</v>
          </cell>
        </row>
        <row r="696">
          <cell r="D696">
            <v>2021373851</v>
          </cell>
          <cell r="E696">
            <v>210101339</v>
          </cell>
          <cell r="F696" t="str">
            <v>B-Tech CSE (SPL)-VI K</v>
          </cell>
          <cell r="G696" t="str">
            <v>Bachelor of Technology</v>
          </cell>
          <cell r="H696" t="str">
            <v>2021373851.nirupam@ug.sharda.ac.in</v>
          </cell>
          <cell r="I696" t="str">
            <v>2021373851.keshabch@pt.sharda.ac.in</v>
          </cell>
          <cell r="J696" t="str">
            <v>9954877061</v>
          </cell>
          <cell r="K696" t="str">
            <v>CSE- Data Science</v>
          </cell>
          <cell r="L696" t="e">
            <v>#N/A</v>
          </cell>
        </row>
        <row r="697">
          <cell r="D697">
            <v>2022005947</v>
          </cell>
          <cell r="E697">
            <v>2201010179</v>
          </cell>
          <cell r="F697" t="str">
            <v>B-Tech CSE (SPL)-VI K</v>
          </cell>
          <cell r="G697" t="str">
            <v>Bachelor of Technology</v>
          </cell>
          <cell r="H697" t="str">
            <v>2022005947.bhupender@ug.sharda.ac.in</v>
          </cell>
          <cell r="I697" t="str">
            <v>2022005947.manoj@pt.sharda.ac.in</v>
          </cell>
          <cell r="J697" t="str">
            <v>9813298933</v>
          </cell>
          <cell r="K697" t="str">
            <v>CSE- Data Science</v>
          </cell>
          <cell r="L697" t="e">
            <v>#N/A</v>
          </cell>
        </row>
        <row r="698">
          <cell r="D698">
            <v>2022404832</v>
          </cell>
          <cell r="E698">
            <v>2201010494</v>
          </cell>
          <cell r="F698" t="str">
            <v>B-Tech CSE (SPL)-VI K</v>
          </cell>
          <cell r="G698" t="str">
            <v>Bachelor of Technology</v>
          </cell>
          <cell r="H698" t="str">
            <v>2022404832.pankaj@ug.sharda.ac.in</v>
          </cell>
          <cell r="I698" t="str">
            <v>2022404832.dhanai@pt.sharda.ac.in</v>
          </cell>
          <cell r="J698" t="str">
            <v>7488253699</v>
          </cell>
          <cell r="K698" t="str">
            <v>CSE- Data Science</v>
          </cell>
          <cell r="L698" t="e">
            <v>#N/A</v>
          </cell>
        </row>
        <row r="699">
          <cell r="D699">
            <v>2022312671</v>
          </cell>
          <cell r="E699">
            <v>2201010549</v>
          </cell>
          <cell r="F699" t="str">
            <v>B-Tech CSE (SPL)-VI K</v>
          </cell>
          <cell r="G699" t="str">
            <v>Bachelor of Technology</v>
          </cell>
          <cell r="H699" t="str">
            <v>2022312671.raj@ug.sharda.ac.in</v>
          </cell>
          <cell r="I699" t="str">
            <v>2022312671.rakesh@pt.sharda.ac.in</v>
          </cell>
          <cell r="J699" t="str">
            <v>9205056049</v>
          </cell>
          <cell r="K699" t="str">
            <v>CSE- Data Science</v>
          </cell>
          <cell r="L699" t="e">
            <v>#N/A</v>
          </cell>
        </row>
        <row r="700">
          <cell r="D700">
            <v>2022003992</v>
          </cell>
          <cell r="E700">
            <v>2201010712</v>
          </cell>
          <cell r="F700" t="str">
            <v>B-Tech CSE (SPL)-VI K</v>
          </cell>
          <cell r="G700" t="str">
            <v>Bachelor of Technology</v>
          </cell>
          <cell r="H700" t="str">
            <v>2022003992.soumya@ug.sharda.ac.in</v>
          </cell>
          <cell r="I700" t="str">
            <v>2022003992.ajay@pt.sharda.ac.in</v>
          </cell>
          <cell r="J700" t="str">
            <v>8010391391</v>
          </cell>
          <cell r="K700" t="str">
            <v>CSE- Data Science</v>
          </cell>
          <cell r="L700" t="str">
            <v>Data Scientist</v>
          </cell>
        </row>
        <row r="701">
          <cell r="D701">
            <v>2022432344</v>
          </cell>
          <cell r="E701">
            <v>2201010946</v>
          </cell>
          <cell r="F701" t="str">
            <v>B-Tech CSE (SPL)-VI K</v>
          </cell>
          <cell r="G701" t="str">
            <v>Bachelor of Technology</v>
          </cell>
          <cell r="H701" t="str">
            <v>2022432344.varun@ug.sharda.ac.in</v>
          </cell>
          <cell r="I701" t="str">
            <v>2022432344.ramagya@pt.sharda.ac.in</v>
          </cell>
          <cell r="J701" t="str">
            <v>7542004925</v>
          </cell>
          <cell r="K701" t="str">
            <v>CSE- Data Science</v>
          </cell>
          <cell r="L701" t="e">
            <v>#N/A</v>
          </cell>
        </row>
        <row r="702">
          <cell r="D702">
            <v>2022826376</v>
          </cell>
          <cell r="E702">
            <v>2201010064</v>
          </cell>
          <cell r="F702" t="str">
            <v>B-Tech CSE (SPL)-VI K</v>
          </cell>
          <cell r="G702" t="str">
            <v>Bachelor of Technology</v>
          </cell>
          <cell r="H702" t="str">
            <v>2022826376.akim@ug.sharda.ac.in</v>
          </cell>
          <cell r="I702" t="str">
            <v>2022826376.abudi@pt.sharda.ac.in</v>
          </cell>
          <cell r="J702" t="str">
            <v>91 9910221368</v>
          </cell>
          <cell r="K702" t="str">
            <v>CSE- IOT &amp; Application</v>
          </cell>
          <cell r="L702" t="str">
            <v>Data Scientist</v>
          </cell>
        </row>
        <row r="703">
          <cell r="D703">
            <v>2022007474</v>
          </cell>
          <cell r="E703">
            <v>2201010960</v>
          </cell>
          <cell r="F703" t="str">
            <v>B-Tech CSE (SPL)-VI K</v>
          </cell>
          <cell r="G703" t="str">
            <v>Bachelor of Technology</v>
          </cell>
          <cell r="H703" t="str">
            <v>2022007474.srishti@ug.sharda.ac.in</v>
          </cell>
          <cell r="I703" t="str">
            <v>2022007474.anteshkumarsingh@pt.sharda.ac.in</v>
          </cell>
          <cell r="J703" t="str">
            <v>9318324541</v>
          </cell>
          <cell r="K703" t="str">
            <v>CSE- IOT &amp; Application</v>
          </cell>
          <cell r="L703" t="str">
            <v>Data Scientist</v>
          </cell>
        </row>
        <row r="704">
          <cell r="D704">
            <v>2022008078</v>
          </cell>
          <cell r="E704">
            <v>2201010967</v>
          </cell>
          <cell r="F704" t="str">
            <v>B-Tech CSE (SPL)-VI K</v>
          </cell>
          <cell r="G704" t="str">
            <v>Bachelor of Technology</v>
          </cell>
          <cell r="H704" t="str">
            <v>2022008078.harsh@ug.sharda.ac.in</v>
          </cell>
          <cell r="I704" t="str">
            <v>2022008078.nauratan@pt.sharda.ac.in</v>
          </cell>
          <cell r="J704" t="str">
            <v>9759106757</v>
          </cell>
          <cell r="K704" t="str">
            <v>CSE- IOT &amp; Application</v>
          </cell>
          <cell r="L704" t="str">
            <v>Full Stack Developer(Spring Boot)</v>
          </cell>
        </row>
        <row r="705">
          <cell r="D705">
            <v>2022008085</v>
          </cell>
          <cell r="E705">
            <v>2201010968</v>
          </cell>
          <cell r="F705" t="str">
            <v>B-Tech CSE (SPL)-VI K</v>
          </cell>
          <cell r="G705" t="str">
            <v>Bachelor of Technology</v>
          </cell>
          <cell r="H705" t="str">
            <v>2022008085.mohd@ug.sharda.ac.in</v>
          </cell>
          <cell r="I705" t="str">
            <v>2022008085.mdakhlaque@pt.sharda.ac.in</v>
          </cell>
          <cell r="J705" t="str">
            <v>9455356020</v>
          </cell>
          <cell r="K705" t="str">
            <v>CSE- IOT &amp; Application</v>
          </cell>
          <cell r="L705" t="str">
            <v>Software Developer</v>
          </cell>
        </row>
        <row r="706">
          <cell r="D706">
            <v>2022008217</v>
          </cell>
          <cell r="E706">
            <v>2201010971</v>
          </cell>
          <cell r="F706" t="str">
            <v>B-Tech CSE (SPL)-VI K</v>
          </cell>
          <cell r="G706" t="str">
            <v>Bachelor of Technology</v>
          </cell>
          <cell r="H706" t="str">
            <v>2022008217.samiksha@ug.sharda.ac.in</v>
          </cell>
          <cell r="I706" t="str">
            <v>2022008217.pradeep@pt.sharda.ac.in</v>
          </cell>
          <cell r="J706" t="str">
            <v>6397937425</v>
          </cell>
          <cell r="K706" t="str">
            <v>CSE- IOT &amp; Application</v>
          </cell>
          <cell r="L706" t="str">
            <v>Software Developer</v>
          </cell>
        </row>
        <row r="707">
          <cell r="D707">
            <v>2022008317</v>
          </cell>
          <cell r="E707">
            <v>2201010974</v>
          </cell>
          <cell r="F707" t="str">
            <v>B-Tech CSE (SPL)-VI K</v>
          </cell>
          <cell r="G707" t="str">
            <v>Bachelor of Technology</v>
          </cell>
          <cell r="H707" t="str">
            <v>2022008317.avishkar@ug.sharda.ac.in</v>
          </cell>
          <cell r="I707" t="str">
            <v>2022008317.sitaram@pt.sharda.ac.in</v>
          </cell>
          <cell r="J707" t="str">
            <v>6350369251</v>
          </cell>
          <cell r="K707" t="str">
            <v>CSE- IOT &amp; Application</v>
          </cell>
          <cell r="L707" t="str">
            <v>Full Stack Developer(MERN Stack)</v>
          </cell>
        </row>
        <row r="708">
          <cell r="D708">
            <v>2022008331</v>
          </cell>
          <cell r="E708">
            <v>2201010975</v>
          </cell>
          <cell r="F708" t="str">
            <v>B-Tech CSE (SPL)-VI K</v>
          </cell>
          <cell r="G708" t="str">
            <v>Bachelor of Technology</v>
          </cell>
          <cell r="H708" t="str">
            <v>2022008331.sujal@ug.sharda.ac.in</v>
          </cell>
          <cell r="I708" t="str">
            <v>2022008331.bhaskar@pt.sharda.ac.in</v>
          </cell>
          <cell r="J708" t="str">
            <v>8630404079</v>
          </cell>
          <cell r="K708" t="str">
            <v>CSE- IOT &amp; Application</v>
          </cell>
          <cell r="L708" t="str">
            <v>Software Developer</v>
          </cell>
        </row>
        <row r="709">
          <cell r="D709">
            <v>2022622988</v>
          </cell>
          <cell r="E709">
            <v>2201010977</v>
          </cell>
          <cell r="F709" t="str">
            <v>B-Tech CSE (SPL)-VI K</v>
          </cell>
          <cell r="G709" t="str">
            <v>Bachelor of Technology</v>
          </cell>
          <cell r="H709" t="str">
            <v>2022622988.urja@ug.sharda.ac.in</v>
          </cell>
          <cell r="I709" t="str">
            <v>2022622988.binodkumar@pt.sharda.ac.in</v>
          </cell>
          <cell r="J709" t="str">
            <v>9060844039</v>
          </cell>
          <cell r="K709" t="str">
            <v>CSE- IOT &amp; Application</v>
          </cell>
          <cell r="L709" t="str">
            <v>Data Scientist</v>
          </cell>
        </row>
        <row r="710">
          <cell r="D710">
            <v>2022513156</v>
          </cell>
          <cell r="E710">
            <v>2201010699</v>
          </cell>
          <cell r="F710" t="str">
            <v>B-Tech CSE (SPL)-VI K</v>
          </cell>
          <cell r="G710" t="str">
            <v>Bachelor of Technology</v>
          </cell>
          <cell r="H710" t="str">
            <v>2022513156.sneha@ug.sharda.ac.in</v>
          </cell>
          <cell r="I710" t="str">
            <v>2022513156.sushil@pt.sharda.ac.in</v>
          </cell>
          <cell r="J710" t="str">
            <v>8874310326</v>
          </cell>
          <cell r="K710" t="str">
            <v>CSE-Cloud Tech &amp; Virtualiz-AWS</v>
          </cell>
          <cell r="L710" t="str">
            <v>Cloud Engineer</v>
          </cell>
        </row>
        <row r="711">
          <cell r="D711">
            <v>2022343833</v>
          </cell>
          <cell r="E711">
            <v>2201010129</v>
          </cell>
          <cell r="F711" t="str">
            <v>B-Tech CSE (SPL)-VI L</v>
          </cell>
          <cell r="G711" t="str">
            <v>Bachelor of Technology</v>
          </cell>
          <cell r="H711" t="str">
            <v>2022343833.arnav@ug.sharda.ac.in</v>
          </cell>
          <cell r="I711" t="str">
            <v>2022343833.sushil@pt.sharda.ac.in</v>
          </cell>
          <cell r="J711" t="str">
            <v>8210991280</v>
          </cell>
          <cell r="K711" t="str">
            <v>B.Tech (CSE - Block Chain)</v>
          </cell>
          <cell r="L711" t="str">
            <v>Full Stack Developer(MERN Stack)</v>
          </cell>
        </row>
        <row r="712">
          <cell r="D712">
            <v>2022601278</v>
          </cell>
          <cell r="E712">
            <v>2201010921</v>
          </cell>
          <cell r="F712" t="str">
            <v>B-Tech CSE (SPL)-VI L</v>
          </cell>
          <cell r="G712" t="str">
            <v>Bachelor of Technology</v>
          </cell>
          <cell r="H712" t="str">
            <v>2022601278.lokireddy@ug.sharda.ac.in</v>
          </cell>
          <cell r="I712" t="str">
            <v>2022601278.lokireddy@pt.sharda.ac.in</v>
          </cell>
          <cell r="J712" t="str">
            <v>7995387683</v>
          </cell>
          <cell r="K712" t="str">
            <v>B.Tech (CSE - Block Chain)</v>
          </cell>
          <cell r="L712" t="str">
            <v>Full Stack Developer(MERN Stack)</v>
          </cell>
        </row>
        <row r="713">
          <cell r="D713">
            <v>2021476666</v>
          </cell>
          <cell r="E713">
            <v>210101001</v>
          </cell>
          <cell r="F713" t="str">
            <v>B-Tech CSE (SPL)-VI L</v>
          </cell>
          <cell r="G713" t="str">
            <v>Bachelor of Technology</v>
          </cell>
          <cell r="H713" t="str">
            <v>2021476666.aaditya@ug.sharda.ac.in</v>
          </cell>
          <cell r="I713" t="str">
            <v>2021476666.narender@pt.sharda.ac.in</v>
          </cell>
          <cell r="J713" t="str">
            <v>8826386070</v>
          </cell>
          <cell r="K713" t="str">
            <v>CS - AI&amp; Machine Learning</v>
          </cell>
          <cell r="L713" t="str">
            <v>Software Developer</v>
          </cell>
        </row>
        <row r="714">
          <cell r="D714">
            <v>2021406215</v>
          </cell>
          <cell r="E714">
            <v>210101266</v>
          </cell>
          <cell r="F714" t="str">
            <v>B-Tech CSE (SPL)-VI L</v>
          </cell>
          <cell r="G714" t="str">
            <v>Bachelor of Technology</v>
          </cell>
          <cell r="H714" t="str">
            <v>2021406215.lakshit@ug.sharda.ac.in</v>
          </cell>
          <cell r="I714" t="str">
            <v>2021406215.gupta@pt.sharda.ac.in</v>
          </cell>
          <cell r="J714" t="str">
            <v>9811154749</v>
          </cell>
          <cell r="K714" t="str">
            <v>CS - AI&amp; Machine Learning</v>
          </cell>
          <cell r="L714" t="str">
            <v>Full Stack Developer(MERN Stack)</v>
          </cell>
        </row>
        <row r="715">
          <cell r="D715">
            <v>2021826104</v>
          </cell>
          <cell r="E715">
            <v>210101272</v>
          </cell>
          <cell r="F715" t="str">
            <v>B-Tech CSE (SPL)-VI L</v>
          </cell>
          <cell r="G715" t="str">
            <v>Bachelor of Technology</v>
          </cell>
          <cell r="H715" t="str">
            <v>2021826104.mahmud@ug.sharda.ac.in</v>
          </cell>
          <cell r="I715" t="str">
            <v>2021826104.abubakar@pt.sharda.ac.in</v>
          </cell>
          <cell r="J715" t="str">
            <v>9289739207</v>
          </cell>
          <cell r="K715" t="str">
            <v>CS - AI&amp; Machine Learning</v>
          </cell>
          <cell r="L715" t="str">
            <v>Software Developer</v>
          </cell>
        </row>
        <row r="716">
          <cell r="D716">
            <v>2021472701</v>
          </cell>
          <cell r="E716">
            <v>210101476</v>
          </cell>
          <cell r="F716" t="str">
            <v>B-Tech CSE (SPL)-VI L</v>
          </cell>
          <cell r="G716" t="str">
            <v>Bachelor of Technology</v>
          </cell>
          <cell r="H716" t="str">
            <v>2021472701.shreyansh@ug.sharda.ac.in</v>
          </cell>
          <cell r="I716" t="str">
            <v>2021472701.deepak@pt.sharda.ac.in</v>
          </cell>
          <cell r="J716" t="str">
            <v>9026376682</v>
          </cell>
          <cell r="K716" t="str">
            <v>CS - AI&amp; Machine Learning</v>
          </cell>
          <cell r="L716" t="str">
            <v>Full Stack Developer(MERN Stack)</v>
          </cell>
        </row>
        <row r="717">
          <cell r="D717">
            <v>2022398713</v>
          </cell>
          <cell r="E717">
            <v>2201010017</v>
          </cell>
          <cell r="F717" t="str">
            <v>B-Tech CSE (SPL)-VI L</v>
          </cell>
          <cell r="G717" t="str">
            <v>Bachelor of Technology</v>
          </cell>
          <cell r="H717" t="str">
            <v>2022398713.abhilasha@ug.sharda.ac.in</v>
          </cell>
          <cell r="I717" t="str">
            <v>2022398713.arupkr@pt.sharda.ac.in</v>
          </cell>
          <cell r="J717" t="str">
            <v>8638321491</v>
          </cell>
          <cell r="K717" t="str">
            <v>CS - AI&amp; Machine Learning</v>
          </cell>
          <cell r="L717" t="str">
            <v>Software Developer</v>
          </cell>
        </row>
        <row r="718">
          <cell r="D718">
            <v>2022508386</v>
          </cell>
          <cell r="E718">
            <v>2201010025</v>
          </cell>
          <cell r="F718" t="str">
            <v>B-Tech CSE (SPL)-VI L</v>
          </cell>
          <cell r="G718" t="str">
            <v>Bachelor of Technology</v>
          </cell>
          <cell r="H718" t="str">
            <v>2022508386.abhishek@ug.sharda.ac.in</v>
          </cell>
          <cell r="I718" t="str">
            <v>2022508386.shiv@pt.sharda.ac.in</v>
          </cell>
          <cell r="J718" t="str">
            <v>7544933550</v>
          </cell>
          <cell r="K718" t="str">
            <v>CS - AI&amp; Machine Learning</v>
          </cell>
          <cell r="L718" t="str">
            <v>Software Developer</v>
          </cell>
        </row>
        <row r="719">
          <cell r="D719">
            <v>2022006640</v>
          </cell>
          <cell r="E719">
            <v>2201010027</v>
          </cell>
          <cell r="F719" t="str">
            <v>B-Tech CSE (SPL)-VI L</v>
          </cell>
          <cell r="G719" t="str">
            <v>Bachelor of Technology</v>
          </cell>
          <cell r="H719" t="str">
            <v>2022006640.abhitab@ug.sharda.ac.in</v>
          </cell>
          <cell r="I719" t="str">
            <v>2022006640.sardar@pt.sharda.ac.in</v>
          </cell>
          <cell r="J719" t="str">
            <v>9509513169</v>
          </cell>
          <cell r="K719" t="str">
            <v>CS - AI&amp; Machine Learning</v>
          </cell>
          <cell r="L719" t="str">
            <v>Software Developer</v>
          </cell>
        </row>
        <row r="720">
          <cell r="D720">
            <v>2022004657</v>
          </cell>
          <cell r="E720">
            <v>2201010035</v>
          </cell>
          <cell r="F720" t="str">
            <v>B-Tech CSE (SPL)-VI L</v>
          </cell>
          <cell r="G720" t="str">
            <v>Bachelor of Technology</v>
          </cell>
          <cell r="H720" t="str">
            <v>2022004657.adarsh@ug.sharda.ac.in</v>
          </cell>
          <cell r="I720" t="str">
            <v>2022004657.kedarnath@pt.sharda.ac.in</v>
          </cell>
          <cell r="J720" t="str">
            <v>7667376670</v>
          </cell>
          <cell r="K720" t="str">
            <v>CS - AI&amp; Machine Learning</v>
          </cell>
          <cell r="L720" t="str">
            <v>Full Stack Developer(MERN Stack)</v>
          </cell>
        </row>
        <row r="721">
          <cell r="D721">
            <v>2022007148</v>
          </cell>
          <cell r="E721">
            <v>2201010114</v>
          </cell>
          <cell r="F721" t="str">
            <v>B-Tech CSE (SPL)-VI L</v>
          </cell>
          <cell r="G721" t="str">
            <v>Bachelor of Technology</v>
          </cell>
          <cell r="H721" t="str">
            <v>2022007148.anurag@ug.sharda.ac.in</v>
          </cell>
          <cell r="I721" t="str">
            <v>2022007148.sunil@pt.sharda.ac.in</v>
          </cell>
          <cell r="J721" t="str">
            <v>8130221842</v>
          </cell>
          <cell r="K721" t="str">
            <v>CS - AI&amp; Machine Learning</v>
          </cell>
          <cell r="L721" t="str">
            <v>Full Stack Developer(MERN Stack)</v>
          </cell>
        </row>
        <row r="722">
          <cell r="D722">
            <v>2022459065</v>
          </cell>
          <cell r="E722">
            <v>2201010149</v>
          </cell>
          <cell r="F722" t="str">
            <v>B-Tech CSE (SPL)-VI L</v>
          </cell>
          <cell r="G722" t="str">
            <v>Bachelor of Technology</v>
          </cell>
          <cell r="H722" t="str">
            <v>2022459065.aryan@ug.sharda.ac.in</v>
          </cell>
          <cell r="I722" t="str">
            <v>2022459065.shailendra@pt.sharda.ac.in</v>
          </cell>
          <cell r="J722" t="str">
            <v>7599283994</v>
          </cell>
          <cell r="K722" t="str">
            <v>CS - AI&amp; Machine Learning</v>
          </cell>
          <cell r="L722" t="str">
            <v>Software Developer</v>
          </cell>
        </row>
        <row r="723">
          <cell r="D723">
            <v>2022006161</v>
          </cell>
          <cell r="E723">
            <v>2201010172</v>
          </cell>
          <cell r="F723" t="str">
            <v>B-Tech CSE (SPL)-VI L</v>
          </cell>
          <cell r="G723" t="str">
            <v>Bachelor of Technology</v>
          </cell>
          <cell r="H723" t="str">
            <v>2022006161.ayush@ug.sharda.ac.in</v>
          </cell>
          <cell r="I723" t="str">
            <v>2022006161.sunil@pt.sharda.ac.in</v>
          </cell>
          <cell r="J723" t="str">
            <v>7427081733</v>
          </cell>
          <cell r="K723" t="str">
            <v>CS - AI&amp; Machine Learning</v>
          </cell>
          <cell r="L723" t="str">
            <v>Full Stack Developer(MERN Stack)</v>
          </cell>
        </row>
        <row r="724">
          <cell r="D724">
            <v>2022421393</v>
          </cell>
          <cell r="E724">
            <v>2201010177</v>
          </cell>
          <cell r="F724" t="str">
            <v>B-Tech CSE (SPL)-VI L</v>
          </cell>
          <cell r="G724" t="str">
            <v>Bachelor of Technology</v>
          </cell>
          <cell r="H724" t="str">
            <v>2022421393.bhavya@ug.sharda.ac.in</v>
          </cell>
          <cell r="I724" t="str">
            <v>2022421393.parveen@pt.sharda.ac.in</v>
          </cell>
          <cell r="J724" t="str">
            <v>9050909428</v>
          </cell>
          <cell r="K724" t="str">
            <v>CS - AI&amp; Machine Learning</v>
          </cell>
          <cell r="L724" t="str">
            <v>Full Stack Developer(MERN Stack)</v>
          </cell>
        </row>
        <row r="725">
          <cell r="D725">
            <v>2022509542</v>
          </cell>
          <cell r="E725">
            <v>2201010186</v>
          </cell>
          <cell r="F725" t="str">
            <v>B-Tech CSE (SPL)-VI L</v>
          </cell>
          <cell r="G725" t="str">
            <v>Bachelor of Technology</v>
          </cell>
          <cell r="H725" t="str">
            <v>2022509542.chaman@ug.sharda.ac.in</v>
          </cell>
          <cell r="I725" t="str">
            <v>2022509542.harvinder@pt.sharda.ac.in</v>
          </cell>
          <cell r="J725" t="str">
            <v>8930176410</v>
          </cell>
          <cell r="K725" t="str">
            <v>CS - AI&amp; Machine Learning</v>
          </cell>
          <cell r="L725" t="str">
            <v>Full Stack Developer(MERN Stack)</v>
          </cell>
        </row>
        <row r="726">
          <cell r="D726">
            <v>2022361815</v>
          </cell>
          <cell r="E726">
            <v>2201010195</v>
          </cell>
          <cell r="F726" t="str">
            <v>B-Tech CSE (SPL)-VI L</v>
          </cell>
          <cell r="G726" t="str">
            <v>Bachelor of Technology</v>
          </cell>
          <cell r="H726" t="str">
            <v>2022361815.chirag@ug.sharda.ac.in</v>
          </cell>
          <cell r="I726" t="str">
            <v>2022361815.vinod@pt.sharda.ac.in</v>
          </cell>
          <cell r="J726" t="str">
            <v>7500528418</v>
          </cell>
          <cell r="K726" t="str">
            <v>CS - AI&amp; Machine Learning</v>
          </cell>
          <cell r="L726" t="str">
            <v>Full Stack Developer(MERN Stack)</v>
          </cell>
        </row>
        <row r="727">
          <cell r="D727">
            <v>2022472743</v>
          </cell>
          <cell r="E727">
            <v>2201010256</v>
          </cell>
          <cell r="F727" t="str">
            <v>B-Tech CSE (SPL)-VI L</v>
          </cell>
          <cell r="G727" t="str">
            <v>Bachelor of Technology</v>
          </cell>
          <cell r="H727" t="str">
            <v>2022472743.gunjan@ug.sharda.ac.in</v>
          </cell>
          <cell r="I727" t="str">
            <v>2022472743.sunil@pt.sharda.ac.in</v>
          </cell>
          <cell r="J727" t="str">
            <v>8178840076</v>
          </cell>
          <cell r="K727" t="str">
            <v>CS - AI&amp; Machine Learning</v>
          </cell>
          <cell r="L727" t="str">
            <v>Software Developer</v>
          </cell>
        </row>
        <row r="728">
          <cell r="D728">
            <v>2022554328</v>
          </cell>
          <cell r="E728">
            <v>2201010262</v>
          </cell>
          <cell r="F728" t="str">
            <v>B-Tech CSE (SPL)-VI L</v>
          </cell>
          <cell r="G728" t="str">
            <v>Bachelor of Technology</v>
          </cell>
          <cell r="H728" t="str">
            <v>2022554328.harsh@ug.sharda.ac.in</v>
          </cell>
          <cell r="I728" t="str">
            <v>2022554328.yoginder@pt.sharda.ac.in</v>
          </cell>
          <cell r="J728" t="str">
            <v>9289537747</v>
          </cell>
          <cell r="K728" t="str">
            <v>CS - AI&amp; Machine Learning</v>
          </cell>
          <cell r="L728" t="str">
            <v>Full Stack Developer(MERN Stack)</v>
          </cell>
        </row>
        <row r="729">
          <cell r="D729">
            <v>2022509576</v>
          </cell>
          <cell r="E729">
            <v>2201010264</v>
          </cell>
          <cell r="F729" t="str">
            <v>B-Tech CSE (SPL)-VI L</v>
          </cell>
          <cell r="G729" t="str">
            <v>Bachelor of Technology</v>
          </cell>
          <cell r="H729" t="str">
            <v>2022509576.harsh@ug.sharda.ac.in</v>
          </cell>
          <cell r="I729" t="str">
            <v>2022509576.sunilkumar@pt.sharda.ac.in</v>
          </cell>
          <cell r="J729" t="str">
            <v>8577995518</v>
          </cell>
          <cell r="K729" t="str">
            <v>CS - AI&amp; Machine Learning</v>
          </cell>
          <cell r="L729" t="str">
            <v>Software Developer</v>
          </cell>
        </row>
        <row r="730">
          <cell r="D730">
            <v>2022304714</v>
          </cell>
          <cell r="E730">
            <v>2201010321</v>
          </cell>
          <cell r="F730" t="str">
            <v>B-Tech CSE (SPL)-VI L</v>
          </cell>
          <cell r="G730" t="str">
            <v>Bachelor of Technology</v>
          </cell>
          <cell r="H730" t="str">
            <v>2022304714.kartikey@ug.sharda.ac.in</v>
          </cell>
          <cell r="I730" t="str">
            <v>2022304714.shivpratap@pt.sharda.ac.in</v>
          </cell>
          <cell r="J730" t="str">
            <v>9569382186</v>
          </cell>
          <cell r="K730" t="str">
            <v>CS - AI&amp; Machine Learning</v>
          </cell>
          <cell r="L730" t="str">
            <v>Full Stack Developer(MERN Stack)</v>
          </cell>
        </row>
        <row r="731">
          <cell r="D731">
            <v>2022484080</v>
          </cell>
          <cell r="E731">
            <v>2201010322</v>
          </cell>
          <cell r="F731" t="str">
            <v>B-Tech CSE (SPL)-VI L</v>
          </cell>
          <cell r="G731" t="str">
            <v>Bachelor of Technology</v>
          </cell>
          <cell r="H731" t="str">
            <v>2022484080.kashish@ug.sharda.ac.in</v>
          </cell>
          <cell r="I731" t="str">
            <v>2022484080.tekraj@pt.sharda.ac.in</v>
          </cell>
          <cell r="J731" t="str">
            <v>9818652415</v>
          </cell>
          <cell r="K731" t="str">
            <v>CS - AI&amp; Machine Learning</v>
          </cell>
          <cell r="L731" t="str">
            <v>Software Developer</v>
          </cell>
        </row>
        <row r="732">
          <cell r="D732">
            <v>2022006647</v>
          </cell>
          <cell r="E732">
            <v>2201010388</v>
          </cell>
          <cell r="F732" t="str">
            <v>B-Tech CSE (SPL)-VI L</v>
          </cell>
          <cell r="G732" t="str">
            <v>Bachelor of Technology</v>
          </cell>
          <cell r="H732" t="str">
            <v>2022006647.md@ug.sharda.ac.in</v>
          </cell>
          <cell r="I732" t="str">
            <v>2022006647.muhammadshahab@pt.sharda.ac.in</v>
          </cell>
          <cell r="J732" t="str">
            <v>8207894550</v>
          </cell>
          <cell r="K732" t="str">
            <v>CS - AI&amp; Machine Learning</v>
          </cell>
          <cell r="L732" t="str">
            <v>Full Stack Developer(MERN Stack)</v>
          </cell>
        </row>
        <row r="733">
          <cell r="D733">
            <v>2022811762</v>
          </cell>
          <cell r="E733">
            <v>2201010398</v>
          </cell>
          <cell r="F733" t="str">
            <v>B-Tech CSE (SPL)-VI L</v>
          </cell>
          <cell r="G733" t="str">
            <v>Bachelor of Technology</v>
          </cell>
          <cell r="H733" t="str">
            <v>2022811762.md.moududahmed@ug.sharda.ac.in</v>
          </cell>
          <cell r="I733" t="str">
            <v>2022811762.mdabu@pt.sharda.ac.in</v>
          </cell>
          <cell r="J733" t="str">
            <v>9910017793</v>
          </cell>
          <cell r="K733" t="str">
            <v>CS - AI&amp; Machine Learning</v>
          </cell>
          <cell r="L733" t="str">
            <v>Testing Engineer</v>
          </cell>
        </row>
        <row r="734">
          <cell r="D734">
            <v>2022006421</v>
          </cell>
          <cell r="E734">
            <v>2201010450</v>
          </cell>
          <cell r="F734" t="str">
            <v>B-Tech CSE (SPL)-VI L</v>
          </cell>
          <cell r="G734" t="str">
            <v>Bachelor of Technology</v>
          </cell>
          <cell r="H734" t="str">
            <v>2022006421.muqtar@ug.sharda.ac.in</v>
          </cell>
          <cell r="I734" t="str">
            <v>2022006421.mohammad@pt.sharda.ac.in</v>
          </cell>
          <cell r="J734" t="str">
            <v>8218285782</v>
          </cell>
          <cell r="K734" t="str">
            <v>CS - AI&amp; Machine Learning</v>
          </cell>
          <cell r="L734" t="str">
            <v>Full Stack Developer(MERN Stack)</v>
          </cell>
        </row>
        <row r="735">
          <cell r="D735">
            <v>2022005748</v>
          </cell>
          <cell r="E735">
            <v>2201010460</v>
          </cell>
          <cell r="F735" t="str">
            <v>B-Tech CSE (SPL)-VI L</v>
          </cell>
          <cell r="G735" t="str">
            <v>Bachelor of Technology</v>
          </cell>
          <cell r="H735" t="str">
            <v>2022005748.naveen@ug.sharda.ac.in</v>
          </cell>
          <cell r="I735" t="str">
            <v>2022005748.nandkumar@pt.sharda.ac.in</v>
          </cell>
          <cell r="J735" t="str">
            <v>8340715906</v>
          </cell>
          <cell r="K735" t="str">
            <v>CS - AI&amp; Machine Learning</v>
          </cell>
          <cell r="L735" t="str">
            <v>Full Stack Developer(MERN Stack)</v>
          </cell>
        </row>
        <row r="736">
          <cell r="D736">
            <v>2022451626</v>
          </cell>
          <cell r="E736">
            <v>2201010471</v>
          </cell>
          <cell r="F736" t="str">
            <v>B-Tech CSE (SPL)-VI L</v>
          </cell>
          <cell r="G736" t="str">
            <v>Bachelor of Technology</v>
          </cell>
          <cell r="H736" t="str">
            <v>2022451626.nikhil@ug.sharda.ac.in</v>
          </cell>
          <cell r="I736" t="str">
            <v>2022451626.yagyanarayan@pt.sharda.ac.in</v>
          </cell>
          <cell r="J736" t="str">
            <v>8840713082</v>
          </cell>
          <cell r="K736" t="str">
            <v>CS - AI&amp; Machine Learning</v>
          </cell>
          <cell r="L736" t="str">
            <v>Software Developer</v>
          </cell>
        </row>
        <row r="737">
          <cell r="D737">
            <v>2022549867</v>
          </cell>
          <cell r="E737">
            <v>2201010478</v>
          </cell>
          <cell r="F737" t="str">
            <v>B-Tech CSE (SPL)-VI L</v>
          </cell>
          <cell r="G737" t="str">
            <v>Bachelor of Technology</v>
          </cell>
          <cell r="H737" t="str">
            <v>2022549867.nishant@ug.sharda.ac.in</v>
          </cell>
          <cell r="I737" t="str">
            <v>2022549867.rampalsingh@pt.sharda.ac.in</v>
          </cell>
          <cell r="J737" t="str">
            <v>9058937591</v>
          </cell>
          <cell r="K737" t="str">
            <v>CS - AI&amp; Machine Learning</v>
          </cell>
          <cell r="L737" t="str">
            <v>Software Developer</v>
          </cell>
        </row>
        <row r="738">
          <cell r="D738">
            <v>2022361106</v>
          </cell>
          <cell r="E738">
            <v>2201010482</v>
          </cell>
          <cell r="F738" t="str">
            <v>B-Tech CSE (SPL)-VI L</v>
          </cell>
          <cell r="G738" t="str">
            <v>Bachelor of Technology</v>
          </cell>
          <cell r="H738" t="str">
            <v>2022361106.nitesh@ug.sharda.ac.in</v>
          </cell>
          <cell r="I738" t="str">
            <v>2022361106.yogendra@pt.sharda.ac.in</v>
          </cell>
          <cell r="J738" t="str">
            <v>9811284037</v>
          </cell>
          <cell r="K738" t="str">
            <v>CS - AI&amp; Machine Learning</v>
          </cell>
          <cell r="L738" t="str">
            <v>Software Developer</v>
          </cell>
        </row>
        <row r="739">
          <cell r="D739">
            <v>2022561375</v>
          </cell>
          <cell r="E739">
            <v>2201010525</v>
          </cell>
          <cell r="F739" t="str">
            <v>B-Tech CSE (SPL)-VI L</v>
          </cell>
          <cell r="G739" t="str">
            <v>Bachelor of Technology</v>
          </cell>
          <cell r="H739" t="str">
            <v>2022561375.prince@ug.sharda.ac.in</v>
          </cell>
          <cell r="I739" t="str">
            <v>2022561375.komal@pt.sharda.ac.in</v>
          </cell>
          <cell r="J739" t="str">
            <v>8800266907</v>
          </cell>
          <cell r="K739" t="str">
            <v>CS - AI&amp; Machine Learning</v>
          </cell>
          <cell r="L739" t="str">
            <v>Software Developer</v>
          </cell>
        </row>
        <row r="740">
          <cell r="D740">
            <v>2022409593</v>
          </cell>
          <cell r="E740">
            <v>2201010527</v>
          </cell>
          <cell r="F740" t="str">
            <v>B-Tech CSE (SPL)-VI L</v>
          </cell>
          <cell r="G740" t="str">
            <v>Bachelor of Technology</v>
          </cell>
          <cell r="H740" t="str">
            <v>2022409593.priyam@ug.sharda.ac.in</v>
          </cell>
          <cell r="I740" t="str">
            <v>2022409593.sanjay@pt.sharda.ac.in</v>
          </cell>
          <cell r="J740" t="str">
            <v>7250103511</v>
          </cell>
          <cell r="K740" t="str">
            <v>CS - AI&amp; Machine Learning</v>
          </cell>
          <cell r="L740" t="str">
            <v>Full Stack Developer(MERN Stack)</v>
          </cell>
        </row>
        <row r="741">
          <cell r="D741">
            <v>2022548738</v>
          </cell>
          <cell r="E741">
            <v>2201010578</v>
          </cell>
          <cell r="F741" t="str">
            <v>B-Tech CSE (SPL)-VI L</v>
          </cell>
          <cell r="G741" t="str">
            <v>Bachelor of Technology</v>
          </cell>
          <cell r="H741" t="str">
            <v>2022548738.rishav@ug.sharda.ac.in</v>
          </cell>
          <cell r="I741" t="str">
            <v>2022548738.awadheshkumar@pt.sharda.ac.in</v>
          </cell>
          <cell r="J741" t="str">
            <v>9953661145</v>
          </cell>
          <cell r="K741" t="str">
            <v>CS - AI&amp; Machine Learning</v>
          </cell>
          <cell r="L741" t="str">
            <v>Full Stack Developer(MERN Stack)</v>
          </cell>
        </row>
        <row r="742">
          <cell r="D742">
            <v>2022512443</v>
          </cell>
          <cell r="E742">
            <v>2201010616</v>
          </cell>
          <cell r="F742" t="str">
            <v>B-Tech CSE (SPL)-VI L</v>
          </cell>
          <cell r="G742" t="str">
            <v>Bachelor of Technology</v>
          </cell>
          <cell r="H742" t="str">
            <v>2022512443.saksham@ug.sharda.ac.in</v>
          </cell>
          <cell r="I742" t="str">
            <v>2022512443.anilkumar@pt.sharda.ac.in</v>
          </cell>
          <cell r="J742" t="str">
            <v>9650144415</v>
          </cell>
          <cell r="K742" t="str">
            <v>CS - AI&amp; Machine Learning</v>
          </cell>
          <cell r="L742" t="str">
            <v>Android Developer</v>
          </cell>
        </row>
        <row r="743">
          <cell r="D743">
            <v>2022354910</v>
          </cell>
          <cell r="E743">
            <v>2201010644</v>
          </cell>
          <cell r="F743" t="str">
            <v>B-Tech CSE (SPL)-VI L</v>
          </cell>
          <cell r="G743" t="str">
            <v>Bachelor of Technology</v>
          </cell>
          <cell r="H743" t="str">
            <v>2022354910.saud@ug.sharda.ac.in</v>
          </cell>
          <cell r="I743" t="str">
            <v>2022354910.mohdashraf@pt.sharda.ac.in</v>
          </cell>
          <cell r="J743" t="str">
            <v>7006840535</v>
          </cell>
          <cell r="K743" t="str">
            <v>CS - AI&amp; Machine Learning</v>
          </cell>
          <cell r="L743" t="str">
            <v>Full Stack Developer(MERN Stack)</v>
          </cell>
        </row>
        <row r="744">
          <cell r="D744">
            <v>2022005080</v>
          </cell>
          <cell r="E744">
            <v>2201010653</v>
          </cell>
          <cell r="F744" t="str">
            <v>B-Tech CSE (SPL)-VI L</v>
          </cell>
          <cell r="G744" t="str">
            <v>Bachelor of Technology</v>
          </cell>
          <cell r="H744" t="str">
            <v>2022005080.shaily@ug.sharda.ac.in</v>
          </cell>
          <cell r="I744" t="str">
            <v>2022005080.manoj@pt.sharda.ac.in</v>
          </cell>
          <cell r="J744" t="str">
            <v>6261474336</v>
          </cell>
          <cell r="K744" t="str">
            <v>CS - AI&amp; Machine Learning</v>
          </cell>
          <cell r="L744" t="str">
            <v>Full Stack Developer(MERN Stack)</v>
          </cell>
        </row>
        <row r="745">
          <cell r="D745">
            <v>2022387850</v>
          </cell>
          <cell r="E745">
            <v>2201010658</v>
          </cell>
          <cell r="F745" t="str">
            <v>B-Tech CSE (SPL)-VI L</v>
          </cell>
          <cell r="G745" t="str">
            <v>Bachelor of Technology</v>
          </cell>
          <cell r="H745" t="str">
            <v>2022387850.shashwat@ug.sharda.ac.in</v>
          </cell>
          <cell r="I745" t="str">
            <v>2022387850.nawinkumar@pt.sharda.ac.in</v>
          </cell>
          <cell r="J745" t="str">
            <v>6299230801</v>
          </cell>
          <cell r="K745" t="str">
            <v>CS - AI&amp; Machine Learning</v>
          </cell>
          <cell r="L745" t="str">
            <v>Software Developer</v>
          </cell>
        </row>
        <row r="746">
          <cell r="D746">
            <v>2022309446</v>
          </cell>
          <cell r="E746">
            <v>2201010663</v>
          </cell>
          <cell r="F746" t="str">
            <v>B-Tech CSE (SPL)-VI L</v>
          </cell>
          <cell r="G746" t="str">
            <v>Bachelor of Technology</v>
          </cell>
          <cell r="H746" t="str">
            <v>2022309446.shekhar@ug.sharda.ac.in</v>
          </cell>
          <cell r="I746" t="str">
            <v>2022309446.sanjaykumar@pt.sharda.ac.in</v>
          </cell>
          <cell r="J746" t="str">
            <v>6204907417</v>
          </cell>
          <cell r="K746" t="str">
            <v>CS - AI&amp; Machine Learning</v>
          </cell>
          <cell r="L746" t="str">
            <v>Full Stack Developer(MERN Stack)</v>
          </cell>
        </row>
        <row r="747">
          <cell r="D747">
            <v>2022499440</v>
          </cell>
          <cell r="E747">
            <v>2201010666</v>
          </cell>
          <cell r="F747" t="str">
            <v>B-Tech CSE (SPL)-VI L</v>
          </cell>
          <cell r="G747" t="str">
            <v>Bachelor of Technology</v>
          </cell>
          <cell r="H747" t="str">
            <v>2022499440.shipra@ug.sharda.ac.in</v>
          </cell>
          <cell r="I747" t="str">
            <v>2022499440.hemanta@pt.sharda.ac.in</v>
          </cell>
          <cell r="J747" t="str">
            <v>8178983656</v>
          </cell>
          <cell r="K747" t="str">
            <v>CS - AI&amp; Machine Learning</v>
          </cell>
          <cell r="L747" t="str">
            <v>Full Stack Developer(MERN Stack)</v>
          </cell>
        </row>
        <row r="748">
          <cell r="D748">
            <v>2022466983</v>
          </cell>
          <cell r="E748">
            <v>2201010677</v>
          </cell>
          <cell r="F748" t="str">
            <v>B-Tech CSE (SPL)-VI L</v>
          </cell>
          <cell r="G748" t="str">
            <v>Bachelor of Technology</v>
          </cell>
          <cell r="H748" t="str">
            <v>2022466983.shivani@ug.sharda.ac.in</v>
          </cell>
          <cell r="I748" t="str">
            <v>2022466983.surendra@pt.sharda.ac.in</v>
          </cell>
          <cell r="J748" t="str">
            <v>6386780838</v>
          </cell>
          <cell r="K748" t="str">
            <v>CS - AI&amp; Machine Learning</v>
          </cell>
          <cell r="L748" t="str">
            <v>Software Developer</v>
          </cell>
        </row>
        <row r="749">
          <cell r="D749">
            <v>2022409813</v>
          </cell>
          <cell r="E749">
            <v>2201010702</v>
          </cell>
          <cell r="F749" t="str">
            <v>B-Tech CSE (SPL)-VI L</v>
          </cell>
          <cell r="G749" t="str">
            <v>Bachelor of Technology</v>
          </cell>
          <cell r="H749" t="str">
            <v>2022409813.sneha@ug.sharda.ac.in</v>
          </cell>
          <cell r="I749" t="str">
            <v>2022409813.sarvendrakumar@pt.sharda.ac.in</v>
          </cell>
          <cell r="J749" t="str">
            <v>8595755536</v>
          </cell>
          <cell r="K749" t="str">
            <v>CS - AI&amp; Machine Learning</v>
          </cell>
          <cell r="L749" t="str">
            <v>Software Developer</v>
          </cell>
        </row>
        <row r="750">
          <cell r="D750">
            <v>2022816972</v>
          </cell>
          <cell r="E750">
            <v>2201010707</v>
          </cell>
          <cell r="F750" t="str">
            <v>B-Tech CSE (SPL)-VI L</v>
          </cell>
          <cell r="G750" t="str">
            <v>Bachelor of Technology</v>
          </cell>
          <cell r="H750" t="str">
            <v>2022816972.sonal@ug.sharda.ac.in</v>
          </cell>
          <cell r="I750" t="str">
            <v>2022816972.rajeshkumar@pt.sharda.ac.in</v>
          </cell>
          <cell r="J750" t="str">
            <v>977 9803374701</v>
          </cell>
          <cell r="K750" t="str">
            <v>CS - AI&amp; Machine Learning</v>
          </cell>
          <cell r="L750" t="str">
            <v>Full Stack Developer(MERN Stack)</v>
          </cell>
        </row>
        <row r="751">
          <cell r="D751">
            <v>2022471296</v>
          </cell>
          <cell r="E751">
            <v>2201010717</v>
          </cell>
          <cell r="F751" t="str">
            <v>B-Tech CSE (SPL)-VI L</v>
          </cell>
          <cell r="G751" t="str">
            <v>Bachelor of Technology</v>
          </cell>
          <cell r="H751" t="str">
            <v>2022471296.srivash@ug.sharda.ac.in</v>
          </cell>
          <cell r="I751" t="str">
            <v>2022471296.amash@pt.sharda.ac.in</v>
          </cell>
          <cell r="J751" t="str">
            <v>9360656374</v>
          </cell>
          <cell r="K751" t="str">
            <v>CS - AI&amp; Machine Learning</v>
          </cell>
          <cell r="L751" t="str">
            <v>Software Developer</v>
          </cell>
        </row>
        <row r="752">
          <cell r="D752">
            <v>2022482202</v>
          </cell>
          <cell r="E752">
            <v>2201010805</v>
          </cell>
          <cell r="F752" t="str">
            <v>B-Tech CSE (SPL)-VI L</v>
          </cell>
          <cell r="G752" t="str">
            <v>Bachelor of Technology</v>
          </cell>
          <cell r="H752" t="str">
            <v>2022482202.yash@ug.sharda.ac.in</v>
          </cell>
          <cell r="I752" t="str">
            <v>2022482202.praveen@pt.sharda.ac.in</v>
          </cell>
          <cell r="J752" t="str">
            <v>9871674364</v>
          </cell>
          <cell r="K752" t="str">
            <v>CS - AI&amp; Machine Learning</v>
          </cell>
          <cell r="L752" t="str">
            <v>Software Developer</v>
          </cell>
        </row>
        <row r="753">
          <cell r="D753">
            <v>2022427832</v>
          </cell>
          <cell r="E753">
            <v>2201010809</v>
          </cell>
          <cell r="F753" t="str">
            <v>B-Tech CSE (SPL)-VI L</v>
          </cell>
          <cell r="G753" t="str">
            <v>Bachelor of Technology</v>
          </cell>
          <cell r="H753" t="str">
            <v>2022427832.yash@ug.sharda.ac.in</v>
          </cell>
          <cell r="I753" t="str">
            <v>2022427832.sanjay@pt.sharda.ac.in</v>
          </cell>
          <cell r="J753" t="str">
            <v>9990980968</v>
          </cell>
          <cell r="K753" t="str">
            <v>CS - AI&amp; Machine Learning</v>
          </cell>
          <cell r="L753" t="str">
            <v>Software Developer</v>
          </cell>
        </row>
        <row r="754">
          <cell r="D754">
            <v>2022007193</v>
          </cell>
          <cell r="E754">
            <v>2201010923</v>
          </cell>
          <cell r="F754" t="str">
            <v>B-Tech CSE (SPL)-VI L</v>
          </cell>
          <cell r="G754" t="str">
            <v>Bachelor of Technology</v>
          </cell>
          <cell r="H754" t="str">
            <v>2022007193.priyanshu@ug.sharda.ac.in</v>
          </cell>
          <cell r="I754" t="str">
            <v>2022007193.prabhakar@pt.sharda.ac.in</v>
          </cell>
          <cell r="J754" t="str">
            <v>9140594725</v>
          </cell>
          <cell r="K754" t="str">
            <v>CS - AI&amp; Machine Learning</v>
          </cell>
          <cell r="L754" t="str">
            <v>Software Developer</v>
          </cell>
        </row>
        <row r="755">
          <cell r="D755">
            <v>2022618129</v>
          </cell>
          <cell r="E755">
            <v>2201010938</v>
          </cell>
          <cell r="F755" t="str">
            <v>B-Tech CSE (SPL)-VI L</v>
          </cell>
          <cell r="G755" t="str">
            <v>Bachelor of Technology</v>
          </cell>
          <cell r="H755" t="str">
            <v>2022618129.aman@ug.sharda.ac.in</v>
          </cell>
          <cell r="I755" t="str">
            <v>2022618129.rakesh@pt.sharda.ac.in</v>
          </cell>
          <cell r="J755" t="str">
            <v>9852843503</v>
          </cell>
          <cell r="K755" t="str">
            <v>CS - AI&amp; Machine Learning</v>
          </cell>
          <cell r="L755" t="str">
            <v>Software Developer</v>
          </cell>
        </row>
        <row r="756">
          <cell r="D756">
            <v>2022623875</v>
          </cell>
          <cell r="E756">
            <v>2201010940</v>
          </cell>
          <cell r="F756" t="str">
            <v>B-Tech CSE (SPL)-VI L</v>
          </cell>
          <cell r="G756" t="str">
            <v>Bachelor of Technology</v>
          </cell>
          <cell r="H756" t="str">
            <v>2022623875.saurabh@ug.sharda.ac.in</v>
          </cell>
          <cell r="I756" t="str">
            <v>2022623875.akhileshwar@pt.sharda.ac.in</v>
          </cell>
          <cell r="J756" t="str">
            <v>7033903312</v>
          </cell>
          <cell r="K756" t="str">
            <v>CS - AI&amp; Machine Learning</v>
          </cell>
          <cell r="L756" t="str">
            <v>Software Developer</v>
          </cell>
        </row>
        <row r="757">
          <cell r="D757">
            <v>2023253225</v>
          </cell>
          <cell r="E757">
            <v>2301017016</v>
          </cell>
          <cell r="F757" t="str">
            <v>B-Tech CSE (SPL)-VI L</v>
          </cell>
          <cell r="G757" t="str">
            <v>Bachelor of Technology</v>
          </cell>
          <cell r="H757" t="str">
            <v>2023253225.shubham@ug.sharda.ac.in</v>
          </cell>
          <cell r="I757" t="str">
            <v>2023253225.mahendra@pt.sharda.ac.in</v>
          </cell>
          <cell r="J757" t="str">
            <v>6207041943</v>
          </cell>
          <cell r="K757" t="str">
            <v>CS - AI&amp; Machine Learning</v>
          </cell>
          <cell r="L757" t="str">
            <v>Full Stack Developer(MERN Stack)</v>
          </cell>
        </row>
        <row r="758">
          <cell r="D758">
            <v>2022460800</v>
          </cell>
          <cell r="E758">
            <v>2201010164</v>
          </cell>
          <cell r="F758" t="str">
            <v>B-Tech CSE (SPL)-VI L</v>
          </cell>
          <cell r="G758" t="str">
            <v>Bachelor of Technology</v>
          </cell>
          <cell r="H758" t="str">
            <v>2022460800.avinash@ug.sharda.ac.in</v>
          </cell>
          <cell r="I758" t="str">
            <v>2022460800.kamlesh@pt.sharda.ac.in</v>
          </cell>
          <cell r="J758" t="str">
            <v>7084404086</v>
          </cell>
          <cell r="K758" t="str">
            <v>CSE- Data Science</v>
          </cell>
          <cell r="L758" t="str">
            <v>Software Developer</v>
          </cell>
        </row>
        <row r="759">
          <cell r="D759">
            <v>2022320806</v>
          </cell>
          <cell r="E759">
            <v>2201010303</v>
          </cell>
          <cell r="F759" t="str">
            <v>B-Tech CSE (SPL)-VI L</v>
          </cell>
          <cell r="G759" t="str">
            <v>Bachelor of Technology</v>
          </cell>
          <cell r="H759" t="str">
            <v>2022320806.jatin@ug.sharda.ac.in</v>
          </cell>
          <cell r="I759" t="str">
            <v>2022320806.shivendraprakash@pt.sharda.ac.in</v>
          </cell>
          <cell r="J759" t="str">
            <v>9889962074</v>
          </cell>
          <cell r="K759" t="str">
            <v>CSE- Data Science</v>
          </cell>
          <cell r="L759" t="str">
            <v>Machine Learning Engineer</v>
          </cell>
        </row>
        <row r="760">
          <cell r="D760">
            <v>2022405621</v>
          </cell>
          <cell r="E760">
            <v>2201010396</v>
          </cell>
          <cell r="F760" t="str">
            <v>B-Tech CSE (SPL)-VI L</v>
          </cell>
          <cell r="G760" t="str">
            <v>Bachelor of Technology</v>
          </cell>
          <cell r="H760" t="str">
            <v>2022405621.md@ug.sharda.ac.in</v>
          </cell>
          <cell r="I760" t="str">
            <v>2022405621.sakir@pt.sharda.ac.in</v>
          </cell>
          <cell r="J760" t="str">
            <v>7808411145</v>
          </cell>
          <cell r="K760" t="str">
            <v>CSE- Data Science</v>
          </cell>
          <cell r="L760" t="str">
            <v>Software Developer</v>
          </cell>
        </row>
        <row r="761">
          <cell r="D761">
            <v>2022396862</v>
          </cell>
          <cell r="E761">
            <v>2201010626</v>
          </cell>
          <cell r="F761" t="str">
            <v>B-Tech CSE (SPL)-VI L</v>
          </cell>
          <cell r="G761" t="str">
            <v>Bachelor of Technology</v>
          </cell>
          <cell r="H761" t="str">
            <v>2022396862.sameer@ug.sharda.ac.in</v>
          </cell>
          <cell r="I761" t="str">
            <v>2022396862.fahim@pt.sharda.ac.in</v>
          </cell>
          <cell r="J761" t="str">
            <v>9205513934</v>
          </cell>
          <cell r="K761" t="str">
            <v>CSE- Data Science</v>
          </cell>
          <cell r="L761" t="str">
            <v>Software Developer</v>
          </cell>
        </row>
        <row r="762">
          <cell r="D762">
            <v>2022487134</v>
          </cell>
          <cell r="E762">
            <v>2201010638</v>
          </cell>
          <cell r="F762" t="str">
            <v>B-Tech CSE (SPL)-VI L</v>
          </cell>
          <cell r="G762" t="str">
            <v>Bachelor of Technology</v>
          </cell>
          <cell r="H762" t="str">
            <v>2022487134.saransh@ug.sharda.ac.in</v>
          </cell>
          <cell r="I762" t="str">
            <v>2022487134.sanjeev@pt.sharda.ac.in</v>
          </cell>
          <cell r="J762" t="str">
            <v>9679500927</v>
          </cell>
          <cell r="K762" t="str">
            <v>CSE- Data Science</v>
          </cell>
          <cell r="L762" t="str">
            <v>Data Scientist</v>
          </cell>
        </row>
        <row r="763">
          <cell r="D763">
            <v>2022542651</v>
          </cell>
          <cell r="E763">
            <v>2201010947</v>
          </cell>
          <cell r="F763" t="str">
            <v>B-Tech CSE (SPL)-VI L</v>
          </cell>
          <cell r="G763" t="str">
            <v>Bachelor of Technology</v>
          </cell>
          <cell r="H763" t="str">
            <v>2022542651.anamika@ug.sharda.ac.in</v>
          </cell>
          <cell r="I763" t="str">
            <v>2022542651.sohanpalsingh@pt.sharda.ac.in</v>
          </cell>
          <cell r="J763" t="str">
            <v>8088750319</v>
          </cell>
          <cell r="K763" t="str">
            <v>CSE- Data Science</v>
          </cell>
          <cell r="L763" t="str">
            <v>Software Developer</v>
          </cell>
        </row>
        <row r="764">
          <cell r="D764">
            <v>2022603988</v>
          </cell>
          <cell r="E764">
            <v>2201010953</v>
          </cell>
          <cell r="F764" t="str">
            <v>B-Tech CSE (SPL)-VI L</v>
          </cell>
          <cell r="G764" t="str">
            <v>Bachelor of Technology</v>
          </cell>
          <cell r="H764" t="str">
            <v>2022603988.amulya@ug.sharda.ac.in</v>
          </cell>
          <cell r="I764" t="str">
            <v>2022603988.vaneet@pt.sharda.ac.in</v>
          </cell>
          <cell r="J764" t="str">
            <v>9717889890</v>
          </cell>
          <cell r="K764" t="str">
            <v>CSE- Data Science</v>
          </cell>
          <cell r="L764" t="str">
            <v>Software Developer</v>
          </cell>
        </row>
        <row r="765">
          <cell r="D765">
            <v>2022008213</v>
          </cell>
          <cell r="E765">
            <v>2201010981</v>
          </cell>
          <cell r="F765" t="str">
            <v>B-Tech CSE (SPL)-VI L</v>
          </cell>
          <cell r="G765" t="str">
            <v>Bachelor of Technology</v>
          </cell>
          <cell r="H765" t="str">
            <v>2022008213.nitin@ug.sharda.ac.in</v>
          </cell>
          <cell r="I765" t="str">
            <v>2022008213.arunkumar@pt.sharda.ac.in</v>
          </cell>
          <cell r="J765" t="str">
            <v>9265332714</v>
          </cell>
          <cell r="K765" t="str">
            <v>CSE- Data Science</v>
          </cell>
          <cell r="L765" t="str">
            <v>Software Developer</v>
          </cell>
        </row>
        <row r="766">
          <cell r="D766">
            <v>2022006289</v>
          </cell>
          <cell r="E766">
            <v>2201010959</v>
          </cell>
          <cell r="F766" t="str">
            <v>B-Tech CSE (SPL)-VI L</v>
          </cell>
          <cell r="G766" t="str">
            <v>Bachelor of Technology</v>
          </cell>
          <cell r="H766" t="str">
            <v>2022006289.shubham@ug.sharda.ac.in</v>
          </cell>
          <cell r="I766" t="str">
            <v>2022006289.shyambir@pt.sharda.ac.in</v>
          </cell>
          <cell r="J766" t="str">
            <v>7982036498</v>
          </cell>
          <cell r="K766" t="str">
            <v>CSE- IOT &amp; Application</v>
          </cell>
          <cell r="L766" t="str">
            <v>Cloud Engineer</v>
          </cell>
        </row>
        <row r="767">
          <cell r="D767">
            <v>2022008160</v>
          </cell>
          <cell r="E767">
            <v>2201010970</v>
          </cell>
          <cell r="F767" t="str">
            <v>B-Tech CSE (SPL)-VI L</v>
          </cell>
          <cell r="G767" t="str">
            <v>Bachelor of Technology</v>
          </cell>
          <cell r="H767" t="str">
            <v>2022008160.nitin@ug.sharda.ac.in</v>
          </cell>
          <cell r="I767" t="str">
            <v>2022008160.shiv@pt.sharda.ac.in</v>
          </cell>
          <cell r="J767" t="str">
            <v>7408921681</v>
          </cell>
          <cell r="K767" t="str">
            <v>CSE- IOT &amp; Application</v>
          </cell>
          <cell r="L767" t="str">
            <v>Software Developer</v>
          </cell>
        </row>
        <row r="768">
          <cell r="D768">
            <v>2022476818</v>
          </cell>
          <cell r="E768">
            <v>2201010171</v>
          </cell>
          <cell r="F768" t="str">
            <v>B-Tech CSE (SPL)-VI L</v>
          </cell>
          <cell r="G768" t="str">
            <v>Bachelor of Technology</v>
          </cell>
          <cell r="H768" t="str">
            <v>2022476818.ayush@ug.sharda.ac.in</v>
          </cell>
          <cell r="I768" t="str">
            <v>2022476818.navinkumar@pt.sharda.ac.in</v>
          </cell>
          <cell r="J768" t="str">
            <v>9546477703</v>
          </cell>
          <cell r="K768" t="str">
            <v>CSE-Cloud Tech &amp; Virtualiz-AWS</v>
          </cell>
          <cell r="L768" t="str">
            <v>Full Stack Developer(MERN Stack)</v>
          </cell>
        </row>
        <row r="769">
          <cell r="D769">
            <v>2022431320</v>
          </cell>
          <cell r="E769">
            <v>2201010259</v>
          </cell>
          <cell r="F769" t="str">
            <v>B-Tech CSE (SPL)-VI L</v>
          </cell>
          <cell r="G769" t="str">
            <v>Bachelor of Technology</v>
          </cell>
          <cell r="H769" t="str">
            <v>2022431320.hani@ug.sharda.ac.in</v>
          </cell>
          <cell r="I769" t="str">
            <v>2022431320.umesh@pt.sharda.ac.in</v>
          </cell>
          <cell r="J769" t="str">
            <v>9540849531</v>
          </cell>
          <cell r="K769" t="str">
            <v>CSE-Cloud Tech &amp; Virtualiz-AWS</v>
          </cell>
          <cell r="L769" t="str">
            <v>Full Stack Developer(MERN Stack)</v>
          </cell>
        </row>
        <row r="770">
          <cell r="D770">
            <v>2022006750</v>
          </cell>
          <cell r="E770">
            <v>2201010282</v>
          </cell>
          <cell r="F770" t="str">
            <v>B-Tech CSE (SPL)-VI L</v>
          </cell>
          <cell r="G770" t="str">
            <v>Bachelor of Technology</v>
          </cell>
          <cell r="H770" t="str">
            <v>2022006750.harshul@ug.sharda.ac.in</v>
          </cell>
          <cell r="I770" t="str">
            <v>2022006750.arunkumar@pt.sharda.ac.in</v>
          </cell>
          <cell r="J770" t="str">
            <v>9354082061</v>
          </cell>
          <cell r="K770" t="str">
            <v>CSE-Cloud Tech &amp; Virtualiz-AWS</v>
          </cell>
          <cell r="L770" t="str">
            <v>Cloud Engineer</v>
          </cell>
        </row>
        <row r="771">
          <cell r="D771">
            <v>2022006106</v>
          </cell>
          <cell r="E771">
            <v>2201010704</v>
          </cell>
          <cell r="F771" t="str">
            <v>B-Tech CSE (SPL)-VI L</v>
          </cell>
          <cell r="G771" t="str">
            <v>Bachelor of Technology</v>
          </cell>
          <cell r="H771" t="str">
            <v>2022006106.sohail@ug.sharda.ac.in</v>
          </cell>
          <cell r="I771" t="str">
            <v>2022006106.abdul@pt.sharda.ac.in</v>
          </cell>
          <cell r="J771" t="str">
            <v>9999224584</v>
          </cell>
          <cell r="K771" t="str">
            <v>CSE-Cloud Tech &amp; Virtualiz-AWS</v>
          </cell>
          <cell r="L771" t="str">
            <v>Cloud Engineer</v>
          </cell>
        </row>
        <row r="772">
          <cell r="D772">
            <v>2022003592</v>
          </cell>
          <cell r="E772">
            <v>2201010722</v>
          </cell>
          <cell r="F772" t="str">
            <v>B-Tech CSE (SPL)-VI L</v>
          </cell>
          <cell r="G772" t="str">
            <v>Bachelor of Technology</v>
          </cell>
          <cell r="H772" t="str">
            <v>2022003592.sumit@ug.sharda.ac.in</v>
          </cell>
          <cell r="I772" t="str">
            <v>2022003592.manoj@pt.sharda.ac.in</v>
          </cell>
          <cell r="J772" t="str">
            <v>9990824178</v>
          </cell>
          <cell r="K772" t="str">
            <v>CSE-Cloud Tech &amp; Virtualiz-AWS</v>
          </cell>
          <cell r="L772" t="str">
            <v>Cloud Engineer</v>
          </cell>
        </row>
        <row r="773">
          <cell r="D773">
            <v>2022579523</v>
          </cell>
          <cell r="E773">
            <v>2201010979</v>
          </cell>
          <cell r="F773" t="str">
            <v>B-Tech CSE (SPL)-VI L</v>
          </cell>
          <cell r="G773" t="str">
            <v>Bachelor of Technology</v>
          </cell>
          <cell r="H773" t="str">
            <v>2022579523.gaurav@ug.sharda.ac.in</v>
          </cell>
          <cell r="I773" t="str">
            <v>2022579523.dhananjaykumar@pt.sharda.ac.in</v>
          </cell>
          <cell r="J773" t="str">
            <v>9971013385</v>
          </cell>
          <cell r="K773" t="str">
            <v>CSE-Cloud Tech &amp; Virtualiz-AWS</v>
          </cell>
          <cell r="L773" t="str">
            <v>Cloud Engineer</v>
          </cell>
        </row>
        <row r="774">
          <cell r="D774">
            <v>2022305070</v>
          </cell>
          <cell r="E774">
            <v>2201010580</v>
          </cell>
          <cell r="F774" t="str">
            <v>B-Tech CSE (SPL)-VI L</v>
          </cell>
          <cell r="G774" t="str">
            <v>Bachelor of Technology</v>
          </cell>
          <cell r="H774" t="str">
            <v>2022305070.rishika@ug.sharda.ac.in</v>
          </cell>
          <cell r="I774" t="str">
            <v>2022305070.jitendra@pt.sharda.ac.in</v>
          </cell>
          <cell r="J774" t="str">
            <v>9634290526</v>
          </cell>
          <cell r="K774" t="str">
            <v>CSE-Cyber &amp; Forensic-MicroSoft</v>
          </cell>
          <cell r="L774" t="str">
            <v>Full Stack Developer(MERN Stack)</v>
          </cell>
        </row>
        <row r="775">
          <cell r="D775">
            <v>2022003323</v>
          </cell>
          <cell r="E775">
            <v>2201010065</v>
          </cell>
          <cell r="F775" t="str">
            <v>B-Tech CSE (SPL)-VI N</v>
          </cell>
          <cell r="G775" t="str">
            <v>Bachelor of Technology</v>
          </cell>
          <cell r="H775" t="str">
            <v>2022003323.aklavya@ug.sharda.ac.in</v>
          </cell>
          <cell r="I775" t="str">
            <v>2022003323.chand@pt.sharda.ac.in</v>
          </cell>
          <cell r="J775" t="str">
            <v>9958067752</v>
          </cell>
          <cell r="K775" t="str">
            <v>B.Tech (CSE - Block Chain)</v>
          </cell>
          <cell r="L775" t="str">
            <v>Full Stack Developer(Spring Boot)</v>
          </cell>
        </row>
        <row r="776">
          <cell r="D776">
            <v>2022523814</v>
          </cell>
          <cell r="E776">
            <v>2201010130</v>
          </cell>
          <cell r="F776" t="str">
            <v>B-Tech CSE (SPL)-VI N</v>
          </cell>
          <cell r="G776" t="str">
            <v>Bachelor of Technology</v>
          </cell>
          <cell r="H776" t="str">
            <v>2022523814.arpan@ug.sharda.ac.in</v>
          </cell>
          <cell r="I776" t="str">
            <v>2022523814.pradeep@pt.sharda.ac.in</v>
          </cell>
          <cell r="J776" t="str">
            <v>9412584726</v>
          </cell>
          <cell r="K776" t="str">
            <v>B.Tech (CSE - Block Chain)</v>
          </cell>
          <cell r="L776" t="str">
            <v>Full Stack Developer(Spring Boot)</v>
          </cell>
        </row>
        <row r="777">
          <cell r="D777">
            <v>2022314446</v>
          </cell>
          <cell r="E777">
            <v>2201010181</v>
          </cell>
          <cell r="F777" t="str">
            <v>B-Tech CSE (SPL)-VI N</v>
          </cell>
          <cell r="G777" t="str">
            <v>Bachelor of Technology</v>
          </cell>
          <cell r="H777" t="str">
            <v>2022314446.bilal@ug.sharda.ac.in</v>
          </cell>
          <cell r="I777" t="str">
            <v>2022314446.abdulsamim@pt.sharda.ac.in</v>
          </cell>
          <cell r="J777" t="str">
            <v>8860179432</v>
          </cell>
          <cell r="K777" t="str">
            <v>B.Tech (CSE - Block Chain)</v>
          </cell>
          <cell r="L777" t="str">
            <v>Full Stack Developer(Spring Boot)</v>
          </cell>
        </row>
        <row r="778">
          <cell r="D778">
            <v>2022342643</v>
          </cell>
          <cell r="E778">
            <v>2201010228</v>
          </cell>
          <cell r="F778" t="str">
            <v>B-Tech CSE (SPL)-VI N</v>
          </cell>
          <cell r="G778" t="str">
            <v>Bachelor of Technology</v>
          </cell>
          <cell r="H778" t="str">
            <v>2022342643.divyanshu@ug.sharda.ac.in</v>
          </cell>
          <cell r="I778" t="str">
            <v>2022342643.harendra@pt.sharda.ac.in</v>
          </cell>
          <cell r="J778" t="str">
            <v>7017891559</v>
          </cell>
          <cell r="K778" t="str">
            <v>B.Tech (CSE - Block Chain)</v>
          </cell>
          <cell r="L778" t="str">
            <v>Full Stack Developer(Spring Boot)</v>
          </cell>
        </row>
        <row r="779">
          <cell r="D779">
            <v>2022007077</v>
          </cell>
          <cell r="E779">
            <v>2201010343</v>
          </cell>
          <cell r="F779" t="str">
            <v>B-Tech CSE (SPL)-VI N</v>
          </cell>
          <cell r="G779" t="str">
            <v>Bachelor of Technology</v>
          </cell>
          <cell r="H779" t="str">
            <v>2022007077.kuldeep@ug.sharda.ac.in</v>
          </cell>
          <cell r="I779" t="str">
            <v>2022007077.rajkumar@pt.sharda.ac.in</v>
          </cell>
          <cell r="J779" t="str">
            <v>8057247756</v>
          </cell>
          <cell r="K779" t="str">
            <v>B.Tech (CSE - Block Chain)</v>
          </cell>
          <cell r="L779" t="str">
            <v>Full Stack Developer(MERN Stack)</v>
          </cell>
        </row>
        <row r="780">
          <cell r="D780">
            <v>2022006247</v>
          </cell>
          <cell r="E780">
            <v>2201010359</v>
          </cell>
          <cell r="F780" t="str">
            <v>B-Tech CSE (SPL)-VI N</v>
          </cell>
          <cell r="G780" t="str">
            <v>Bachelor of Technology</v>
          </cell>
          <cell r="H780" t="str">
            <v>2022006247.lovish@ug.sharda.ac.in</v>
          </cell>
          <cell r="I780" t="str">
            <v>2022006247.sachin@pt.sharda.ac.in</v>
          </cell>
          <cell r="J780" t="str">
            <v>7042664288</v>
          </cell>
          <cell r="K780" t="str">
            <v>B.Tech (CSE - Block Chain)</v>
          </cell>
          <cell r="L780" t="str">
            <v>Software Developer</v>
          </cell>
        </row>
        <row r="781">
          <cell r="D781">
            <v>2022006233</v>
          </cell>
          <cell r="E781">
            <v>2201010425</v>
          </cell>
          <cell r="F781" t="str">
            <v>B-Tech CSE (SPL)-VI N</v>
          </cell>
          <cell r="G781" t="str">
            <v>Bachelor of Technology</v>
          </cell>
          <cell r="H781" t="str">
            <v>2022006233.mohd@ug.sharda.ac.in</v>
          </cell>
          <cell r="I781" t="str">
            <v>2022006233.nadeem@pt.sharda.ac.in</v>
          </cell>
          <cell r="J781" t="str">
            <v>9389850285</v>
          </cell>
          <cell r="K781" t="str">
            <v>B.Tech (CSE - Block Chain)</v>
          </cell>
          <cell r="L781" t="str">
            <v>Machine Learning Engineer</v>
          </cell>
        </row>
        <row r="782">
          <cell r="D782">
            <v>2022817981</v>
          </cell>
          <cell r="E782">
            <v>2201010442</v>
          </cell>
          <cell r="F782" t="str">
            <v>B-Tech CSE (SPL)-VI N</v>
          </cell>
          <cell r="G782" t="str">
            <v>Bachelor of Technology</v>
          </cell>
          <cell r="H782" t="str">
            <v>2022817981.pramish@ug.sharda.ac.in</v>
          </cell>
          <cell r="I782" t="str">
            <v>2022817981.gyanbahadur@pt.sharda.ac.in</v>
          </cell>
          <cell r="J782" t="str">
            <v>91 7303998344</v>
          </cell>
          <cell r="K782" t="str">
            <v>B.Tech (CSE - Block Chain)</v>
          </cell>
          <cell r="L782" t="str">
            <v>Software Developer</v>
          </cell>
        </row>
        <row r="783">
          <cell r="D783">
            <v>2022003325</v>
          </cell>
          <cell r="E783">
            <v>2201010535</v>
          </cell>
          <cell r="F783" t="str">
            <v>B-Tech CSE (SPL)-VI N</v>
          </cell>
          <cell r="G783" t="str">
            <v>Bachelor of Technology</v>
          </cell>
          <cell r="H783" t="str">
            <v>2022003325.priyanshu@ug.sharda.ac.in</v>
          </cell>
          <cell r="I783" t="str">
            <v>2022003325.kailashprasad@pt.sharda.ac.in</v>
          </cell>
          <cell r="J783" t="str">
            <v>9310441503</v>
          </cell>
          <cell r="K783" t="str">
            <v>B.Tech (CSE - Block Chain)</v>
          </cell>
          <cell r="L783" t="str">
            <v>Android Developer</v>
          </cell>
        </row>
        <row r="784">
          <cell r="D784">
            <v>2022007217</v>
          </cell>
          <cell r="E784">
            <v>2201010916</v>
          </cell>
          <cell r="F784" t="str">
            <v>B-Tech CSE (SPL)-VI N</v>
          </cell>
          <cell r="G784" t="str">
            <v>Bachelor of Technology</v>
          </cell>
          <cell r="H784" t="str">
            <v>2022007217.princi@ug.sharda.ac.in</v>
          </cell>
          <cell r="I784" t="str">
            <v>2022007217.dalchand@pt.sharda.ac.in</v>
          </cell>
          <cell r="J784" t="str">
            <v>9045297509</v>
          </cell>
          <cell r="K784" t="str">
            <v>B.Tech (CSE - Block Chain)</v>
          </cell>
          <cell r="L784" t="str">
            <v>Cloud Engineer</v>
          </cell>
        </row>
        <row r="785">
          <cell r="D785">
            <v>2022543882</v>
          </cell>
          <cell r="E785">
            <v>2201010918</v>
          </cell>
          <cell r="F785" t="str">
            <v>B-Tech CSE (SPL)-VI N</v>
          </cell>
          <cell r="G785" t="str">
            <v>Bachelor of Technology</v>
          </cell>
          <cell r="H785" t="str">
            <v>2022543882.yusuf@ug.sharda.ac.in</v>
          </cell>
          <cell r="I785" t="str">
            <v>2022543882.sm@pt.sharda.ac.in</v>
          </cell>
          <cell r="J785" t="str">
            <v>8287522898</v>
          </cell>
          <cell r="K785" t="str">
            <v>B.Tech (CSE - Block Chain)</v>
          </cell>
          <cell r="L785" t="str">
            <v>Software Developer</v>
          </cell>
        </row>
        <row r="786">
          <cell r="D786">
            <v>2022594965</v>
          </cell>
          <cell r="E786">
            <v>2201010919</v>
          </cell>
          <cell r="F786" t="str">
            <v>B-Tech CSE (SPL)-VI N</v>
          </cell>
          <cell r="G786" t="str">
            <v>Bachelor of Technology</v>
          </cell>
          <cell r="H786" t="str">
            <v>2022594965.pratyush@ug.sharda.ac.in</v>
          </cell>
          <cell r="I786" t="str">
            <v>2022594965.mahendra@pt.sharda.ac.in</v>
          </cell>
          <cell r="J786" t="str">
            <v>8709805044</v>
          </cell>
          <cell r="K786" t="str">
            <v>B.Tech (CSE - Block Chain)</v>
          </cell>
          <cell r="L786" t="str">
            <v>Cloud Engineer</v>
          </cell>
        </row>
        <row r="787">
          <cell r="D787">
            <v>2022597147</v>
          </cell>
          <cell r="E787">
            <v>2201010920</v>
          </cell>
          <cell r="F787" t="str">
            <v>B-Tech CSE (SPL)-VI N</v>
          </cell>
          <cell r="G787" t="str">
            <v>Bachelor of Technology</v>
          </cell>
          <cell r="H787" t="str">
            <v>2022597147.ashish@ug.sharda.ac.in</v>
          </cell>
          <cell r="I787" t="str">
            <v>2022597147.dilipkumar@pt.sharda.ac.in</v>
          </cell>
          <cell r="J787" t="str">
            <v>9117697809</v>
          </cell>
          <cell r="K787" t="str">
            <v>B.Tech (CSE - Block Chain)</v>
          </cell>
          <cell r="L787" t="str">
            <v>Software Developer</v>
          </cell>
        </row>
        <row r="788">
          <cell r="D788">
            <v>2022003741</v>
          </cell>
          <cell r="E788">
            <v>2201070028</v>
          </cell>
          <cell r="F788" t="str">
            <v>B-Tech CSE (SPL)-VI N</v>
          </cell>
          <cell r="G788" t="str">
            <v>Bachelor of Technology</v>
          </cell>
          <cell r="H788" t="str">
            <v>2022003741.felixsikukutu@ug.sharda.ac.in</v>
          </cell>
          <cell r="I788" t="str">
            <v>2022003741.hausiku@pt.sharda.ac.in</v>
          </cell>
          <cell r="J788" t="str">
            <v>91 818526326</v>
          </cell>
          <cell r="K788" t="str">
            <v>B.Tech (CSE - Block Chain)</v>
          </cell>
          <cell r="L788" t="str">
            <v>Testing Engineer</v>
          </cell>
        </row>
        <row r="789">
          <cell r="D789">
            <v>2021380904</v>
          </cell>
          <cell r="E789">
            <v>210101166</v>
          </cell>
          <cell r="F789" t="str">
            <v>B-Tech CSE (SPL)-VI N</v>
          </cell>
          <cell r="G789" t="str">
            <v>Bachelor of Technology</v>
          </cell>
          <cell r="H789" t="str">
            <v>2021380904.devang@ug.sharda.ac.in</v>
          </cell>
          <cell r="I789" t="str">
            <v>2021380904.ram@pt.sharda.ac.in</v>
          </cell>
          <cell r="J789" t="str">
            <v>9540412027</v>
          </cell>
          <cell r="K789" t="str">
            <v>CS - AI&amp; Machine Learning</v>
          </cell>
          <cell r="L789" t="str">
            <v>Full Stack Developer(Spring Boot)</v>
          </cell>
        </row>
        <row r="790">
          <cell r="D790">
            <v>2022386358</v>
          </cell>
          <cell r="E790">
            <v>2201010033</v>
          </cell>
          <cell r="F790" t="str">
            <v>B-Tech CSE (SPL)-VI N</v>
          </cell>
          <cell r="G790" t="str">
            <v>Bachelor of Technology</v>
          </cell>
          <cell r="H790" t="str">
            <v>2022386358.adarsh@ug.sharda.ac.in</v>
          </cell>
          <cell r="I790" t="str">
            <v>2022386358.ravinder@pt.sharda.ac.in</v>
          </cell>
          <cell r="J790" t="str">
            <v>9654372879</v>
          </cell>
          <cell r="K790" t="str">
            <v>CS - AI&amp; Machine Learning</v>
          </cell>
          <cell r="L790" t="str">
            <v>Machine Learning Engineer</v>
          </cell>
        </row>
        <row r="791">
          <cell r="D791">
            <v>2022510612</v>
          </cell>
          <cell r="E791">
            <v>2201010068</v>
          </cell>
          <cell r="F791" t="str">
            <v>B-Tech CSE (SPL)-VI N</v>
          </cell>
          <cell r="G791" t="str">
            <v>Bachelor of Technology</v>
          </cell>
          <cell r="H791" t="str">
            <v>2022510612.akshi@ug.sharda.ac.in</v>
          </cell>
          <cell r="I791" t="str">
            <v>2022510612.vipin@pt.sharda.ac.in</v>
          </cell>
          <cell r="J791" t="str">
            <v>9690319106</v>
          </cell>
          <cell r="K791" t="str">
            <v>CS - AI&amp; Machine Learning</v>
          </cell>
          <cell r="L791" t="str">
            <v>Android Developer</v>
          </cell>
        </row>
        <row r="792">
          <cell r="D792">
            <v>2022004729</v>
          </cell>
          <cell r="E792">
            <v>2201010104</v>
          </cell>
          <cell r="F792" t="str">
            <v>B-Tech CSE (SPL)-VI N</v>
          </cell>
          <cell r="G792" t="str">
            <v>Bachelor of Technology</v>
          </cell>
          <cell r="H792" t="str">
            <v>2022004729.anshuman@ug.sharda.ac.in</v>
          </cell>
          <cell r="I792" t="str">
            <v>2022004729.pramod@pt.sharda.ac.in</v>
          </cell>
          <cell r="J792" t="str">
            <v>8292746886</v>
          </cell>
          <cell r="K792" t="str">
            <v>CS - AI&amp; Machine Learning</v>
          </cell>
          <cell r="L792" t="str">
            <v>Full Stack Developer(Spring Boot)</v>
          </cell>
        </row>
        <row r="793">
          <cell r="D793">
            <v>2022003451</v>
          </cell>
          <cell r="E793">
            <v>2201010147</v>
          </cell>
          <cell r="F793" t="str">
            <v>B-Tech CSE (SPL)-VI N</v>
          </cell>
          <cell r="G793" t="str">
            <v>Bachelor of Technology</v>
          </cell>
          <cell r="H793" t="str">
            <v>2022003451.aryan@ug.sharda.ac.in</v>
          </cell>
          <cell r="I793" t="str">
            <v>2022003451.abhishek@pt.sharda.ac.in</v>
          </cell>
          <cell r="J793" t="str">
            <v>9818865382</v>
          </cell>
          <cell r="K793" t="str">
            <v>CS - AI&amp; Machine Learning</v>
          </cell>
          <cell r="L793" t="str">
            <v>Full Stack Developer(Spring Boot)</v>
          </cell>
        </row>
        <row r="794">
          <cell r="D794">
            <v>2022000299</v>
          </cell>
          <cell r="E794">
            <v>2201010226</v>
          </cell>
          <cell r="F794" t="str">
            <v>B-Tech CSE (SPL)-VI N</v>
          </cell>
          <cell r="G794" t="str">
            <v>Bachelor of Technology</v>
          </cell>
          <cell r="H794" t="str">
            <v>2022000299.divyansh@ug.sharda.ac.in</v>
          </cell>
          <cell r="I794" t="str">
            <v>2022000299.ram@pt.sharda.ac.in</v>
          </cell>
          <cell r="J794" t="str">
            <v>9310056643</v>
          </cell>
          <cell r="K794" t="str">
            <v>CS - AI&amp; Machine Learning</v>
          </cell>
          <cell r="L794" t="str">
            <v>Software Developer</v>
          </cell>
        </row>
        <row r="795">
          <cell r="D795">
            <v>2022509891</v>
          </cell>
          <cell r="E795">
            <v>2201010242</v>
          </cell>
          <cell r="F795" t="str">
            <v>B-Tech CSE (SPL)-VI N</v>
          </cell>
          <cell r="G795" t="str">
            <v>Bachelor of Technology</v>
          </cell>
          <cell r="H795" t="str">
            <v>2022509891.garv@ug.sharda.ac.in</v>
          </cell>
          <cell r="I795" t="str">
            <v>2022509891.sachin@pt.sharda.ac.in</v>
          </cell>
          <cell r="J795" t="str">
            <v>8287142179</v>
          </cell>
          <cell r="K795" t="str">
            <v>CS - AI&amp; Machine Learning</v>
          </cell>
          <cell r="L795" t="str">
            <v>Machine Learning Engineer</v>
          </cell>
        </row>
        <row r="796">
          <cell r="D796">
            <v>2022536194</v>
          </cell>
          <cell r="E796">
            <v>2201010250</v>
          </cell>
          <cell r="F796" t="str">
            <v>B-Tech CSE (SPL)-VI N</v>
          </cell>
          <cell r="G796" t="str">
            <v>Bachelor of Technology</v>
          </cell>
          <cell r="H796" t="str">
            <v>2022536194.gopal@ug.sharda.ac.in</v>
          </cell>
          <cell r="I796" t="str">
            <v>2022536194.rajeev@pt.sharda.ac.in</v>
          </cell>
          <cell r="J796" t="str">
            <v>8595995890</v>
          </cell>
          <cell r="K796" t="str">
            <v>CS - AI&amp; Machine Learning</v>
          </cell>
          <cell r="L796" t="str">
            <v>Software Developer</v>
          </cell>
        </row>
        <row r="797">
          <cell r="D797">
            <v>2022005315</v>
          </cell>
          <cell r="E797">
            <v>2201010255</v>
          </cell>
          <cell r="F797" t="str">
            <v>B-Tech CSE (SPL)-VI N</v>
          </cell>
          <cell r="G797" t="str">
            <v>Bachelor of Technology</v>
          </cell>
          <cell r="H797" t="str">
            <v>2022005315.gulshan@ug.sharda.ac.in</v>
          </cell>
          <cell r="I797" t="str">
            <v>2022005315.jasvir@pt.sharda.ac.in</v>
          </cell>
          <cell r="J797" t="str">
            <v>9992014552</v>
          </cell>
          <cell r="K797" t="str">
            <v>CS - AI&amp; Machine Learning</v>
          </cell>
          <cell r="L797" t="str">
            <v>Full Stack Developer(Spring Boot)</v>
          </cell>
        </row>
        <row r="798">
          <cell r="D798">
            <v>2022503936</v>
          </cell>
          <cell r="E798">
            <v>2201010368</v>
          </cell>
          <cell r="F798" t="str">
            <v>B-Tech CSE (SPL)-VI N</v>
          </cell>
          <cell r="G798" t="str">
            <v>Bachelor of Technology</v>
          </cell>
          <cell r="H798" t="str">
            <v>2022503936.manav@ug.sharda.ac.in</v>
          </cell>
          <cell r="I798" t="str">
            <v>2022503936.kamlesh@pt.sharda.ac.in</v>
          </cell>
          <cell r="J798" t="str">
            <v>8368158949</v>
          </cell>
          <cell r="K798" t="str">
            <v>CS - AI&amp; Machine Learning</v>
          </cell>
          <cell r="L798" t="str">
            <v>Full Stack Developer(Spring Boot)</v>
          </cell>
        </row>
        <row r="799">
          <cell r="D799">
            <v>2022390387</v>
          </cell>
          <cell r="E799">
            <v>2201010455</v>
          </cell>
          <cell r="F799" t="str">
            <v>B-Tech CSE (SPL)-VI N</v>
          </cell>
          <cell r="G799" t="str">
            <v>Bachelor of Technology</v>
          </cell>
          <cell r="H799" t="str">
            <v>2022390387.naman@ug.sharda.ac.in</v>
          </cell>
          <cell r="I799" t="str">
            <v>2022390387.sanjay@pt.sharda.ac.in</v>
          </cell>
          <cell r="J799" t="str">
            <v>9557360987</v>
          </cell>
          <cell r="K799" t="str">
            <v>CS - AI&amp; Machine Learning</v>
          </cell>
          <cell r="L799" t="str">
            <v>Software Developer</v>
          </cell>
        </row>
        <row r="800">
          <cell r="D800">
            <v>2022507071</v>
          </cell>
          <cell r="E800">
            <v>2201010461</v>
          </cell>
          <cell r="F800" t="str">
            <v>B-Tech CSE (SPL)-VI N</v>
          </cell>
          <cell r="G800" t="str">
            <v>Bachelor of Technology</v>
          </cell>
          <cell r="H800" t="str">
            <v>2022507071.navika@ug.sharda.ac.in</v>
          </cell>
          <cell r="I800" t="str">
            <v>2022507071.kaushalsingh@pt.sharda.ac.in</v>
          </cell>
          <cell r="J800" t="str">
            <v>7065568018</v>
          </cell>
          <cell r="K800" t="str">
            <v>CS - AI&amp; Machine Learning</v>
          </cell>
          <cell r="L800" t="str">
            <v>Full Stack Developer(Spring Boot)</v>
          </cell>
        </row>
        <row r="801">
          <cell r="D801">
            <v>2022504250</v>
          </cell>
          <cell r="E801">
            <v>2201010508</v>
          </cell>
          <cell r="F801" t="str">
            <v>B-Tech CSE (SPL)-VI N</v>
          </cell>
          <cell r="G801" t="str">
            <v>Bachelor of Technology</v>
          </cell>
          <cell r="H801" t="str">
            <v>2022504250.prabhat@ug.sharda.ac.in</v>
          </cell>
          <cell r="I801" t="str">
            <v>2022504250.amarjit@pt.sharda.ac.in</v>
          </cell>
          <cell r="J801" t="str">
            <v>7404653634</v>
          </cell>
          <cell r="K801" t="str">
            <v>CS - AI&amp; Machine Learning</v>
          </cell>
          <cell r="L801" t="str">
            <v>Full Stack Developer(Spring Boot)</v>
          </cell>
        </row>
        <row r="802">
          <cell r="D802">
            <v>2022477888</v>
          </cell>
          <cell r="E802">
            <v>2201010559</v>
          </cell>
          <cell r="F802" t="str">
            <v>B-Tech CSE (SPL)-VI N</v>
          </cell>
          <cell r="G802" t="str">
            <v>Bachelor of Technology</v>
          </cell>
          <cell r="H802" t="str">
            <v>2022477888.ranjan@ug.sharda.ac.in</v>
          </cell>
          <cell r="I802" t="str">
            <v>2022477888.sanjaykumar@pt.sharda.ac.in</v>
          </cell>
          <cell r="J802" t="str">
            <v>9608904794</v>
          </cell>
          <cell r="K802" t="str">
            <v>CS - AI&amp; Machine Learning</v>
          </cell>
          <cell r="L802" t="str">
            <v>Full Stack Developer(Spring Boot)</v>
          </cell>
        </row>
        <row r="803">
          <cell r="D803">
            <v>2022463885</v>
          </cell>
          <cell r="E803">
            <v>2201010725</v>
          </cell>
          <cell r="F803" t="str">
            <v>B-Tech CSE (SPL)-VI N</v>
          </cell>
          <cell r="G803" t="str">
            <v>Bachelor of Technology</v>
          </cell>
          <cell r="H803" t="str">
            <v>2022463885.sunny@ug.sharda.ac.in</v>
          </cell>
          <cell r="I803" t="str">
            <v>2022463885.jitendra@pt.sharda.ac.in</v>
          </cell>
          <cell r="J803" t="str">
            <v>9971018037</v>
          </cell>
          <cell r="K803" t="str">
            <v>CS - AI&amp; Machine Learning</v>
          </cell>
          <cell r="L803" t="str">
            <v>Full Stack Developer(Spring Boot)</v>
          </cell>
        </row>
        <row r="804">
          <cell r="D804">
            <v>2022401760</v>
          </cell>
          <cell r="E804">
            <v>2201010746</v>
          </cell>
          <cell r="F804" t="str">
            <v>B-Tech CSE (SPL)-VI N</v>
          </cell>
          <cell r="G804" t="str">
            <v>Bachelor of Technology</v>
          </cell>
          <cell r="H804" t="str">
            <v>2022401760.tanvir@ug.sharda.ac.in</v>
          </cell>
          <cell r="I804" t="str">
            <v>2022401760.tejvir@pt.sharda.ac.in</v>
          </cell>
          <cell r="J804" t="str">
            <v>9837408157</v>
          </cell>
          <cell r="K804" t="str">
            <v>CS - AI&amp; Machine Learning</v>
          </cell>
          <cell r="L804" t="str">
            <v>Android Developer</v>
          </cell>
        </row>
        <row r="805">
          <cell r="D805">
            <v>2022006170</v>
          </cell>
          <cell r="E805">
            <v>2201010761</v>
          </cell>
          <cell r="F805" t="str">
            <v>B-Tech CSE (SPL)-VI N</v>
          </cell>
          <cell r="G805" t="str">
            <v>Bachelor of Technology</v>
          </cell>
          <cell r="H805" t="str">
            <v>2022006170.umang@ug.sharda.ac.in</v>
          </cell>
          <cell r="I805" t="str">
            <v>2022006170.rajendra@pt.sharda.ac.in</v>
          </cell>
          <cell r="J805" t="str">
            <v>9953208902</v>
          </cell>
          <cell r="K805" t="str">
            <v>CS - AI&amp; Machine Learning</v>
          </cell>
          <cell r="L805" t="str">
            <v>Android Developer</v>
          </cell>
        </row>
        <row r="806">
          <cell r="D806">
            <v>2022519978</v>
          </cell>
          <cell r="E806">
            <v>2201010793</v>
          </cell>
          <cell r="F806" t="str">
            <v>B-Tech CSE (SPL)-VI N</v>
          </cell>
          <cell r="G806" t="str">
            <v>Bachelor of Technology</v>
          </cell>
          <cell r="H806" t="str">
            <v>2022519978.vishakha@ug.sharda.ac.in</v>
          </cell>
          <cell r="I806" t="str">
            <v>2022519978.manesh@pt.sharda.ac.in</v>
          </cell>
          <cell r="J806" t="str">
            <v>9557520205</v>
          </cell>
          <cell r="K806" t="str">
            <v>CS - AI&amp; Machine Learning</v>
          </cell>
          <cell r="L806" t="str">
            <v>Software Developer</v>
          </cell>
        </row>
        <row r="807">
          <cell r="D807">
            <v>2022506228</v>
          </cell>
          <cell r="E807">
            <v>2201010930</v>
          </cell>
          <cell r="F807" t="str">
            <v>B-Tech CSE (SPL)-VI N</v>
          </cell>
          <cell r="G807" t="str">
            <v>Bachelor of Technology</v>
          </cell>
          <cell r="H807" t="str">
            <v>2022506228.ayaz@ug.sharda.ac.in</v>
          </cell>
          <cell r="I807" t="str">
            <v>2022506228.wasim@pt.sharda.ac.in</v>
          </cell>
          <cell r="J807" t="str">
            <v>9643909564</v>
          </cell>
          <cell r="K807" t="str">
            <v>CS - AI&amp; Machine Learning</v>
          </cell>
          <cell r="L807" t="str">
            <v>Software Developer</v>
          </cell>
        </row>
        <row r="808">
          <cell r="D808">
            <v>2022387999</v>
          </cell>
          <cell r="E808">
            <v>2201010046</v>
          </cell>
          <cell r="F808" t="str">
            <v>B-Tech CSE (SPL)-VI N</v>
          </cell>
          <cell r="G808" t="str">
            <v>Bachelor of Technology</v>
          </cell>
          <cell r="H808" t="str">
            <v>2022387999.aditya@ug.sharda.ac.in</v>
          </cell>
          <cell r="I808" t="str">
            <v>2022387999.jaikishore@pt.sharda.ac.in</v>
          </cell>
          <cell r="J808" t="str">
            <v>8210802254</v>
          </cell>
          <cell r="K808" t="str">
            <v>CSE- Data Science</v>
          </cell>
          <cell r="L808" t="str">
            <v>Full Stack Developer(Spring Boot)</v>
          </cell>
        </row>
        <row r="809">
          <cell r="D809">
            <v>2022522914</v>
          </cell>
          <cell r="E809">
            <v>2201010776</v>
          </cell>
          <cell r="F809" t="str">
            <v>B-Tech CSE (SPL)-VI N</v>
          </cell>
          <cell r="G809" t="str">
            <v>Bachelor of Technology</v>
          </cell>
          <cell r="H809" t="str">
            <v>2022522914.vanshit@ug.sharda.ac.in</v>
          </cell>
          <cell r="I809" t="str">
            <v>2022522914.anuj@pt.sharda.ac.in</v>
          </cell>
          <cell r="J809" t="str">
            <v>9729524695</v>
          </cell>
          <cell r="K809" t="str">
            <v>CSE- Data Science</v>
          </cell>
          <cell r="L809" t="str">
            <v>Software Developer</v>
          </cell>
        </row>
        <row r="810">
          <cell r="D810">
            <v>2022006860</v>
          </cell>
          <cell r="E810">
            <v>2201010154</v>
          </cell>
          <cell r="F810" t="str">
            <v>B-Tech CSE (SPL)-VI N</v>
          </cell>
          <cell r="G810" t="str">
            <v>Bachelor of Technology</v>
          </cell>
          <cell r="H810" t="str">
            <v>2022006860.ashutosh@ug.sharda.ac.in</v>
          </cell>
          <cell r="I810" t="str">
            <v>2022006860.ravi@pt.sharda.ac.in</v>
          </cell>
          <cell r="J810" t="str">
            <v>8877464245</v>
          </cell>
          <cell r="K810" t="str">
            <v>CSE- IOT &amp; Application</v>
          </cell>
          <cell r="L810" t="str">
            <v>Software Developer</v>
          </cell>
        </row>
        <row r="811">
          <cell r="D811">
            <v>2022489738</v>
          </cell>
          <cell r="E811">
            <v>2201010276</v>
          </cell>
          <cell r="F811" t="str">
            <v>B-Tech CSE (SPL)-VI N</v>
          </cell>
          <cell r="G811" t="str">
            <v>Bachelor of Technology</v>
          </cell>
          <cell r="H811" t="str">
            <v>2022489738.harshit@ug.sharda.ac.in</v>
          </cell>
          <cell r="I811" t="str">
            <v>2022489738.deepak@pt.sharda.ac.in</v>
          </cell>
          <cell r="J811" t="str">
            <v>7988496098</v>
          </cell>
          <cell r="K811" t="str">
            <v>CSE- IOT &amp; Application</v>
          </cell>
          <cell r="L811" t="str">
            <v>Software Developer</v>
          </cell>
        </row>
        <row r="812">
          <cell r="D812">
            <v>2022002885</v>
          </cell>
          <cell r="E812">
            <v>2201010957</v>
          </cell>
          <cell r="F812" t="str">
            <v>B-Tech CSE (SPL)-VI N</v>
          </cell>
          <cell r="G812" t="str">
            <v>Bachelor of Technology</v>
          </cell>
          <cell r="H812" t="str">
            <v>2022002885.rachit@ug.sharda.ac.in</v>
          </cell>
          <cell r="I812" t="str">
            <v>2022002885.sanjaykumar@pt.sharda.ac.in</v>
          </cell>
          <cell r="J812" t="str">
            <v>9625967510</v>
          </cell>
          <cell r="K812" t="str">
            <v>CSE- IOT &amp; Application</v>
          </cell>
          <cell r="L812" t="str">
            <v>Full Stack Developer(Spring Boot)</v>
          </cell>
        </row>
        <row r="813">
          <cell r="D813">
            <v>2022004595</v>
          </cell>
          <cell r="E813">
            <v>2201010958</v>
          </cell>
          <cell r="F813" t="str">
            <v>B-Tech CSE (SPL)-VI N</v>
          </cell>
          <cell r="G813" t="str">
            <v>Bachelor of Technology</v>
          </cell>
          <cell r="H813" t="str">
            <v>2022004595.dev@ug.sharda.ac.in</v>
          </cell>
          <cell r="I813" t="str">
            <v>2022004595.hira@pt.sharda.ac.in</v>
          </cell>
          <cell r="J813" t="str">
            <v>8595711734</v>
          </cell>
          <cell r="K813" t="str">
            <v>CSE- IOT &amp; Application</v>
          </cell>
          <cell r="L813" t="str">
            <v>Software Developer</v>
          </cell>
        </row>
        <row r="814">
          <cell r="D814">
            <v>2022007672</v>
          </cell>
          <cell r="E814">
            <v>2201010962</v>
          </cell>
          <cell r="F814" t="str">
            <v>B-Tech CSE (SPL)-VI N</v>
          </cell>
          <cell r="G814" t="str">
            <v>Bachelor of Technology</v>
          </cell>
          <cell r="H814" t="str">
            <v>2022007672.rahan@ug.sharda.ac.in</v>
          </cell>
          <cell r="I814" t="str">
            <v>2022007672.vinod@pt.sharda.ac.in</v>
          </cell>
          <cell r="J814" t="str">
            <v>9868060906</v>
          </cell>
          <cell r="K814" t="str">
            <v>CSE- IOT &amp; Application</v>
          </cell>
          <cell r="L814" t="str">
            <v>Software Developer</v>
          </cell>
        </row>
        <row r="815">
          <cell r="D815">
            <v>2022007731</v>
          </cell>
          <cell r="E815">
            <v>2201010963</v>
          </cell>
          <cell r="F815" t="str">
            <v>B-Tech CSE (SPL)-VI N</v>
          </cell>
          <cell r="G815" t="str">
            <v>Bachelor of Technology</v>
          </cell>
          <cell r="H815" t="str">
            <v>2022007731.priyanshu@ug.sharda.ac.in</v>
          </cell>
          <cell r="I815" t="str">
            <v>2022007731.bikrant@pt.sharda.ac.in</v>
          </cell>
          <cell r="J815" t="str">
            <v>8809244714</v>
          </cell>
          <cell r="K815" t="str">
            <v>CSE- IOT &amp; Application</v>
          </cell>
          <cell r="L815" t="str">
            <v>Full Stack Developer(Spring Boot)</v>
          </cell>
        </row>
        <row r="816">
          <cell r="D816">
            <v>2022007802</v>
          </cell>
          <cell r="E816">
            <v>2201010964</v>
          </cell>
          <cell r="F816" t="str">
            <v>B-Tech CSE (SPL)-VI N</v>
          </cell>
          <cell r="G816" t="str">
            <v>Bachelor of Technology</v>
          </cell>
          <cell r="H816" t="str">
            <v>2022007802.ravi@ug.sharda.ac.in</v>
          </cell>
          <cell r="I816" t="str">
            <v>2022007802.dilip@pt.sharda.ac.in</v>
          </cell>
          <cell r="J816" t="str">
            <v>6201671366</v>
          </cell>
          <cell r="K816" t="str">
            <v>CSE- IOT &amp; Application</v>
          </cell>
          <cell r="L816" t="str">
            <v>Software Developer</v>
          </cell>
        </row>
        <row r="817">
          <cell r="D817">
            <v>2022008050</v>
          </cell>
          <cell r="E817">
            <v>2201010966</v>
          </cell>
          <cell r="F817" t="str">
            <v>B-Tech CSE (SPL)-VI N</v>
          </cell>
          <cell r="G817" t="str">
            <v>Bachelor of Technology</v>
          </cell>
          <cell r="H817" t="str">
            <v>2022008050.chandan@ug.sharda.ac.in</v>
          </cell>
          <cell r="I817" t="str">
            <v>2022008050.satyanarayan@pt.sharda.ac.in</v>
          </cell>
          <cell r="J817" t="str">
            <v>7319619584</v>
          </cell>
          <cell r="K817" t="str">
            <v>CSE- IOT &amp; Application</v>
          </cell>
          <cell r="L817" t="str">
            <v>Software Developer</v>
          </cell>
        </row>
        <row r="818">
          <cell r="D818">
            <v>2022008126</v>
          </cell>
          <cell r="E818">
            <v>2201010969</v>
          </cell>
          <cell r="F818" t="str">
            <v>B-Tech CSE (SPL)-VI N</v>
          </cell>
          <cell r="G818" t="str">
            <v>Bachelor of Technology</v>
          </cell>
          <cell r="H818" t="str">
            <v>2022008126.harsh@ug.sharda.ac.in</v>
          </cell>
          <cell r="I818" t="str">
            <v>2022008126.satyendra@pt.sharda.ac.in</v>
          </cell>
          <cell r="J818" t="str">
            <v>8588830775</v>
          </cell>
          <cell r="K818" t="str">
            <v>CSE- IOT &amp; Application</v>
          </cell>
          <cell r="L818" t="str">
            <v>Software Developer</v>
          </cell>
        </row>
        <row r="819">
          <cell r="D819">
            <v>2022008263</v>
          </cell>
          <cell r="E819">
            <v>2201010973</v>
          </cell>
          <cell r="F819" t="str">
            <v>B-Tech CSE (SPL)-VI N</v>
          </cell>
          <cell r="G819" t="str">
            <v>Bachelor of Technology</v>
          </cell>
          <cell r="H819" t="str">
            <v>2022008263.ayaz@ug.sharda.ac.in</v>
          </cell>
          <cell r="I819" t="str">
            <v>2022008263.neyaz@pt.sharda.ac.in</v>
          </cell>
          <cell r="J819" t="str">
            <v>6201810484</v>
          </cell>
          <cell r="K819" t="str">
            <v>CSE- IOT &amp; Application</v>
          </cell>
          <cell r="L819" t="str">
            <v>Software Developer</v>
          </cell>
        </row>
        <row r="820">
          <cell r="D820">
            <v>2022619784</v>
          </cell>
          <cell r="E820">
            <v>2201010976</v>
          </cell>
          <cell r="F820" t="str">
            <v>B-Tech CSE (SPL)-VI N</v>
          </cell>
          <cell r="G820" t="str">
            <v>Bachelor of Technology</v>
          </cell>
          <cell r="H820" t="str">
            <v>2022619784.sanjeet@ug.sharda.ac.in</v>
          </cell>
          <cell r="I820" t="str">
            <v>2022619784.rajesh@pt.sharda.ac.in</v>
          </cell>
          <cell r="J820" t="str">
            <v>8397998514</v>
          </cell>
          <cell r="K820" t="str">
            <v>CSE- IOT &amp; Application</v>
          </cell>
          <cell r="L820" t="str">
            <v>Software Developer</v>
          </cell>
        </row>
        <row r="821">
          <cell r="D821">
            <v>2022306619</v>
          </cell>
          <cell r="E821">
            <v>2201010044</v>
          </cell>
          <cell r="F821" t="str">
            <v>B-Tech CSE (SPL)-VI N</v>
          </cell>
          <cell r="G821" t="str">
            <v>Bachelor of Technology</v>
          </cell>
          <cell r="H821" t="str">
            <v>2022306619.aditya@ug.sharda.ac.in</v>
          </cell>
          <cell r="I821" t="str">
            <v>2022306619.naresh@pt.sharda.ac.in</v>
          </cell>
          <cell r="J821" t="str">
            <v>9012412091</v>
          </cell>
          <cell r="K821" t="str">
            <v>CSE-Cloud Tech &amp; Virtualiz-AWS</v>
          </cell>
          <cell r="L821" t="str">
            <v>Software Developer</v>
          </cell>
        </row>
        <row r="822">
          <cell r="D822">
            <v>2022005043</v>
          </cell>
          <cell r="E822">
            <v>2201010054</v>
          </cell>
          <cell r="F822" t="str">
            <v>B-Tech CSE (SPL)-VI N</v>
          </cell>
          <cell r="G822" t="str">
            <v>Bachelor of Technology</v>
          </cell>
          <cell r="H822" t="str">
            <v>2022005043.aftab@ug.sharda.ac.in</v>
          </cell>
          <cell r="I822" t="str">
            <v>2022005043.nazar@pt.sharda.ac.in</v>
          </cell>
          <cell r="J822" t="str">
            <v>8810741139</v>
          </cell>
          <cell r="K822" t="str">
            <v>CSE-Cloud Tech &amp; Virtualiz-AWS</v>
          </cell>
          <cell r="L822" t="str">
            <v>Full Stack Developer(Spring Boot)</v>
          </cell>
        </row>
        <row r="823">
          <cell r="D823">
            <v>2022006195</v>
          </cell>
          <cell r="E823">
            <v>2201010089</v>
          </cell>
          <cell r="F823" t="str">
            <v>B-Tech CSE (SPL)-VI N</v>
          </cell>
          <cell r="G823" t="str">
            <v>Bachelor of Technology</v>
          </cell>
          <cell r="H823" t="str">
            <v>2022006195.anjali@ug.sharda.ac.in</v>
          </cell>
          <cell r="I823" t="str">
            <v>2022006195.narendra@pt.sharda.ac.in</v>
          </cell>
          <cell r="J823" t="str">
            <v>9696884367</v>
          </cell>
          <cell r="K823" t="str">
            <v>CSE-Cloud Tech &amp; Virtualiz-AWS</v>
          </cell>
          <cell r="L823" t="str">
            <v>Testing Engineer</v>
          </cell>
        </row>
        <row r="824">
          <cell r="D824">
            <v>2022569459</v>
          </cell>
          <cell r="E824">
            <v>2201010117</v>
          </cell>
          <cell r="F824" t="str">
            <v>B-Tech CSE (SPL)-VI N</v>
          </cell>
          <cell r="G824" t="str">
            <v>Bachelor of Technology</v>
          </cell>
          <cell r="H824" t="str">
            <v>2022569459.anvi@ug.sharda.ac.in</v>
          </cell>
          <cell r="I824" t="str">
            <v>2022569459.ajit@pt.sharda.ac.in</v>
          </cell>
          <cell r="J824" t="str">
            <v>8920845321</v>
          </cell>
          <cell r="K824" t="str">
            <v>CSE-Cloud Tech &amp; Virtualiz-AWS</v>
          </cell>
          <cell r="L824" t="str">
            <v>Software Developer</v>
          </cell>
        </row>
        <row r="825">
          <cell r="D825">
            <v>2022006607</v>
          </cell>
          <cell r="E825">
            <v>2201010137</v>
          </cell>
          <cell r="F825" t="str">
            <v>B-Tech CSE (SPL)-VI N</v>
          </cell>
          <cell r="G825" t="str">
            <v>Bachelor of Technology</v>
          </cell>
          <cell r="H825" t="str">
            <v>2022006607.arya@ug.sharda.ac.in</v>
          </cell>
          <cell r="I825" t="str">
            <v>2022006607.rakesh@pt.sharda.ac.in</v>
          </cell>
          <cell r="J825" t="str">
            <v>9799499841</v>
          </cell>
          <cell r="K825" t="str">
            <v>CSE-Cloud Tech &amp; Virtualiz-AWS</v>
          </cell>
          <cell r="L825" t="str">
            <v>Software Developer</v>
          </cell>
        </row>
        <row r="826">
          <cell r="D826">
            <v>2022394539</v>
          </cell>
          <cell r="E826">
            <v>2201010148</v>
          </cell>
          <cell r="F826" t="str">
            <v>B-Tech CSE (SPL)-VI N</v>
          </cell>
          <cell r="G826" t="str">
            <v>Bachelor of Technology</v>
          </cell>
          <cell r="H826" t="str">
            <v>2022394539.aryan@ug.sharda.ac.in</v>
          </cell>
          <cell r="I826" t="str">
            <v>2022394539.ranjitbahadur@pt.sharda.ac.in</v>
          </cell>
          <cell r="J826" t="str">
            <v>7518474249</v>
          </cell>
          <cell r="K826" t="str">
            <v>CSE-Cloud Tech &amp; Virtualiz-AWS</v>
          </cell>
          <cell r="L826" t="str">
            <v>Cloud Engineer</v>
          </cell>
        </row>
        <row r="827">
          <cell r="D827">
            <v>2022330517</v>
          </cell>
          <cell r="E827">
            <v>2201010212</v>
          </cell>
          <cell r="F827" t="str">
            <v>B-Tech CSE (SPL)-VI N</v>
          </cell>
          <cell r="G827" t="str">
            <v>Bachelor of Technology</v>
          </cell>
          <cell r="H827" t="str">
            <v>2022330517.devanshi@ug.sharda.ac.in</v>
          </cell>
          <cell r="I827" t="str">
            <v>2022330517.ajay@pt.sharda.ac.in</v>
          </cell>
          <cell r="J827" t="str">
            <v>9899576127</v>
          </cell>
          <cell r="K827" t="str">
            <v>CSE-Cloud Tech &amp; Virtualiz-AWS</v>
          </cell>
          <cell r="L827" t="str">
            <v>Cloud Engineer</v>
          </cell>
        </row>
        <row r="828">
          <cell r="D828">
            <v>2022560746</v>
          </cell>
          <cell r="E828">
            <v>2201010219</v>
          </cell>
          <cell r="F828" t="str">
            <v>B-Tech CSE (SPL)-VI N</v>
          </cell>
          <cell r="G828" t="str">
            <v>Bachelor of Technology</v>
          </cell>
          <cell r="H828" t="str">
            <v>2022560746.dhruv@ug.sharda.ac.in</v>
          </cell>
          <cell r="I828" t="str">
            <v>2022560746.amit@pt.sharda.ac.in</v>
          </cell>
          <cell r="J828" t="str">
            <v>9990955789</v>
          </cell>
          <cell r="K828" t="str">
            <v>CSE-Cloud Tech &amp; Virtualiz-AWS</v>
          </cell>
          <cell r="L828" t="str">
            <v>Software Developer</v>
          </cell>
        </row>
        <row r="829">
          <cell r="D829">
            <v>2022004439</v>
          </cell>
          <cell r="E829">
            <v>2201010221</v>
          </cell>
          <cell r="F829" t="str">
            <v>B-Tech CSE (SPL)-VI N</v>
          </cell>
          <cell r="G829" t="str">
            <v>Bachelor of Technology</v>
          </cell>
          <cell r="H829" t="str">
            <v>2022004439.diksha@ug.sharda.ac.in</v>
          </cell>
          <cell r="I829" t="str">
            <v>2022004439.dharmendra@pt.sharda.ac.in</v>
          </cell>
          <cell r="J829" t="str">
            <v>7827340464</v>
          </cell>
          <cell r="K829" t="str">
            <v>CSE-Cloud Tech &amp; Virtualiz-AWS</v>
          </cell>
          <cell r="L829" t="str">
            <v>Cloud Engineer</v>
          </cell>
        </row>
        <row r="830">
          <cell r="D830">
            <v>2022514043</v>
          </cell>
          <cell r="E830">
            <v>2201010390</v>
          </cell>
          <cell r="F830" t="str">
            <v>B-Tech CSE (SPL)-VI N</v>
          </cell>
          <cell r="G830" t="str">
            <v>Bachelor of Technology</v>
          </cell>
          <cell r="H830" t="str">
            <v>2022514043.md@ug.sharda.ac.in</v>
          </cell>
          <cell r="I830" t="str">
            <v>2022514043.mdabdul@pt.sharda.ac.in</v>
          </cell>
          <cell r="J830" t="str">
            <v>6204221292</v>
          </cell>
          <cell r="K830" t="str">
            <v>CSE-Cloud Tech &amp; Virtualiz-AWS</v>
          </cell>
          <cell r="L830" t="str">
            <v>Full Stack Developer(Spring Boot)</v>
          </cell>
        </row>
        <row r="831">
          <cell r="D831">
            <v>2022514039</v>
          </cell>
          <cell r="E831">
            <v>2201010393</v>
          </cell>
          <cell r="F831" t="str">
            <v>B-Tech CSE (SPL)-VI N</v>
          </cell>
          <cell r="G831" t="str">
            <v>Bachelor of Technology</v>
          </cell>
          <cell r="H831" t="str">
            <v>2022514039.md@ug.sharda.ac.in</v>
          </cell>
          <cell r="I831" t="str">
            <v>2022514039.mdsabir@pt.sharda.ac.in</v>
          </cell>
          <cell r="J831" t="str">
            <v>8102469069</v>
          </cell>
          <cell r="K831" t="str">
            <v>CSE-Cloud Tech &amp; Virtualiz-AWS</v>
          </cell>
          <cell r="L831" t="str">
            <v>Full Stack Developer(Spring Boot)</v>
          </cell>
        </row>
        <row r="832">
          <cell r="D832">
            <v>2022489962</v>
          </cell>
          <cell r="E832">
            <v>2201010519</v>
          </cell>
          <cell r="F832" t="str">
            <v>B-Tech CSE (SPL)-VI N</v>
          </cell>
          <cell r="G832" t="str">
            <v>Bachelor of Technology</v>
          </cell>
          <cell r="H832" t="str">
            <v>2022489962.pratham@ug.sharda.ac.in</v>
          </cell>
          <cell r="I832" t="str">
            <v>2022489962.pawan@pt.sharda.ac.in</v>
          </cell>
          <cell r="J832" t="str">
            <v>9660745615</v>
          </cell>
          <cell r="K832" t="str">
            <v>CSE-Cloud Tech &amp; Virtualiz-AWS</v>
          </cell>
          <cell r="L832" t="str">
            <v>Cloud Engineer</v>
          </cell>
        </row>
        <row r="833">
          <cell r="D833">
            <v>2022307728</v>
          </cell>
          <cell r="E833">
            <v>2201010544</v>
          </cell>
          <cell r="F833" t="str">
            <v>B-Tech CSE (SPL)-VI N</v>
          </cell>
          <cell r="G833" t="str">
            <v>Bachelor of Technology</v>
          </cell>
          <cell r="H833" t="str">
            <v>2022307728.rahul@ug.sharda.ac.in</v>
          </cell>
          <cell r="I833" t="str">
            <v>2022307728.manoj@pt.sharda.ac.in</v>
          </cell>
          <cell r="J833" t="str">
            <v>7014710520</v>
          </cell>
          <cell r="K833" t="str">
            <v>CSE-Cloud Tech &amp; Virtualiz-AWS</v>
          </cell>
          <cell r="L833" t="str">
            <v>Cloud Engineer</v>
          </cell>
        </row>
        <row r="834">
          <cell r="D834">
            <v>2022316318</v>
          </cell>
          <cell r="E834">
            <v>2201010765</v>
          </cell>
          <cell r="F834" t="str">
            <v>B-Tech CSE (SPL)-VI N</v>
          </cell>
          <cell r="G834" t="str">
            <v>Bachelor of Technology</v>
          </cell>
          <cell r="H834" t="str">
            <v>2022316318.utkarsh@ug.sharda.ac.in</v>
          </cell>
          <cell r="I834" t="str">
            <v>2022316318.ajay@pt.sharda.ac.in</v>
          </cell>
          <cell r="J834" t="str">
            <v>8076065892</v>
          </cell>
          <cell r="K834" t="str">
            <v>CSE-Cloud Tech &amp; Virtualiz-AWS</v>
          </cell>
          <cell r="L834" t="str">
            <v>Full Stack Developer(Spring Boot)</v>
          </cell>
        </row>
        <row r="835">
          <cell r="D835">
            <v>2022005003</v>
          </cell>
          <cell r="E835">
            <v>2201010795</v>
          </cell>
          <cell r="F835" t="str">
            <v>B-Tech CSE (SPL)-VI N</v>
          </cell>
          <cell r="G835" t="str">
            <v>Bachelor of Technology</v>
          </cell>
          <cell r="H835" t="str">
            <v>2022005003.vishal@ug.sharda.ac.in</v>
          </cell>
          <cell r="I835" t="str">
            <v>2022005003.amarpal@pt.sharda.ac.in</v>
          </cell>
          <cell r="J835" t="str">
            <v>7060296200</v>
          </cell>
          <cell r="K835" t="str">
            <v>CSE-Cloud Tech &amp; Virtualiz-AWS</v>
          </cell>
          <cell r="L835" t="str">
            <v>Cloud Engineer</v>
          </cell>
        </row>
        <row r="836">
          <cell r="D836">
            <v>2022007017</v>
          </cell>
          <cell r="E836">
            <v>2201010351</v>
          </cell>
          <cell r="F836" t="str">
            <v>B-Tech CSE (SPL)-VI N</v>
          </cell>
          <cell r="G836" t="str">
            <v>Bachelor of Technology</v>
          </cell>
          <cell r="H836" t="str">
            <v>2022007017.kushagra@ug.sharda.ac.in</v>
          </cell>
          <cell r="I836" t="str">
            <v>2022007017.arvind@pt.sharda.ac.in</v>
          </cell>
          <cell r="J836" t="str">
            <v>8273492667</v>
          </cell>
          <cell r="K836" t="str">
            <v>CSE-Cyber &amp; Forensic-MicroSoft</v>
          </cell>
          <cell r="L836" t="str">
            <v>Full Stack Developer(Spring Boot)</v>
          </cell>
        </row>
        <row r="837">
          <cell r="D837">
            <v>2022001453</v>
          </cell>
          <cell r="E837">
            <v>2201010766</v>
          </cell>
          <cell r="F837" t="str">
            <v>B-Tech CSE (SPL)-VI N</v>
          </cell>
          <cell r="G837" t="str">
            <v>Bachelor of Technology</v>
          </cell>
          <cell r="H837" t="str">
            <v>2022001453.utkarsh@ug.sharda.ac.in</v>
          </cell>
          <cell r="I837" t="str">
            <v>2022001453.avniprakash@pt.sharda.ac.in</v>
          </cell>
          <cell r="J837" t="str">
            <v>8700859728</v>
          </cell>
          <cell r="K837" t="str">
            <v>CSE-Cyber &amp; Forensic-MicroSoft</v>
          </cell>
          <cell r="L837" t="str">
            <v>Software Developer</v>
          </cell>
        </row>
        <row r="838">
          <cell r="D838">
            <v>2022007457</v>
          </cell>
          <cell r="E838">
            <v>2201010980</v>
          </cell>
          <cell r="F838" t="str">
            <v>B-Tech CSE (SPL)-VI N</v>
          </cell>
          <cell r="G838" t="str">
            <v>Bachelor of Technology</v>
          </cell>
          <cell r="H838" t="str">
            <v>2022007457.gaurav@ug.sharda.ac.in</v>
          </cell>
          <cell r="I838" t="str">
            <v>2022007457.bobish@pt.sharda.ac.in</v>
          </cell>
          <cell r="J838" t="str">
            <v>6284437406</v>
          </cell>
          <cell r="K838" t="str">
            <v>CSE-Cyber &amp; Forensic-MicroSoft</v>
          </cell>
          <cell r="L838" t="str">
            <v>Full Stack Developer(Spring Boot)</v>
          </cell>
        </row>
        <row r="839">
          <cell r="D839">
            <v>2022006824</v>
          </cell>
          <cell r="E839">
            <v>2201010093</v>
          </cell>
          <cell r="F839" t="str">
            <v>B-Tech CSE (SPL)-VI O</v>
          </cell>
          <cell r="G839" t="str">
            <v>Bachelor of Technology</v>
          </cell>
          <cell r="H839" t="str">
            <v>2022006824.ankit@ug.sharda.ac.in</v>
          </cell>
          <cell r="I839" t="str">
            <v>2022006824.yashpalsingh@pt.sharda.ac.in</v>
          </cell>
          <cell r="J839" t="str">
            <v>7073975568</v>
          </cell>
          <cell r="K839" t="str">
            <v>B.Tech (CSE - Block Chain)</v>
          </cell>
          <cell r="L839" t="str">
            <v>Cyber Security Analyst</v>
          </cell>
        </row>
        <row r="840">
          <cell r="D840">
            <v>2022351697</v>
          </cell>
          <cell r="E840">
            <v>2201010373</v>
          </cell>
          <cell r="F840" t="str">
            <v>B-Tech CSE (SPL)-VI O</v>
          </cell>
          <cell r="G840" t="str">
            <v>Bachelor of Technology</v>
          </cell>
          <cell r="H840" t="str">
            <v>2022351697.manish@ug.sharda.ac.in</v>
          </cell>
          <cell r="I840" t="str">
            <v>2022351697.ramsamujh@pt.sharda.ac.in</v>
          </cell>
          <cell r="J840" t="str">
            <v>8851337530</v>
          </cell>
          <cell r="K840" t="str">
            <v>B.Tech (CSE - Block Chain)</v>
          </cell>
          <cell r="L840" t="e">
            <v>#N/A</v>
          </cell>
        </row>
        <row r="841">
          <cell r="D841">
            <v>2022833430</v>
          </cell>
          <cell r="E841">
            <v>2201010479</v>
          </cell>
          <cell r="F841" t="str">
            <v>B-Tech CSE (SPL)-VI O</v>
          </cell>
          <cell r="G841" t="str">
            <v>Bachelor of Technology</v>
          </cell>
          <cell r="H841" t="str">
            <v>2022833430.nishchal@ug.sharda.ac.in</v>
          </cell>
          <cell r="I841" t="str">
            <v>2022833430.bharat@pt.sharda.ac.in</v>
          </cell>
          <cell r="J841" t="str">
            <v>977 9829876303</v>
          </cell>
          <cell r="K841" t="str">
            <v>B.Tech (CSE - Block Chain)</v>
          </cell>
          <cell r="L841" t="str">
            <v>Cyber Security Analyst</v>
          </cell>
        </row>
        <row r="842">
          <cell r="D842">
            <v>2022360934</v>
          </cell>
          <cell r="E842">
            <v>2201010784</v>
          </cell>
          <cell r="F842" t="str">
            <v>B-Tech CSE (SPL)-VI O</v>
          </cell>
          <cell r="G842" t="str">
            <v>Bachelor of Technology</v>
          </cell>
          <cell r="H842" t="str">
            <v>2022360934.veeragoni@ug.sharda.ac.in</v>
          </cell>
          <cell r="I842" t="str">
            <v>2022360934.ramesh@pt.sharda.ac.in</v>
          </cell>
          <cell r="J842" t="str">
            <v>9441140429</v>
          </cell>
          <cell r="K842" t="str">
            <v>B.Tech (CSE - Block Chain)</v>
          </cell>
          <cell r="L842" t="str">
            <v>Full Stack Developer(MERN Stack)</v>
          </cell>
        </row>
        <row r="843">
          <cell r="D843">
            <v>2021407901</v>
          </cell>
          <cell r="E843">
            <v>210101360</v>
          </cell>
          <cell r="F843" t="str">
            <v>B-Tech CSE (SPL)-VI O</v>
          </cell>
          <cell r="G843" t="str">
            <v>Bachelor of Technology</v>
          </cell>
          <cell r="H843" t="str">
            <v>2021407901.prakhar@ug.sharda.ac.in</v>
          </cell>
          <cell r="I843" t="str">
            <v>2021407901.surendrakumar@pt.sharda.ac.in</v>
          </cell>
          <cell r="J843" t="str">
            <v>7739004556</v>
          </cell>
          <cell r="K843" t="str">
            <v>CS - AI&amp; Machine Learning</v>
          </cell>
          <cell r="L843" t="str">
            <v>Software Developer</v>
          </cell>
        </row>
        <row r="844">
          <cell r="D844">
            <v>2021307894</v>
          </cell>
          <cell r="E844">
            <v>210101395</v>
          </cell>
          <cell r="F844" t="str">
            <v>B-Tech CSE (SPL)-VI O</v>
          </cell>
          <cell r="G844" t="str">
            <v>Bachelor of Technology</v>
          </cell>
          <cell r="H844" t="str">
            <v>2021307894.rishav@ug.sharda.ac.in</v>
          </cell>
          <cell r="I844" t="str">
            <v>2021307894.nandkishor@pt.sharda.ac.in</v>
          </cell>
          <cell r="J844" t="str">
            <v>8235811688</v>
          </cell>
          <cell r="K844" t="str">
            <v>CS - AI&amp; Machine Learning</v>
          </cell>
          <cell r="L844" t="str">
            <v>Software Developer</v>
          </cell>
        </row>
        <row r="845">
          <cell r="D845">
            <v>2022490456</v>
          </cell>
          <cell r="E845">
            <v>2201010214</v>
          </cell>
          <cell r="F845" t="str">
            <v>B-Tech CSE (SPL)-VI O</v>
          </cell>
          <cell r="G845" t="str">
            <v>Bachelor of Technology</v>
          </cell>
          <cell r="H845" t="str">
            <v>2022490456.devendra@ug.sharda.ac.in</v>
          </cell>
          <cell r="I845" t="str">
            <v>2022490456.mukesh@pt.sharda.ac.in</v>
          </cell>
          <cell r="J845" t="str">
            <v>8279366087</v>
          </cell>
          <cell r="K845" t="str">
            <v>CS - AI&amp; Machine Learning</v>
          </cell>
          <cell r="L845" t="str">
            <v>Machine Learning Engineer</v>
          </cell>
        </row>
        <row r="846">
          <cell r="D846">
            <v>2022003855</v>
          </cell>
          <cell r="E846">
            <v>2201010516</v>
          </cell>
          <cell r="F846" t="str">
            <v>B-Tech CSE (SPL)-VI O</v>
          </cell>
          <cell r="G846" t="str">
            <v>Bachelor of Technology</v>
          </cell>
          <cell r="H846" t="str">
            <v>2022003855.prateek@ug.sharda.ac.in</v>
          </cell>
          <cell r="I846" t="str">
            <v>2022003855.raj@pt.sharda.ac.in</v>
          </cell>
          <cell r="J846" t="str">
            <v>9528854788</v>
          </cell>
          <cell r="K846" t="str">
            <v>CS - AI&amp; Machine Learning</v>
          </cell>
          <cell r="L846" t="str">
            <v>Software Developer</v>
          </cell>
        </row>
        <row r="847">
          <cell r="D847">
            <v>2022006315</v>
          </cell>
          <cell r="E847">
            <v>2201010791</v>
          </cell>
          <cell r="F847" t="str">
            <v>B-Tech CSE (SPL)-VI O</v>
          </cell>
          <cell r="G847" t="str">
            <v>Bachelor of Technology</v>
          </cell>
          <cell r="H847" t="str">
            <v>2022006315.vinay@ug.sharda.ac.in</v>
          </cell>
          <cell r="I847" t="str">
            <v>2022006315.manveer@pt.sharda.ac.in</v>
          </cell>
          <cell r="J847" t="str">
            <v>8178506757</v>
          </cell>
          <cell r="K847" t="str">
            <v>CS - AI&amp; Machine Learning</v>
          </cell>
          <cell r="L847" t="str">
            <v>Software Developer</v>
          </cell>
        </row>
        <row r="848">
          <cell r="D848">
            <v>2022505539</v>
          </cell>
          <cell r="E848">
            <v>2201010124</v>
          </cell>
          <cell r="F848" t="str">
            <v>B-Tech CSE (SPL)-VI O</v>
          </cell>
          <cell r="G848" t="str">
            <v>Bachelor of Technology</v>
          </cell>
          <cell r="H848" t="str">
            <v>2022505539.arfat@ug.sharda.ac.in</v>
          </cell>
          <cell r="I848" t="str">
            <v>2022505539.jawed@pt.sharda.ac.in</v>
          </cell>
          <cell r="J848" t="str">
            <v>9304239117</v>
          </cell>
          <cell r="K848" t="str">
            <v>CSE- Data Science</v>
          </cell>
          <cell r="L848" t="str">
            <v>Data Scientist</v>
          </cell>
        </row>
        <row r="849">
          <cell r="D849">
            <v>2022307102</v>
          </cell>
          <cell r="E849">
            <v>2201010145</v>
          </cell>
          <cell r="F849" t="str">
            <v>B-Tech CSE (SPL)-VI O</v>
          </cell>
          <cell r="G849" t="str">
            <v>Bachelor of Technology</v>
          </cell>
          <cell r="H849" t="str">
            <v>2022307102.aryan@ug.sharda.ac.in</v>
          </cell>
          <cell r="I849" t="str">
            <v>2022307102.raj@pt.sharda.ac.in</v>
          </cell>
          <cell r="J849" t="str">
            <v>9971160270</v>
          </cell>
          <cell r="K849" t="str">
            <v>CSE-Cloud Tech &amp; Virtualiz-AWS</v>
          </cell>
          <cell r="L849" t="str">
            <v>Cloud Engineer</v>
          </cell>
        </row>
        <row r="850">
          <cell r="D850">
            <v>2022004886</v>
          </cell>
          <cell r="E850">
            <v>2201010218</v>
          </cell>
          <cell r="F850" t="str">
            <v>B-Tech CSE (SPL)-VI O</v>
          </cell>
          <cell r="G850" t="str">
            <v>Bachelor of Technology</v>
          </cell>
          <cell r="H850" t="str">
            <v>2022004886.dhruv@ug.sharda.ac.in</v>
          </cell>
          <cell r="I850" t="str">
            <v>2022004886.shankar@pt.sharda.ac.in</v>
          </cell>
          <cell r="J850" t="str">
            <v>6399197791</v>
          </cell>
          <cell r="K850" t="str">
            <v>CSE-Cloud Tech &amp; Virtualiz-AWS</v>
          </cell>
          <cell r="L850" t="str">
            <v>Cloud Engineer</v>
          </cell>
        </row>
        <row r="851">
          <cell r="D851">
            <v>2022494267</v>
          </cell>
          <cell r="E851">
            <v>2201010473</v>
          </cell>
          <cell r="F851" t="str">
            <v>B-Tech CSE (SPL)-VI O</v>
          </cell>
          <cell r="G851" t="str">
            <v>Bachelor of Technology</v>
          </cell>
          <cell r="H851" t="str">
            <v>2022494267.nikil@ug.sharda.ac.in</v>
          </cell>
          <cell r="I851" t="str">
            <v>2022494267.surender@pt.sharda.ac.in</v>
          </cell>
          <cell r="J851" t="str">
            <v>8708066339</v>
          </cell>
          <cell r="K851" t="str">
            <v>CSE-Cloud Tech &amp; Virtualiz-AWS</v>
          </cell>
          <cell r="L851" t="str">
            <v>Cloud Engineer</v>
          </cell>
        </row>
        <row r="852">
          <cell r="D852">
            <v>2022006280</v>
          </cell>
          <cell r="E852">
            <v>2201010577</v>
          </cell>
          <cell r="F852" t="str">
            <v>B-Tech CSE (SPL)-VI O</v>
          </cell>
          <cell r="G852" t="str">
            <v>Bachelor of Technology</v>
          </cell>
          <cell r="H852" t="str">
            <v>2022006280.rishav@ug.sharda.ac.in</v>
          </cell>
          <cell r="I852" t="str">
            <v>2022006280.rakesh@pt.sharda.ac.in</v>
          </cell>
          <cell r="J852" t="str">
            <v>9306769854</v>
          </cell>
          <cell r="K852" t="str">
            <v>CSE-Cloud Tech &amp; Virtualiz-AWS</v>
          </cell>
          <cell r="L852" t="e">
            <v>#N/A</v>
          </cell>
        </row>
        <row r="853">
          <cell r="D853">
            <v>2022447868</v>
          </cell>
          <cell r="E853">
            <v>2201010637</v>
          </cell>
          <cell r="F853" t="str">
            <v>B-Tech CSE (SPL)-VI O</v>
          </cell>
          <cell r="G853" t="str">
            <v>Bachelor of Technology</v>
          </cell>
          <cell r="H853" t="str">
            <v>2022447868.saransh@ug.sharda.ac.in</v>
          </cell>
          <cell r="I853" t="str">
            <v>2022447868.amit@pt.sharda.ac.in</v>
          </cell>
          <cell r="J853" t="str">
            <v>8920237799</v>
          </cell>
          <cell r="K853" t="str">
            <v>CSE-Cloud Tech &amp; Virtualiz-AWS</v>
          </cell>
          <cell r="L853" t="str">
            <v>Cloud Engineer</v>
          </cell>
        </row>
        <row r="854">
          <cell r="D854">
            <v>2022400313</v>
          </cell>
          <cell r="E854">
            <v>2201010683</v>
          </cell>
          <cell r="F854" t="str">
            <v>B-Tech CSE (SPL)-VI O</v>
          </cell>
          <cell r="G854" t="str">
            <v>Bachelor of Technology</v>
          </cell>
          <cell r="H854" t="str">
            <v>2022400313.shrey@ug.sharda.ac.in</v>
          </cell>
          <cell r="I854" t="str">
            <v>2022400313.bhuwanchandra@pt.sharda.ac.in</v>
          </cell>
          <cell r="J854" t="str">
            <v>8923808666</v>
          </cell>
          <cell r="K854" t="str">
            <v>CSE-Cloud Tech &amp; Virtualiz-AWS</v>
          </cell>
          <cell r="L854" t="str">
            <v>Cloud Engineer</v>
          </cell>
        </row>
        <row r="855">
          <cell r="D855">
            <v>2022006905</v>
          </cell>
          <cell r="E855">
            <v>2201010691</v>
          </cell>
          <cell r="F855" t="str">
            <v>B-Tech CSE (SPL)-VI O</v>
          </cell>
          <cell r="G855" t="str">
            <v>Bachelor of Technology</v>
          </cell>
          <cell r="H855" t="str">
            <v>2022006905.shubham@ug.sharda.ac.in</v>
          </cell>
          <cell r="I855" t="str">
            <v>2022006905.nikhilkumar@pt.sharda.ac.in</v>
          </cell>
          <cell r="J855" t="str">
            <v>8797601432</v>
          </cell>
          <cell r="K855" t="str">
            <v>CSE-Cloud Tech &amp; Virtualiz-AWS</v>
          </cell>
          <cell r="L855" t="e">
            <v>#N/A</v>
          </cell>
        </row>
        <row r="856">
          <cell r="D856">
            <v>2022007628</v>
          </cell>
          <cell r="E856">
            <v>2201010978</v>
          </cell>
          <cell r="F856" t="str">
            <v>B-Tech CSE (SPL)-VI O</v>
          </cell>
          <cell r="G856" t="str">
            <v>Bachelor of Technology</v>
          </cell>
          <cell r="H856" t="str">
            <v>2022007628.bhagrajyoti@ug.sharda.ac.in</v>
          </cell>
          <cell r="I856" t="str">
            <v>2022007628.bhagaban@pt.sharda.ac.in</v>
          </cell>
          <cell r="J856" t="str">
            <v>9668119938</v>
          </cell>
          <cell r="K856" t="str">
            <v>CSE-Cloud Tech &amp; Virtualiz-AWS</v>
          </cell>
          <cell r="L856" t="str">
            <v>Cloud Engineer</v>
          </cell>
        </row>
        <row r="857">
          <cell r="D857">
            <v>2021455216</v>
          </cell>
          <cell r="E857">
            <v>210101098</v>
          </cell>
          <cell r="F857" t="str">
            <v>B-Tech CSE (SPL)-VI O</v>
          </cell>
          <cell r="G857" t="str">
            <v>Bachelor of Technology</v>
          </cell>
          <cell r="H857" t="str">
            <v>2021455216.anurag@ug.sharda.ac.in</v>
          </cell>
          <cell r="I857" t="str">
            <v>2021455216.praduman@pt.sharda.ac.in</v>
          </cell>
          <cell r="J857" t="str">
            <v>6394708696</v>
          </cell>
          <cell r="K857" t="str">
            <v>CSE-Cyber &amp; Forensic-MicroSoft</v>
          </cell>
          <cell r="L857" t="e">
            <v>#N/A</v>
          </cell>
        </row>
        <row r="858">
          <cell r="D858">
            <v>2022006231</v>
          </cell>
          <cell r="E858">
            <v>2201010016</v>
          </cell>
          <cell r="F858" t="str">
            <v>B-Tech CSE (SPL)-VI O</v>
          </cell>
          <cell r="G858" t="str">
            <v>Bachelor of Technology</v>
          </cell>
          <cell r="H858" t="str">
            <v>2022006231.abhay@ug.sharda.ac.in</v>
          </cell>
          <cell r="I858" t="str">
            <v>2022006231.balramsingh@pt.sharda.ac.in</v>
          </cell>
          <cell r="J858" t="str">
            <v>9719703744</v>
          </cell>
          <cell r="K858" t="str">
            <v>CSE-Cyber &amp; Forensic-MicroSoft</v>
          </cell>
          <cell r="L858" t="str">
            <v>Cyber Security Analyst</v>
          </cell>
        </row>
        <row r="859">
          <cell r="D859">
            <v>2022473539</v>
          </cell>
          <cell r="E859">
            <v>2201010019</v>
          </cell>
          <cell r="F859" t="str">
            <v>B-Tech CSE (SPL)-VI O</v>
          </cell>
          <cell r="G859" t="str">
            <v>Bachelor of Technology</v>
          </cell>
          <cell r="H859" t="str">
            <v>2022473539.abhinav@ug.sharda.ac.in</v>
          </cell>
          <cell r="I859" t="str">
            <v>2022473539.pramod@pt.sharda.ac.in</v>
          </cell>
          <cell r="J859" t="str">
            <v>9905835444</v>
          </cell>
          <cell r="K859" t="str">
            <v>CSE-Cyber &amp; Forensic-MicroSoft</v>
          </cell>
          <cell r="L859" t="str">
            <v>Cyber Security Analyst</v>
          </cell>
        </row>
        <row r="860">
          <cell r="D860">
            <v>2022405514</v>
          </cell>
          <cell r="E860">
            <v>2201010031</v>
          </cell>
          <cell r="F860" t="str">
            <v>B-Tech CSE (SPL)-VI O</v>
          </cell>
          <cell r="G860" t="str">
            <v>Bachelor of Technology</v>
          </cell>
          <cell r="H860" t="str">
            <v>2022405514.adarsh@ug.sharda.ac.in</v>
          </cell>
          <cell r="I860" t="str">
            <v>2022405514.amarnath@pt.sharda.ac.in</v>
          </cell>
          <cell r="J860" t="str">
            <v>8580626956</v>
          </cell>
          <cell r="K860" t="str">
            <v>CSE-Cyber &amp; Forensic-MicroSoft</v>
          </cell>
          <cell r="L860" t="str">
            <v>Cyber Security Analyst</v>
          </cell>
        </row>
        <row r="861">
          <cell r="D861">
            <v>2022310618</v>
          </cell>
          <cell r="E861">
            <v>2201010037</v>
          </cell>
          <cell r="F861" t="str">
            <v>B-Tech CSE (SPL)-VI O</v>
          </cell>
          <cell r="G861" t="str">
            <v>Bachelor of Technology</v>
          </cell>
          <cell r="H861" t="str">
            <v>2022310618.aditi@ug.sharda.ac.in</v>
          </cell>
          <cell r="I861" t="str">
            <v>2022310618.rakesh@pt.sharda.ac.in</v>
          </cell>
          <cell r="J861" t="str">
            <v>9978033818</v>
          </cell>
          <cell r="K861" t="str">
            <v>CSE-Cyber &amp; Forensic-MicroSoft</v>
          </cell>
          <cell r="L861" t="str">
            <v>Cyber Security Analyst</v>
          </cell>
        </row>
        <row r="862">
          <cell r="D862">
            <v>2022484226</v>
          </cell>
          <cell r="E862">
            <v>2201010040</v>
          </cell>
          <cell r="F862" t="str">
            <v>B-Tech CSE (SPL)-VI O</v>
          </cell>
          <cell r="G862" t="str">
            <v>Bachelor of Technology</v>
          </cell>
          <cell r="H862" t="str">
            <v>2022484226.aditya@ug.sharda.ac.in</v>
          </cell>
          <cell r="I862" t="str">
            <v>2022484226.kamal@pt.sharda.ac.in</v>
          </cell>
          <cell r="J862" t="str">
            <v>8218815598</v>
          </cell>
          <cell r="K862" t="str">
            <v>CSE-Cyber &amp; Forensic-MicroSoft</v>
          </cell>
          <cell r="L862" t="str">
            <v>Cyber Security Analyst</v>
          </cell>
        </row>
        <row r="863">
          <cell r="D863">
            <v>2022474671</v>
          </cell>
          <cell r="E863">
            <v>2201010057</v>
          </cell>
          <cell r="F863" t="str">
            <v>B-Tech CSE (SPL)-VI O</v>
          </cell>
          <cell r="G863" t="str">
            <v>Bachelor of Technology</v>
          </cell>
          <cell r="H863" t="str">
            <v>2022474671.ajay@ug.sharda.ac.in</v>
          </cell>
          <cell r="I863" t="str">
            <v>2022474671.bhurendrasingh@pt.sharda.ac.in</v>
          </cell>
          <cell r="J863" t="str">
            <v>7042072258</v>
          </cell>
          <cell r="K863" t="str">
            <v>CSE-Cyber &amp; Forensic-MicroSoft</v>
          </cell>
          <cell r="L863" t="str">
            <v>Cyber Security Analyst</v>
          </cell>
        </row>
        <row r="864">
          <cell r="D864">
            <v>2022447404</v>
          </cell>
          <cell r="E864">
            <v>2201010072</v>
          </cell>
          <cell r="F864" t="str">
            <v>B-Tech CSE (SPL)-VI O</v>
          </cell>
          <cell r="G864" t="str">
            <v>Bachelor of Technology</v>
          </cell>
          <cell r="H864" t="str">
            <v>2022447404.alok@ug.sharda.ac.in</v>
          </cell>
          <cell r="I864" t="str">
            <v>2022447404.mithileshkumar@pt.sharda.ac.in</v>
          </cell>
          <cell r="J864" t="str">
            <v>8127629484</v>
          </cell>
          <cell r="K864" t="str">
            <v>CSE-Cyber &amp; Forensic-MicroSoft</v>
          </cell>
          <cell r="L864" t="str">
            <v>Cyber Security Analyst</v>
          </cell>
        </row>
        <row r="865">
          <cell r="D865">
            <v>2022466374</v>
          </cell>
          <cell r="E865">
            <v>2201010142</v>
          </cell>
          <cell r="F865" t="str">
            <v>B-Tech CSE (SPL)-VI O</v>
          </cell>
          <cell r="G865" t="str">
            <v>Bachelor of Technology</v>
          </cell>
          <cell r="H865" t="str">
            <v>2022466374.aryan@ug.sharda.ac.in</v>
          </cell>
          <cell r="I865" t="str">
            <v>2022466374.mahesh@pt.sharda.ac.in</v>
          </cell>
          <cell r="J865" t="str">
            <v>9818831158</v>
          </cell>
          <cell r="K865" t="str">
            <v>CSE-Cyber &amp; Forensic-MicroSoft</v>
          </cell>
          <cell r="L865" t="e">
            <v>#N/A</v>
          </cell>
        </row>
        <row r="866">
          <cell r="D866">
            <v>2022440656</v>
          </cell>
          <cell r="E866">
            <v>2201010143</v>
          </cell>
          <cell r="F866" t="str">
            <v>B-Tech CSE (SPL)-VI O</v>
          </cell>
          <cell r="G866" t="str">
            <v>Bachelor of Technology</v>
          </cell>
          <cell r="H866" t="str">
            <v>2022440656.aryan@ug.sharda.ac.in</v>
          </cell>
          <cell r="I866" t="str">
            <v>2022440656.santosh@pt.sharda.ac.in</v>
          </cell>
          <cell r="J866" t="str">
            <v>7835818206</v>
          </cell>
          <cell r="K866" t="str">
            <v>CSE-Cyber &amp; Forensic-MicroSoft</v>
          </cell>
          <cell r="L866" t="str">
            <v>Cyber Security Analyst</v>
          </cell>
        </row>
        <row r="867">
          <cell r="D867">
            <v>2022005319</v>
          </cell>
          <cell r="E867">
            <v>2201010173</v>
          </cell>
          <cell r="F867" t="str">
            <v>B-Tech CSE (SPL)-VI O</v>
          </cell>
          <cell r="G867" t="str">
            <v>Bachelor of Technology</v>
          </cell>
          <cell r="H867" t="str">
            <v>2022005319.ayush@ug.sharda.ac.in</v>
          </cell>
          <cell r="I867" t="str">
            <v>2022005319.biran@pt.sharda.ac.in</v>
          </cell>
          <cell r="J867" t="str">
            <v>7668136378</v>
          </cell>
          <cell r="K867" t="str">
            <v>CSE-Cyber &amp; Forensic-MicroSoft</v>
          </cell>
          <cell r="L867" t="str">
            <v>Cyber Security Analyst</v>
          </cell>
        </row>
        <row r="868">
          <cell r="D868">
            <v>2022003898</v>
          </cell>
          <cell r="E868">
            <v>2201010198</v>
          </cell>
          <cell r="F868" t="str">
            <v>B-Tech CSE (SPL)-VI O</v>
          </cell>
          <cell r="G868" t="str">
            <v>Bachelor of Technology</v>
          </cell>
          <cell r="H868" t="str">
            <v>2022003898.dakshesh@ug.sharda.ac.in</v>
          </cell>
          <cell r="I868" t="str">
            <v>2022003898.dayanand@pt.sharda.ac.in</v>
          </cell>
          <cell r="J868" t="str">
            <v>7409881779</v>
          </cell>
          <cell r="K868" t="str">
            <v>CSE-Cyber &amp; Forensic-MicroSoft</v>
          </cell>
          <cell r="L868" t="str">
            <v>Cyber Security Analyst</v>
          </cell>
        </row>
        <row r="869">
          <cell r="D869">
            <v>2022512685</v>
          </cell>
          <cell r="E869">
            <v>2201010230</v>
          </cell>
          <cell r="F869" t="str">
            <v>B-Tech CSE (SPL)-VI O</v>
          </cell>
          <cell r="G869" t="str">
            <v>Bachelor of Technology</v>
          </cell>
          <cell r="H869" t="str">
            <v>2022512685.diwakar@ug.sharda.ac.in</v>
          </cell>
          <cell r="I869" t="str">
            <v>2022512685.shrikrishan@pt.sharda.ac.in</v>
          </cell>
          <cell r="J869" t="str">
            <v>8700257114</v>
          </cell>
          <cell r="K869" t="str">
            <v>CSE-Cyber &amp; Forensic-MicroSoft</v>
          </cell>
          <cell r="L869" t="str">
            <v>Cyber Security Analyst</v>
          </cell>
        </row>
        <row r="870">
          <cell r="D870">
            <v>2022407190</v>
          </cell>
          <cell r="E870">
            <v>2201010232</v>
          </cell>
          <cell r="F870" t="str">
            <v>B-Tech CSE (SPL)-VI O</v>
          </cell>
          <cell r="G870" t="str">
            <v>Bachelor of Technology</v>
          </cell>
          <cell r="H870" t="str">
            <v>2022407190.dushyant@ug.sharda.ac.in</v>
          </cell>
          <cell r="I870" t="str">
            <v>2022407190.ranveer@pt.sharda.ac.in</v>
          </cell>
          <cell r="J870" t="str">
            <v>8077399196</v>
          </cell>
          <cell r="K870" t="str">
            <v>CSE-Cyber &amp; Forensic-MicroSoft</v>
          </cell>
          <cell r="L870" t="str">
            <v>Cyber Security Analyst</v>
          </cell>
        </row>
        <row r="871">
          <cell r="D871">
            <v>2022498160</v>
          </cell>
          <cell r="E871">
            <v>2201010240</v>
          </cell>
          <cell r="F871" t="str">
            <v>B-Tech CSE (SPL)-VI O</v>
          </cell>
          <cell r="G871" t="str">
            <v>Bachelor of Technology</v>
          </cell>
          <cell r="H871" t="str">
            <v>2022498160.gagandeep@ug.sharda.ac.in</v>
          </cell>
          <cell r="I871" t="str">
            <v>2022498160.harjeetsingh@pt.sharda.ac.in</v>
          </cell>
          <cell r="J871" t="str">
            <v>9650920970</v>
          </cell>
          <cell r="K871" t="str">
            <v>CSE-Cyber &amp; Forensic-MicroSoft</v>
          </cell>
          <cell r="L871" t="e">
            <v>#N/A</v>
          </cell>
        </row>
        <row r="872">
          <cell r="D872">
            <v>2022319788</v>
          </cell>
          <cell r="E872">
            <v>2201010248</v>
          </cell>
          <cell r="F872" t="str">
            <v>B-Tech CSE (SPL)-VI O</v>
          </cell>
          <cell r="G872" t="str">
            <v>Bachelor of Technology</v>
          </cell>
          <cell r="H872" t="str">
            <v>2022319788.gauri@ug.sharda.ac.in</v>
          </cell>
          <cell r="I872" t="str">
            <v>2022319788.sant@pt.sharda.ac.in</v>
          </cell>
          <cell r="J872" t="str">
            <v>9058990024</v>
          </cell>
          <cell r="K872" t="str">
            <v>CSE-Cyber &amp; Forensic-MicroSoft</v>
          </cell>
          <cell r="L872" t="str">
            <v>Cyber Security Analyst</v>
          </cell>
        </row>
        <row r="873">
          <cell r="D873">
            <v>2022395985</v>
          </cell>
          <cell r="E873">
            <v>2201010258</v>
          </cell>
          <cell r="F873" t="str">
            <v>B-Tech CSE (SPL)-VI O</v>
          </cell>
          <cell r="G873" t="str">
            <v>Bachelor of Technology</v>
          </cell>
          <cell r="H873" t="str">
            <v>2022395985.hamzah@ug.sharda.ac.in</v>
          </cell>
          <cell r="I873" t="str">
            <v>2022395985.mohammadmahmoodur@pt.sharda.ac.in</v>
          </cell>
          <cell r="J873" t="str">
            <v>9013131486</v>
          </cell>
          <cell r="K873" t="str">
            <v>CSE-Cyber &amp; Forensic-MicroSoft</v>
          </cell>
          <cell r="L873" t="str">
            <v>Cyber Security Analyst</v>
          </cell>
        </row>
        <row r="874">
          <cell r="D874">
            <v>2022552126</v>
          </cell>
          <cell r="E874">
            <v>2201010260</v>
          </cell>
          <cell r="F874" t="str">
            <v>B-Tech CSE (SPL)-VI O</v>
          </cell>
          <cell r="G874" t="str">
            <v>Bachelor of Technology</v>
          </cell>
          <cell r="H874" t="str">
            <v>2022552126.hardik@ug.sharda.ac.in</v>
          </cell>
          <cell r="I874" t="str">
            <v>2022552126.umeshkumar@pt.sharda.ac.in</v>
          </cell>
          <cell r="J874" t="str">
            <v>9131912850</v>
          </cell>
          <cell r="K874" t="str">
            <v>CSE-Cyber &amp; Forensic-MicroSoft</v>
          </cell>
          <cell r="L874" t="e">
            <v>#N/A</v>
          </cell>
        </row>
        <row r="875">
          <cell r="D875">
            <v>2022508051</v>
          </cell>
          <cell r="E875">
            <v>2201010301</v>
          </cell>
          <cell r="F875" t="str">
            <v>B-Tech CSE (SPL)-VI O</v>
          </cell>
          <cell r="G875" t="str">
            <v>Bachelor of Technology</v>
          </cell>
          <cell r="H875" t="str">
            <v>2022508051.jatin@ug.sharda.ac.in</v>
          </cell>
          <cell r="I875" t="str">
            <v>2022508051.harish@pt.sharda.ac.in</v>
          </cell>
          <cell r="J875" t="str">
            <v>7048926901</v>
          </cell>
          <cell r="K875" t="str">
            <v>CSE-Cyber &amp; Forensic-MicroSoft</v>
          </cell>
          <cell r="L875" t="e">
            <v>#N/A</v>
          </cell>
        </row>
        <row r="876">
          <cell r="D876">
            <v>2022346529</v>
          </cell>
          <cell r="E876">
            <v>2201010324</v>
          </cell>
          <cell r="F876" t="str">
            <v>B-Tech CSE (SPL)-VI O</v>
          </cell>
          <cell r="G876" t="str">
            <v>Bachelor of Technology</v>
          </cell>
          <cell r="H876" t="str">
            <v>2022346529.kashvi@ug.sharda.ac.in</v>
          </cell>
          <cell r="I876" t="str">
            <v>2022346529.jatinder@pt.sharda.ac.in</v>
          </cell>
          <cell r="J876" t="str">
            <v>9315770446</v>
          </cell>
          <cell r="K876" t="str">
            <v>CSE-Cyber &amp; Forensic-MicroSoft</v>
          </cell>
          <cell r="L876" t="str">
            <v>Cyber Security Analyst</v>
          </cell>
        </row>
        <row r="877">
          <cell r="D877">
            <v>2022806985</v>
          </cell>
          <cell r="E877">
            <v>2201010394</v>
          </cell>
          <cell r="F877" t="str">
            <v>B-Tech CSE (SPL)-VI O</v>
          </cell>
          <cell r="G877" t="str">
            <v>Bachelor of Technology</v>
          </cell>
          <cell r="H877" t="str">
            <v>2022806985.md@ug.sharda.ac.in</v>
          </cell>
          <cell r="I877" t="str">
            <v>2022806985.mdnazibun@pt.sharda.ac.in</v>
          </cell>
          <cell r="J877" t="str">
            <v>91 8373929452</v>
          </cell>
          <cell r="K877" t="str">
            <v>CSE-Cyber &amp; Forensic-MicroSoft</v>
          </cell>
          <cell r="L877" t="str">
            <v>Cyber Security Analyst</v>
          </cell>
        </row>
        <row r="878">
          <cell r="D878">
            <v>2022476924</v>
          </cell>
          <cell r="E878">
            <v>2201010449</v>
          </cell>
          <cell r="F878" t="str">
            <v>B-Tech CSE (SPL)-VI O</v>
          </cell>
          <cell r="G878" t="str">
            <v>Bachelor of Technology</v>
          </cell>
          <cell r="H878" t="str">
            <v>2022476924.mukund@ug.sharda.ac.in</v>
          </cell>
          <cell r="I878" t="str">
            <v>2022476924.manojkumar@pt.sharda.ac.in</v>
          </cell>
          <cell r="J878" t="str">
            <v>8178902122</v>
          </cell>
          <cell r="K878" t="str">
            <v>CSE-Cyber &amp; Forensic-MicroSoft</v>
          </cell>
          <cell r="L878" t="str">
            <v>Cyber Security Analyst</v>
          </cell>
        </row>
        <row r="879">
          <cell r="D879">
            <v>2022004628</v>
          </cell>
          <cell r="E879">
            <v>2201010465</v>
          </cell>
          <cell r="F879" t="str">
            <v>B-Tech CSE (SPL)-VI O</v>
          </cell>
          <cell r="G879" t="str">
            <v>Bachelor of Technology</v>
          </cell>
          <cell r="H879" t="str">
            <v>2022004628.neeraj@ug.sharda.ac.in</v>
          </cell>
          <cell r="I879" t="str">
            <v>2022004628.bijender@pt.sharda.ac.in</v>
          </cell>
          <cell r="J879" t="str">
            <v>8392911095</v>
          </cell>
          <cell r="K879" t="str">
            <v>CSE-Cyber &amp; Forensic-MicroSoft</v>
          </cell>
          <cell r="L879" t="str">
            <v>Cyber Security Analyst</v>
          </cell>
        </row>
        <row r="880">
          <cell r="D880">
            <v>2022515845</v>
          </cell>
          <cell r="E880">
            <v>2201010470</v>
          </cell>
          <cell r="F880" t="str">
            <v>B-Tech CSE (SPL)-VI O</v>
          </cell>
          <cell r="G880" t="str">
            <v>Bachelor of Technology</v>
          </cell>
          <cell r="H880" t="str">
            <v>2022515845.nikhil@ug.sharda.ac.in</v>
          </cell>
          <cell r="I880" t="str">
            <v>2022515845.raj@pt.sharda.ac.in</v>
          </cell>
          <cell r="J880" t="str">
            <v>7461897975</v>
          </cell>
          <cell r="K880" t="str">
            <v>CSE-Cyber &amp; Forensic-MicroSoft</v>
          </cell>
          <cell r="L880" t="e">
            <v>#N/A</v>
          </cell>
        </row>
        <row r="881">
          <cell r="D881">
            <v>2022512684</v>
          </cell>
          <cell r="E881">
            <v>2201010493</v>
          </cell>
          <cell r="F881" t="str">
            <v>B-Tech CSE (SPL)-VI O</v>
          </cell>
          <cell r="G881" t="str">
            <v>Bachelor of Technology</v>
          </cell>
          <cell r="H881" t="str">
            <v>2022512684.pallawi@ug.sharda.ac.in</v>
          </cell>
          <cell r="I881" t="str">
            <v>2022512684.sunil@pt.sharda.ac.in</v>
          </cell>
          <cell r="J881" t="str">
            <v>6200216118</v>
          </cell>
          <cell r="K881" t="str">
            <v>CSE-Cyber &amp; Forensic-MicroSoft</v>
          </cell>
          <cell r="L881" t="str">
            <v>Cyber Security Analyst</v>
          </cell>
        </row>
        <row r="882">
          <cell r="D882">
            <v>2022313141</v>
          </cell>
          <cell r="E882">
            <v>2201010511</v>
          </cell>
          <cell r="F882" t="str">
            <v>B-Tech CSE (SPL)-VI O</v>
          </cell>
          <cell r="G882" t="str">
            <v>Bachelor of Technology</v>
          </cell>
          <cell r="H882" t="str">
            <v>2022313141.pranaav@ug.sharda.ac.in</v>
          </cell>
          <cell r="I882" t="str">
            <v>2022313141.anant@pt.sharda.ac.in</v>
          </cell>
          <cell r="J882" t="str">
            <v>8383822875</v>
          </cell>
          <cell r="K882" t="str">
            <v>CSE-Cyber &amp; Forensic-MicroSoft</v>
          </cell>
          <cell r="L882" t="str">
            <v>Cyber Security Analyst</v>
          </cell>
        </row>
        <row r="883">
          <cell r="D883">
            <v>2022482472</v>
          </cell>
          <cell r="E883">
            <v>2201010542</v>
          </cell>
          <cell r="F883" t="str">
            <v>B-Tech CSE (SPL)-VI O</v>
          </cell>
          <cell r="G883" t="str">
            <v>Bachelor of Technology</v>
          </cell>
          <cell r="H883" t="str">
            <v>2022482472.raghvendra@ug.sharda.ac.in</v>
          </cell>
          <cell r="I883" t="str">
            <v>2022482472.neeraj@pt.sharda.ac.in</v>
          </cell>
          <cell r="J883" t="str">
            <v>9761024443</v>
          </cell>
          <cell r="K883" t="str">
            <v>CSE-Cyber &amp; Forensic-MicroSoft</v>
          </cell>
          <cell r="L883" t="str">
            <v>Cyber Security Analyst</v>
          </cell>
        </row>
        <row r="884">
          <cell r="D884">
            <v>2022005894</v>
          </cell>
          <cell r="E884">
            <v>2201010554</v>
          </cell>
          <cell r="F884" t="str">
            <v>B-Tech CSE (SPL)-VI O</v>
          </cell>
          <cell r="G884" t="str">
            <v>Bachelor of Technology</v>
          </cell>
          <cell r="H884" t="str">
            <v>2022005894.rajeev@ug.sharda.ac.in</v>
          </cell>
          <cell r="I884" t="str">
            <v>2022005894.ram@pt.sharda.ac.in</v>
          </cell>
          <cell r="J884" t="str">
            <v>9557413527</v>
          </cell>
          <cell r="K884" t="str">
            <v>CSE-Cyber &amp; Forensic-MicroSoft</v>
          </cell>
          <cell r="L884" t="str">
            <v>Cyber Security Analyst</v>
          </cell>
        </row>
        <row r="885">
          <cell r="D885">
            <v>2022506566</v>
          </cell>
          <cell r="E885">
            <v>2201010610</v>
          </cell>
          <cell r="F885" t="str">
            <v>B-Tech CSE (SPL)-VI O</v>
          </cell>
          <cell r="G885" t="str">
            <v>Bachelor of Technology</v>
          </cell>
          <cell r="H885" t="str">
            <v>2022506566.sahaam@ug.sharda.ac.in</v>
          </cell>
          <cell r="I885" t="str">
            <v>2022506566.javid@pt.sharda.ac.in</v>
          </cell>
          <cell r="J885" t="str">
            <v>9682559445</v>
          </cell>
          <cell r="K885" t="str">
            <v>CSE-Cyber &amp; Forensic-MicroSoft</v>
          </cell>
          <cell r="L885" t="str">
            <v>Cyber Security Analyst</v>
          </cell>
        </row>
        <row r="886">
          <cell r="D886">
            <v>2022509145</v>
          </cell>
          <cell r="E886">
            <v>2201010627</v>
          </cell>
          <cell r="F886" t="str">
            <v>B-Tech CSE (SPL)-VI O</v>
          </cell>
          <cell r="G886" t="str">
            <v>Bachelor of Technology</v>
          </cell>
          <cell r="H886" t="str">
            <v>2022509145.sameer@ug.sharda.ac.in</v>
          </cell>
          <cell r="I886" t="str">
            <v>2022509145.ravinkumar@pt.sharda.ac.in</v>
          </cell>
          <cell r="J886" t="str">
            <v>7976692104</v>
          </cell>
          <cell r="K886" t="str">
            <v>CSE-Cyber &amp; Forensic-MicroSoft</v>
          </cell>
          <cell r="L886" t="str">
            <v>Cyber Security Analyst</v>
          </cell>
        </row>
        <row r="887">
          <cell r="D887">
            <v>2022001202</v>
          </cell>
          <cell r="E887">
            <v>2201010640</v>
          </cell>
          <cell r="F887" t="str">
            <v>B-Tech CSE (SPL)-VI O</v>
          </cell>
          <cell r="G887" t="str">
            <v>Bachelor of Technology</v>
          </cell>
          <cell r="H887" t="str">
            <v>2022001202.sarthak@ug.sharda.ac.in</v>
          </cell>
          <cell r="I887" t="str">
            <v>2022001202.sunil@pt.sharda.ac.in</v>
          </cell>
          <cell r="J887" t="str">
            <v>9870627396</v>
          </cell>
          <cell r="K887" t="str">
            <v>CSE-Cyber &amp; Forensic-MicroSoft</v>
          </cell>
          <cell r="L887" t="str">
            <v>Full Stack Developer(Spring Boot)</v>
          </cell>
        </row>
        <row r="888">
          <cell r="D888">
            <v>2022005556</v>
          </cell>
          <cell r="E888">
            <v>2201010703</v>
          </cell>
          <cell r="F888" t="str">
            <v>B-Tech CSE (SPL)-VI O</v>
          </cell>
          <cell r="G888" t="str">
            <v>Bachelor of Technology</v>
          </cell>
          <cell r="H888" t="str">
            <v>2022005556.sneha@ug.sharda.ac.in</v>
          </cell>
          <cell r="I888" t="str">
            <v>2022005556.raju@pt.sharda.ac.in</v>
          </cell>
          <cell r="J888" t="str">
            <v>8178185712</v>
          </cell>
          <cell r="K888" t="str">
            <v>CSE-Cyber &amp; Forensic-MicroSoft</v>
          </cell>
          <cell r="L888" t="str">
            <v>Cyber Security Analyst</v>
          </cell>
        </row>
        <row r="889">
          <cell r="D889">
            <v>2022350649</v>
          </cell>
          <cell r="E889">
            <v>2201010714</v>
          </cell>
          <cell r="F889" t="str">
            <v>B-Tech CSE (SPL)-VI O</v>
          </cell>
          <cell r="G889" t="str">
            <v>Bachelor of Technology</v>
          </cell>
          <cell r="H889" t="str">
            <v>2022350649.sourabh@ug.sharda.ac.in</v>
          </cell>
          <cell r="I889" t="str">
            <v>2022350649.vinesh@pt.sharda.ac.in</v>
          </cell>
          <cell r="J889" t="str">
            <v>8700131913</v>
          </cell>
          <cell r="K889" t="str">
            <v>CSE-Cyber &amp; Forensic-MicroSoft</v>
          </cell>
          <cell r="L889" t="str">
            <v>Cyber Security Analyst</v>
          </cell>
        </row>
        <row r="890">
          <cell r="D890">
            <v>2022817674</v>
          </cell>
          <cell r="E890">
            <v>2201010752</v>
          </cell>
          <cell r="F890" t="str">
            <v>B-Tech CSE (SPL)-VI O</v>
          </cell>
          <cell r="G890" t="str">
            <v>Bachelor of Technology</v>
          </cell>
          <cell r="H890" t="str">
            <v>2022817674.thirtho@ug.sharda.ac.in</v>
          </cell>
          <cell r="I890" t="str">
            <v>2022817674.goutam@pt.sharda.ac.in</v>
          </cell>
          <cell r="J890" t="str">
            <v>91 8807035586</v>
          </cell>
          <cell r="K890" t="str">
            <v>CSE-Cyber &amp; Forensic-MicroSoft</v>
          </cell>
          <cell r="L890" t="e">
            <v>#N/A</v>
          </cell>
        </row>
        <row r="891">
          <cell r="D891">
            <v>2022439682</v>
          </cell>
          <cell r="E891">
            <v>2201010753</v>
          </cell>
          <cell r="F891" t="str">
            <v>B-Tech CSE (SPL)-VI O</v>
          </cell>
          <cell r="G891" t="str">
            <v>Bachelor of Technology</v>
          </cell>
          <cell r="H891" t="str">
            <v>2022439682.tridev@ug.sharda.ac.in</v>
          </cell>
          <cell r="I891" t="str">
            <v>2022439682.harish@pt.sharda.ac.in</v>
          </cell>
          <cell r="J891" t="str">
            <v>8368763690</v>
          </cell>
          <cell r="K891" t="str">
            <v>CSE-Cyber &amp; Forensic-MicroSoft</v>
          </cell>
          <cell r="L891" t="str">
            <v>Cyber Security Analyst</v>
          </cell>
        </row>
        <row r="892">
          <cell r="D892">
            <v>2022006271</v>
          </cell>
          <cell r="E892">
            <v>2201010769</v>
          </cell>
          <cell r="F892" t="str">
            <v>B-Tech CSE (SPL)-VI O</v>
          </cell>
          <cell r="G892" t="str">
            <v>Bachelor of Technology</v>
          </cell>
          <cell r="H892" t="str">
            <v>2022006271.vaibhay@ug.sharda.ac.in</v>
          </cell>
          <cell r="I892" t="str">
            <v>2022006271.pankaj@pt.sharda.ac.in</v>
          </cell>
          <cell r="J892" t="str">
            <v>9717324654</v>
          </cell>
          <cell r="K892" t="str">
            <v>CSE-Cyber &amp; Forensic-MicroSoft</v>
          </cell>
          <cell r="L892" t="str">
            <v>Cyber Security Analyst</v>
          </cell>
        </row>
        <row r="893">
          <cell r="D893">
            <v>2022003490</v>
          </cell>
          <cell r="E893">
            <v>2201010783</v>
          </cell>
          <cell r="F893" t="str">
            <v>B-Tech CSE (SPL)-VI O</v>
          </cell>
          <cell r="G893" t="str">
            <v>Bachelor of Technology</v>
          </cell>
          <cell r="H893" t="str">
            <v>2022003490.vedhanshu@ug.sharda.ac.in</v>
          </cell>
          <cell r="I893" t="str">
            <v>2022003490.puran@pt.sharda.ac.in</v>
          </cell>
          <cell r="J893" t="str">
            <v>9560528411</v>
          </cell>
          <cell r="K893" t="str">
            <v>CSE-Cyber &amp; Forensic-MicroSoft</v>
          </cell>
          <cell r="L893" t="str">
            <v>Cyber Security Analyst</v>
          </cell>
        </row>
        <row r="894">
          <cell r="D894">
            <v>2022492708</v>
          </cell>
          <cell r="E894">
            <v>2201010785</v>
          </cell>
          <cell r="F894" t="str">
            <v>B-Tech CSE (SPL)-VI O</v>
          </cell>
          <cell r="G894" t="str">
            <v>Bachelor of Technology</v>
          </cell>
          <cell r="H894" t="str">
            <v>2022492708.vibhas@ug.sharda.ac.in</v>
          </cell>
          <cell r="I894" t="str">
            <v>2022492708.narayan@pt.sharda.ac.in</v>
          </cell>
          <cell r="J894" t="str">
            <v>8958190636</v>
          </cell>
          <cell r="K894" t="str">
            <v>CSE-Cyber &amp; Forensic-MicroSoft</v>
          </cell>
          <cell r="L894" t="str">
            <v>Cyber Security Analyst</v>
          </cell>
        </row>
        <row r="895">
          <cell r="D895">
            <v>2022801912</v>
          </cell>
          <cell r="E895">
            <v>2201010803</v>
          </cell>
          <cell r="F895" t="str">
            <v>B-Tech CSE (SPL)-VI O</v>
          </cell>
          <cell r="G895" t="str">
            <v>Bachelor of Technology</v>
          </cell>
          <cell r="H895" t="str">
            <v>2022801912.wend-woogaarthurdonald@ug.sharda.ac.in</v>
          </cell>
          <cell r="I895" t="str">
            <v>2022801912.donald@pt.sharda.ac.in</v>
          </cell>
          <cell r="J895" t="str">
            <v>91 7042745832</v>
          </cell>
          <cell r="K895" t="str">
            <v>CSE-Cyber &amp; Forensic-MicroSoft</v>
          </cell>
          <cell r="L895" t="e">
            <v>#N/A</v>
          </cell>
        </row>
        <row r="896">
          <cell r="D896">
            <v>2022805927</v>
          </cell>
          <cell r="E896">
            <v>2201010819</v>
          </cell>
          <cell r="F896" t="str">
            <v>B-Tech CSE (SPL)-VI O</v>
          </cell>
          <cell r="G896" t="str">
            <v>Bachelor of Technology</v>
          </cell>
          <cell r="H896" t="str">
            <v>2022805927.yibo@ug.sharda.ac.in</v>
          </cell>
          <cell r="I896" t="str">
            <v>2022805927.dieudonmeboutoume@pt.sharda.ac.in</v>
          </cell>
          <cell r="J896" t="str">
            <v>9650263495</v>
          </cell>
          <cell r="K896" t="str">
            <v>CSE-Cyber &amp; Forensic-MicroSoft</v>
          </cell>
          <cell r="L896" t="e">
            <v>#N/A</v>
          </cell>
        </row>
        <row r="897">
          <cell r="D897">
            <v>2022387644</v>
          </cell>
          <cell r="E897">
            <v>2201010982</v>
          </cell>
          <cell r="F897" t="str">
            <v>B-Tech CSE (SPL)-VI O</v>
          </cell>
          <cell r="G897" t="str">
            <v>Bachelor of Technology</v>
          </cell>
          <cell r="H897" t="str">
            <v>2022387644.ankit@ug.sharda.ac.in</v>
          </cell>
          <cell r="I897" t="str">
            <v>2022387644.shashibhushanpd@pt.sharda.ac.in</v>
          </cell>
          <cell r="J897" t="str">
            <v>6203014720</v>
          </cell>
          <cell r="K897" t="str">
            <v>CSE-Cyber &amp; Forensic-MicroSoft</v>
          </cell>
          <cell r="L897" t="str">
            <v>Software Developer</v>
          </cell>
        </row>
        <row r="898">
          <cell r="D898">
            <v>2022570125</v>
          </cell>
          <cell r="E898">
            <v>2201010983</v>
          </cell>
          <cell r="F898" t="str">
            <v>B-Tech CSE (SPL)-VI O</v>
          </cell>
          <cell r="G898" t="str">
            <v>Bachelor of Technology</v>
          </cell>
          <cell r="H898" t="str">
            <v>2022570125.khevender@ug.sharda.ac.in</v>
          </cell>
          <cell r="I898" t="str">
            <v>2022570125.prem@pt.sharda.ac.in</v>
          </cell>
          <cell r="J898" t="str">
            <v>9540293925</v>
          </cell>
          <cell r="K898" t="str">
            <v>CSE-Cyber &amp; Forensic-MicroSoft</v>
          </cell>
          <cell r="L898" t="e">
            <v>#N/A</v>
          </cell>
        </row>
        <row r="899">
          <cell r="D899">
            <v>2022572570</v>
          </cell>
          <cell r="E899">
            <v>2201010984</v>
          </cell>
          <cell r="F899" t="str">
            <v>B-Tech CSE (SPL)-VI O</v>
          </cell>
          <cell r="G899" t="str">
            <v>Bachelor of Technology</v>
          </cell>
          <cell r="H899" t="str">
            <v>2022572570.gannon@ug.sharda.ac.in</v>
          </cell>
          <cell r="I899" t="str">
            <v>2022572570.khulkam@pt.sharda.ac.in</v>
          </cell>
          <cell r="J899" t="str">
            <v>8974655610</v>
          </cell>
          <cell r="K899" t="str">
            <v>CSE-Cyber &amp; Forensic-MicroSoft</v>
          </cell>
          <cell r="L899" t="str">
            <v>Cyber Security Analyst</v>
          </cell>
        </row>
        <row r="900">
          <cell r="D900">
            <v>2022836076</v>
          </cell>
          <cell r="E900">
            <v>2201010986</v>
          </cell>
          <cell r="F900" t="str">
            <v>B-Tech CSE (SPL)-VI O</v>
          </cell>
          <cell r="G900" t="str">
            <v>Bachelor of Technology</v>
          </cell>
          <cell r="H900" t="str">
            <v>2022836076.bidhan@ug.sharda.ac.in</v>
          </cell>
          <cell r="I900" t="str">
            <v>2022836076.binod@pt.sharda.ac.in</v>
          </cell>
          <cell r="J900" t="str">
            <v>977 9810532453</v>
          </cell>
          <cell r="K900" t="str">
            <v>CSE-Cyber &amp; Forensic-MicroSoft</v>
          </cell>
          <cell r="L900" t="str">
            <v>Cyber Security Analyst</v>
          </cell>
        </row>
        <row r="901">
          <cell r="D901">
            <v>2022836286</v>
          </cell>
          <cell r="E901">
            <v>2201010987</v>
          </cell>
          <cell r="F901" t="str">
            <v>B-Tech CSE (SPL)-VI O</v>
          </cell>
          <cell r="G901" t="str">
            <v>Bachelor of Technology</v>
          </cell>
          <cell r="H901" t="str">
            <v>2022836286.mdnadim@ug.sharda.ac.in</v>
          </cell>
          <cell r="I901" t="str">
            <v>2022836286.mdabdul@pt.sharda.ac.in</v>
          </cell>
          <cell r="J901" t="str">
            <v>91 9650564200</v>
          </cell>
          <cell r="K901" t="str">
            <v>CSE-Cyber &amp; Forensic-MicroSoft</v>
          </cell>
          <cell r="L901" t="str">
            <v>Cyber Security Analyst</v>
          </cell>
        </row>
        <row r="902">
          <cell r="D902">
            <v>2022837222</v>
          </cell>
          <cell r="E902">
            <v>2201010988</v>
          </cell>
          <cell r="F902" t="str">
            <v>B-Tech CSE (SPL)-VI O</v>
          </cell>
          <cell r="G902" t="str">
            <v>Bachelor of Technology</v>
          </cell>
          <cell r="H902" t="str">
            <v>2022837222.aatithya@ug.sharda.ac.in</v>
          </cell>
          <cell r="I902" t="str">
            <v>2022837222.rajendra@pt.sharda.ac.in</v>
          </cell>
          <cell r="J902" t="str">
            <v>9804150469</v>
          </cell>
          <cell r="K902" t="str">
            <v>CSE-Cyber &amp; Forensic-MicroSoft</v>
          </cell>
          <cell r="L902" t="str">
            <v>Cyber Security Analyst</v>
          </cell>
        </row>
        <row r="903">
          <cell r="D903">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2021455580.aryan@ug.sharda.ac.in" TargetMode="External"/><Relationship Id="rId3" Type="http://schemas.openxmlformats.org/officeDocument/2006/relationships/hyperlink" Target="mailto:2021518169.aman@ug.sharda.ac.in" TargetMode="External"/><Relationship Id="rId7" Type="http://schemas.openxmlformats.org/officeDocument/2006/relationships/hyperlink" Target="mailto:2019005675.tarun@ug.sharda.ac.in" TargetMode="External"/><Relationship Id="rId2" Type="http://schemas.openxmlformats.org/officeDocument/2006/relationships/hyperlink" Target="mailto:2021344584.hasya@ug.sharda.ac.in" TargetMode="External"/><Relationship Id="rId1" Type="http://schemas.openxmlformats.org/officeDocument/2006/relationships/hyperlink" Target="mailto:2021341739.chandra@ug.sharda.ac.in" TargetMode="External"/><Relationship Id="rId6" Type="http://schemas.openxmlformats.org/officeDocument/2006/relationships/hyperlink" Target="mailto:2021476666.aaditya@ug.sharda.ac.in" TargetMode="External"/><Relationship Id="rId5" Type="http://schemas.openxmlformats.org/officeDocument/2006/relationships/hyperlink" Target="mailto:2021407901.prakhar@ug.sharda.ac.in" TargetMode="External"/><Relationship Id="rId4" Type="http://schemas.openxmlformats.org/officeDocument/2006/relationships/hyperlink" Target="mailto:2021369165.moh@ug.sharda.ac.in" TargetMode="External"/><Relationship Id="rId9" Type="http://schemas.openxmlformats.org/officeDocument/2006/relationships/hyperlink" Target="mailto:2021529806.garv@ug.sharda.ac.in"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2021428834.kartik@ug.sharda.ac.in" TargetMode="External"/><Relationship Id="rId13" Type="http://schemas.openxmlformats.org/officeDocument/2006/relationships/hyperlink" Target="mailto:2021341739.chandra@ug.sharda.ac.in" TargetMode="External"/><Relationship Id="rId18" Type="http://schemas.openxmlformats.org/officeDocument/2006/relationships/printerSettings" Target="../printerSettings/printerSettings1.bin"/><Relationship Id="rId3" Type="http://schemas.openxmlformats.org/officeDocument/2006/relationships/hyperlink" Target="mailto:2023205860.niranjan@ug.sharda.ac.in" TargetMode="External"/><Relationship Id="rId7" Type="http://schemas.openxmlformats.org/officeDocument/2006/relationships/hyperlink" Target="mailto:2021316862.aaron@ug.sharda.ac.in" TargetMode="External"/><Relationship Id="rId12" Type="http://schemas.openxmlformats.org/officeDocument/2006/relationships/hyperlink" Target="mailto:2021476666.aaditya@ug.sharda.ac.in" TargetMode="External"/><Relationship Id="rId17" Type="http://schemas.openxmlformats.org/officeDocument/2006/relationships/hyperlink" Target="mailto:2021420120.azeem@ug.sharda.ac.in" TargetMode="External"/><Relationship Id="rId2" Type="http://schemas.openxmlformats.org/officeDocument/2006/relationships/hyperlink" Target="mailto:2023322783.avinash@ug.sharda.ac.in" TargetMode="External"/><Relationship Id="rId16" Type="http://schemas.openxmlformats.org/officeDocument/2006/relationships/hyperlink" Target="mailto:2021369165.moh@ug.sharda.ac.in" TargetMode="External"/><Relationship Id="rId1" Type="http://schemas.openxmlformats.org/officeDocument/2006/relationships/hyperlink" Target="mailto:2022472932.nishant@ug.sharda.ac.in" TargetMode="External"/><Relationship Id="rId6" Type="http://schemas.openxmlformats.org/officeDocument/2006/relationships/hyperlink" Target="mailto:2021369177.aryanshu@ug.sharda.ac.in" TargetMode="External"/><Relationship Id="rId11" Type="http://schemas.openxmlformats.org/officeDocument/2006/relationships/hyperlink" Target="mailto:2021407901.prakhar@ug.sharda.ac.in" TargetMode="External"/><Relationship Id="rId5" Type="http://schemas.openxmlformats.org/officeDocument/2006/relationships/hyperlink" Target="mailto:2021463218.siddharth@ug.sharda.ac.in" TargetMode="External"/><Relationship Id="rId15" Type="http://schemas.openxmlformats.org/officeDocument/2006/relationships/hyperlink" Target="mailto:2021518169.aman@ug.sharda.ac.in" TargetMode="External"/><Relationship Id="rId10" Type="http://schemas.openxmlformats.org/officeDocument/2006/relationships/hyperlink" Target="mailto:2023000910.abhay@ug.sharda.ac.in" TargetMode="External"/><Relationship Id="rId4" Type="http://schemas.openxmlformats.org/officeDocument/2006/relationships/hyperlink" Target="mailto:2023503067.chulbul@ug.sharda.ac.in" TargetMode="External"/><Relationship Id="rId9" Type="http://schemas.openxmlformats.org/officeDocument/2006/relationships/hyperlink" Target="mailto:2021001342.param@ug.sharda.ac.in" TargetMode="External"/><Relationship Id="rId14" Type="http://schemas.openxmlformats.org/officeDocument/2006/relationships/hyperlink" Target="mailto:2021344584.hasya@ug.sharda.ac.in"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2022559432.shubham@ug.sharda.ac.in" TargetMode="External"/><Relationship Id="rId3" Type="http://schemas.openxmlformats.org/officeDocument/2006/relationships/hyperlink" Target="mailto:2021344584.hasya@ug.sharda.ac.in" TargetMode="External"/><Relationship Id="rId7" Type="http://schemas.openxmlformats.org/officeDocument/2006/relationships/hyperlink" Target="mailto:2022006890.shristi@ug.sharda.ac.in" TargetMode="External"/><Relationship Id="rId2" Type="http://schemas.openxmlformats.org/officeDocument/2006/relationships/hyperlink" Target="mailto:2021341739.chandra@ug.sharda.ac.in" TargetMode="External"/><Relationship Id="rId1" Type="http://schemas.openxmlformats.org/officeDocument/2006/relationships/hyperlink" Target="mailto:2019618451.aman@ug.sharda.ac.in" TargetMode="External"/><Relationship Id="rId6" Type="http://schemas.openxmlformats.org/officeDocument/2006/relationships/hyperlink" Target="mailto:2021369165.moh@ug.sharda.ac.in" TargetMode="External"/><Relationship Id="rId5" Type="http://schemas.openxmlformats.org/officeDocument/2006/relationships/hyperlink" Target="mailto:2021476666.aaditya@ug.sharda.ac.in" TargetMode="External"/><Relationship Id="rId4" Type="http://schemas.openxmlformats.org/officeDocument/2006/relationships/hyperlink" Target="mailto:2021407901.prakhar@ug.sharda.ac.in"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hyperlink" Target="mailto:2019618451.aman@ug.sharda.ac.in"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mailto:2021407901.prakhar@ug.sharda.ac.in" TargetMode="External"/><Relationship Id="rId2" Type="http://schemas.openxmlformats.org/officeDocument/2006/relationships/hyperlink" Target="mailto:2021344584.hasya@ug.sharda.ac.in" TargetMode="External"/><Relationship Id="rId1" Type="http://schemas.openxmlformats.org/officeDocument/2006/relationships/hyperlink" Target="mailto:2021341739.chandra@ug.sharda.ac.in"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mailto:2021476666.aaditya@ug.sharda.ac.in"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mailto:2021369165.moh@ug.sharda.ac.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02"/>
  <sheetViews>
    <sheetView topLeftCell="G1" workbookViewId="0">
      <selection activeCell="O64" sqref="A1:O902"/>
    </sheetView>
  </sheetViews>
  <sheetFormatPr defaultRowHeight="14.5"/>
  <cols>
    <col min="2" max="2" width="30.08984375" bestFit="1" customWidth="1"/>
    <col min="3" max="3" width="14.54296875" customWidth="1"/>
    <col min="4" max="4" width="14.36328125" customWidth="1"/>
    <col min="5" max="7" width="20.54296875" customWidth="1"/>
    <col min="8" max="8" width="20.6328125" style="43" customWidth="1"/>
    <col min="9" max="9" width="26.08984375" style="27" customWidth="1"/>
    <col min="10" max="10" width="41.54296875" bestFit="1" customWidth="1"/>
    <col min="11" max="11" width="38.6328125" bestFit="1" customWidth="1"/>
    <col min="12" max="12" width="14.54296875" bestFit="1" customWidth="1"/>
    <col min="13" max="13" width="22.36328125" customWidth="1"/>
    <col min="14" max="14" width="10.36328125" customWidth="1"/>
  </cols>
  <sheetData>
    <row r="1" spans="1:15" ht="37.5">
      <c r="A1" s="1" t="s">
        <v>1</v>
      </c>
      <c r="B1" s="1" t="s">
        <v>2</v>
      </c>
      <c r="C1" s="1" t="s">
        <v>3</v>
      </c>
      <c r="D1" s="1" t="s">
        <v>4</v>
      </c>
      <c r="E1" s="1" t="s">
        <v>1817</v>
      </c>
      <c r="F1" s="1" t="s">
        <v>3681</v>
      </c>
      <c r="G1" s="1" t="s">
        <v>3691</v>
      </c>
      <c r="H1" s="44" t="s">
        <v>3676</v>
      </c>
      <c r="I1" s="42" t="s">
        <v>3677</v>
      </c>
      <c r="J1" s="1" t="s">
        <v>6</v>
      </c>
      <c r="K1" s="1" t="s">
        <v>1819</v>
      </c>
      <c r="L1" s="1" t="s">
        <v>1820</v>
      </c>
      <c r="M1" s="1" t="s">
        <v>7</v>
      </c>
      <c r="O1" s="41" t="s">
        <v>3690</v>
      </c>
    </row>
    <row r="2" spans="1:15">
      <c r="A2" s="17">
        <v>1</v>
      </c>
      <c r="B2" s="17" t="s">
        <v>899</v>
      </c>
      <c r="C2" s="17">
        <v>2021308861</v>
      </c>
      <c r="D2" s="17">
        <v>210101102</v>
      </c>
      <c r="E2" s="17" t="s">
        <v>1801</v>
      </c>
      <c r="F2" s="17" t="e">
        <f>VLOOKUP('2501_MIS '!C2,'[1]Fast Track '!B:K,10,FALSE)</f>
        <v>#N/A</v>
      </c>
      <c r="G2" s="17" t="str">
        <f>VLOOKUP(C2,[2]Sheet7!A:D,4,FALSE)</f>
        <v>Not Promoted</v>
      </c>
      <c r="H2" s="45" t="s">
        <v>3645</v>
      </c>
      <c r="I2" s="26" t="s">
        <v>3647</v>
      </c>
      <c r="J2" s="17" t="s">
        <v>900</v>
      </c>
      <c r="K2" s="17" t="str">
        <f>VLOOKUP(C2,[3]Sheet1!D:J,6,FALSE)</f>
        <v>2021308861.ashutoshkumar@pt.sharda.ac.in</v>
      </c>
      <c r="L2" s="17" t="str">
        <f>VLOOKUP(D2,[3]Sheet1!E:K,6,FALSE)</f>
        <v>9936777552</v>
      </c>
      <c r="M2" s="17" t="s">
        <v>15</v>
      </c>
      <c r="O2" t="e">
        <f>VLOOKUP(C2,#REF!,12,FALSE)</f>
        <v>#REF!</v>
      </c>
    </row>
    <row r="3" spans="1:15">
      <c r="A3" s="17">
        <v>2</v>
      </c>
      <c r="B3" s="17" t="s">
        <v>809</v>
      </c>
      <c r="C3" s="17">
        <v>2021529806</v>
      </c>
      <c r="D3" s="17">
        <v>210101190</v>
      </c>
      <c r="E3" s="17" t="s">
        <v>1801</v>
      </c>
      <c r="F3" s="17" t="e">
        <f>VLOOKUP('2501_MIS '!C3,'[1]Fast Track '!B:K,10,FALSE)</f>
        <v>#N/A</v>
      </c>
      <c r="G3" s="17" t="str">
        <f>VLOOKUP(C3,[2]Sheet7!A:D,4,FALSE)</f>
        <v>Not Promoted</v>
      </c>
      <c r="H3" s="45" t="s">
        <v>3645</v>
      </c>
      <c r="I3" s="26" t="s">
        <v>3647</v>
      </c>
      <c r="J3" s="59" t="s">
        <v>810</v>
      </c>
      <c r="K3" s="17" t="str">
        <f>VLOOKUP(C3,[3]Sheet1!D:J,6,FALSE)</f>
        <v>2021529806.santosh@pt.sharda.ac.in</v>
      </c>
      <c r="L3" s="17" t="str">
        <f>VLOOKUP(D3,[3]Sheet1!E:K,6,FALSE)</f>
        <v>9711552459</v>
      </c>
      <c r="M3" s="17" t="s">
        <v>15</v>
      </c>
      <c r="O3" t="e">
        <f>VLOOKUP(C3,#REF!,12,FALSE)</f>
        <v>#REF!</v>
      </c>
    </row>
    <row r="4" spans="1:15">
      <c r="A4" s="17">
        <v>3</v>
      </c>
      <c r="B4" s="17" t="s">
        <v>901</v>
      </c>
      <c r="C4" s="17">
        <v>2021828405</v>
      </c>
      <c r="D4" s="17">
        <v>210101591</v>
      </c>
      <c r="E4" s="17" t="s">
        <v>1801</v>
      </c>
      <c r="F4" s="17" t="e">
        <f>VLOOKUP('2501_MIS '!C4,'[1]Fast Track '!B:K,10,FALSE)</f>
        <v>#N/A</v>
      </c>
      <c r="G4" s="17" t="str">
        <f>VLOOKUP(C4,[2]Sheet7!A:D,4,FALSE)</f>
        <v>Not Promoted</v>
      </c>
      <c r="H4" s="45" t="s">
        <v>3645</v>
      </c>
      <c r="I4" s="26" t="s">
        <v>3647</v>
      </c>
      <c r="J4" s="17" t="s">
        <v>902</v>
      </c>
      <c r="K4" s="17" t="str">
        <f>VLOOKUP(C4,[3]Sheet1!D:J,6,FALSE)</f>
        <v>2021828405.ramananda@pt.sharda.ac.in</v>
      </c>
      <c r="L4" s="17" t="str">
        <f>VLOOKUP(D4,[3]Sheet1!E:K,6,FALSE)</f>
        <v>8130538380</v>
      </c>
      <c r="M4" s="17" t="s">
        <v>15</v>
      </c>
      <c r="O4" t="e">
        <f>VLOOKUP(C4,#REF!,12,FALSE)</f>
        <v>#REF!</v>
      </c>
    </row>
    <row r="5" spans="1:15">
      <c r="A5" s="17">
        <v>4</v>
      </c>
      <c r="B5" s="17" t="s">
        <v>897</v>
      </c>
      <c r="C5" s="17">
        <v>2021000009</v>
      </c>
      <c r="D5" s="17">
        <v>210121021</v>
      </c>
      <c r="E5" s="17" t="s">
        <v>1801</v>
      </c>
      <c r="F5" s="17" t="e">
        <f>VLOOKUP('2501_MIS '!C5,'[1]Fast Track '!B:K,10,FALSE)</f>
        <v>#N/A</v>
      </c>
      <c r="G5" s="17" t="str">
        <f>VLOOKUP(C5,[2]Sheet7!A:D,4,FALSE)</f>
        <v>Not Promoted</v>
      </c>
      <c r="H5" s="45" t="s">
        <v>3645</v>
      </c>
      <c r="I5" s="26" t="s">
        <v>3647</v>
      </c>
      <c r="J5" s="17" t="s">
        <v>898</v>
      </c>
      <c r="K5" s="17" t="str">
        <f>VLOOKUP(C5,[3]Sheet1!D:J,6,FALSE)</f>
        <v>2021000009.asad@pt.sharda.ac.in</v>
      </c>
      <c r="L5" s="17" t="str">
        <f>VLOOKUP(D5,[3]Sheet1!E:K,6,FALSE)</f>
        <v>9599543010</v>
      </c>
      <c r="M5" s="17" t="s">
        <v>15</v>
      </c>
      <c r="O5" t="e">
        <f>VLOOKUP(C5,#REF!,12,FALSE)</f>
        <v>#REF!</v>
      </c>
    </row>
    <row r="6" spans="1:15">
      <c r="A6" s="17">
        <v>5</v>
      </c>
      <c r="B6" s="17" t="s">
        <v>998</v>
      </c>
      <c r="C6" s="17">
        <v>2022579515</v>
      </c>
      <c r="D6" s="17">
        <v>2201010023</v>
      </c>
      <c r="E6" s="17" t="s">
        <v>1801</v>
      </c>
      <c r="F6" s="17" t="e">
        <f>VLOOKUP('2501_MIS '!C6,'[1]Fast Track '!B:K,10,FALSE)</f>
        <v>#N/A</v>
      </c>
      <c r="G6" s="17" t="str">
        <f>VLOOKUP(C6,[2]Sheet7!A:D,4,FALSE)</f>
        <v>Promoted</v>
      </c>
      <c r="H6" s="45" t="s">
        <v>3645</v>
      </c>
      <c r="I6" s="26" t="s">
        <v>3647</v>
      </c>
      <c r="J6" s="17" t="s">
        <v>999</v>
      </c>
      <c r="K6" s="17" t="str">
        <f>VLOOKUP(C6,[3]Sheet1!D:J,6,FALSE)</f>
        <v>2022579515.vijaykumar@pt.sharda.ac.in</v>
      </c>
      <c r="L6" s="17" t="str">
        <f>VLOOKUP(D6,[3]Sheet1!E:K,6,FALSE)</f>
        <v>8826793887</v>
      </c>
      <c r="M6" s="17" t="s">
        <v>15</v>
      </c>
      <c r="O6" t="e">
        <f>VLOOKUP(C6,#REF!,12,FALSE)</f>
        <v>#REF!</v>
      </c>
    </row>
    <row r="7" spans="1:15">
      <c r="A7" s="17">
        <v>6</v>
      </c>
      <c r="B7" s="17" t="s">
        <v>989</v>
      </c>
      <c r="C7" s="17">
        <v>2022534811</v>
      </c>
      <c r="D7" s="17">
        <v>2201010078</v>
      </c>
      <c r="E7" s="17" t="s">
        <v>1801</v>
      </c>
      <c r="F7" s="17" t="e">
        <f>VLOOKUP('2501_MIS '!C7,'[1]Fast Track '!B:K,10,FALSE)</f>
        <v>#N/A</v>
      </c>
      <c r="G7" s="17" t="str">
        <f>VLOOKUP(C7,[2]Sheet7!A:D,4,FALSE)</f>
        <v>Promoted</v>
      </c>
      <c r="H7" s="45" t="s">
        <v>3645</v>
      </c>
      <c r="I7" s="26" t="s">
        <v>3647</v>
      </c>
      <c r="J7" s="17" t="s">
        <v>990</v>
      </c>
      <c r="K7" s="17" t="str">
        <f>VLOOKUP(C7,[3]Sheet1!D:J,6,FALSE)</f>
        <v>2022534811.rajeshkumar@pt.sharda.ac.in</v>
      </c>
      <c r="L7" s="17" t="str">
        <f>VLOOKUP(D7,[3]Sheet1!E:K,6,FALSE)</f>
        <v>7319641049</v>
      </c>
      <c r="M7" s="17" t="s">
        <v>15</v>
      </c>
      <c r="O7" t="e">
        <f>VLOOKUP(C7,#REF!,12,FALSE)</f>
        <v>#REF!</v>
      </c>
    </row>
    <row r="8" spans="1:15">
      <c r="A8" s="17">
        <v>7</v>
      </c>
      <c r="B8" s="17" t="s">
        <v>957</v>
      </c>
      <c r="C8" s="17">
        <v>2022475156</v>
      </c>
      <c r="D8" s="17">
        <v>2201010099</v>
      </c>
      <c r="E8" s="17" t="s">
        <v>1801</v>
      </c>
      <c r="F8" s="17" t="e">
        <f>VLOOKUP('2501_MIS '!C8,'[1]Fast Track '!B:K,10,FALSE)</f>
        <v>#N/A</v>
      </c>
      <c r="G8" s="17" t="str">
        <f>VLOOKUP(C8,[2]Sheet7!A:D,4,FALSE)</f>
        <v>Promoted</v>
      </c>
      <c r="H8" s="45" t="s">
        <v>3645</v>
      </c>
      <c r="I8" s="26" t="s">
        <v>3647</v>
      </c>
      <c r="J8" s="17" t="s">
        <v>958</v>
      </c>
      <c r="K8" s="17" t="str">
        <f>VLOOKUP(C8,[3]Sheet1!D:J,6,FALSE)</f>
        <v>2022475156.dhananjay@pt.sharda.ac.in</v>
      </c>
      <c r="L8" s="17" t="str">
        <f>VLOOKUP(D8,[3]Sheet1!E:K,6,FALSE)</f>
        <v>8789919805</v>
      </c>
      <c r="M8" s="17" t="s">
        <v>15</v>
      </c>
      <c r="O8" t="e">
        <f>VLOOKUP(C8,#REF!,12,FALSE)</f>
        <v>#REF!</v>
      </c>
    </row>
    <row r="9" spans="1:15">
      <c r="A9" s="17">
        <v>8</v>
      </c>
      <c r="B9" s="17" t="s">
        <v>939</v>
      </c>
      <c r="C9" s="17">
        <v>2022394343</v>
      </c>
      <c r="D9" s="17">
        <v>2201010111</v>
      </c>
      <c r="E9" s="17" t="s">
        <v>1801</v>
      </c>
      <c r="F9" s="17" t="e">
        <f>VLOOKUP('2501_MIS '!C9,'[1]Fast Track '!B:K,10,FALSE)</f>
        <v>#N/A</v>
      </c>
      <c r="G9" s="17" t="str">
        <f>VLOOKUP(C9,[2]Sheet7!A:D,4,FALSE)</f>
        <v>Promoted</v>
      </c>
      <c r="H9" s="45" t="s">
        <v>3645</v>
      </c>
      <c r="I9" s="26" t="s">
        <v>3647</v>
      </c>
      <c r="J9" s="17" t="s">
        <v>940</v>
      </c>
      <c r="K9" s="17" t="str">
        <f>VLOOKUP(C9,[3]Sheet1!D:J,6,FALSE)</f>
        <v>2022394343.anandsingh@pt.sharda.ac.in</v>
      </c>
      <c r="L9" s="17" t="str">
        <f>VLOOKUP(D9,[3]Sheet1!E:K,6,FALSE)</f>
        <v>8126133363</v>
      </c>
      <c r="M9" s="17" t="s">
        <v>15</v>
      </c>
      <c r="O9" t="e">
        <f>VLOOKUP(C9,#REF!,12,FALSE)</f>
        <v>#REF!</v>
      </c>
    </row>
    <row r="10" spans="1:15">
      <c r="A10" s="17">
        <v>9</v>
      </c>
      <c r="B10" s="17" t="s">
        <v>915</v>
      </c>
      <c r="C10" s="17">
        <v>2022006308</v>
      </c>
      <c r="D10" s="17">
        <v>2201010121</v>
      </c>
      <c r="E10" s="17" t="s">
        <v>1801</v>
      </c>
      <c r="F10" s="17" t="e">
        <f>VLOOKUP('2501_MIS '!C10,'[1]Fast Track '!B:K,10,FALSE)</f>
        <v>#N/A</v>
      </c>
      <c r="G10" s="17" t="str">
        <f>VLOOKUP(C10,[2]Sheet7!A:D,4,FALSE)</f>
        <v>Promoted</v>
      </c>
      <c r="H10" s="45" t="s">
        <v>3645</v>
      </c>
      <c r="I10" s="26" t="s">
        <v>3647</v>
      </c>
      <c r="J10" s="17" t="s">
        <v>916</v>
      </c>
      <c r="K10" s="17" t="str">
        <f>VLOOKUP(C10,[3]Sheet1!D:J,6,FALSE)</f>
        <v>2022006308.asad@pt.sharda.ac.in</v>
      </c>
      <c r="L10" s="17" t="str">
        <f>VLOOKUP(D10,[3]Sheet1!E:K,6,FALSE)</f>
        <v>7300577335</v>
      </c>
      <c r="M10" s="17" t="s">
        <v>15</v>
      </c>
      <c r="O10" t="e">
        <f>VLOOKUP(C10,#REF!,12,FALSE)</f>
        <v>#REF!</v>
      </c>
    </row>
    <row r="11" spans="1:15">
      <c r="A11" s="17">
        <v>10</v>
      </c>
      <c r="B11" s="17" t="s">
        <v>951</v>
      </c>
      <c r="C11" s="17">
        <v>2022438604</v>
      </c>
      <c r="D11" s="17">
        <v>2201010162</v>
      </c>
      <c r="E11" s="17" t="s">
        <v>1801</v>
      </c>
      <c r="F11" s="17" t="e">
        <f>VLOOKUP('2501_MIS '!C11,'[1]Fast Track '!B:K,10,FALSE)</f>
        <v>#N/A</v>
      </c>
      <c r="G11" s="17" t="str">
        <f>VLOOKUP(C11,[2]Sheet7!A:D,4,FALSE)</f>
        <v>Promoted</v>
      </c>
      <c r="H11" s="45" t="s">
        <v>3645</v>
      </c>
      <c r="I11" s="26" t="s">
        <v>3647</v>
      </c>
      <c r="J11" s="17" t="s">
        <v>952</v>
      </c>
      <c r="K11" s="17" t="str">
        <f>VLOOKUP(C11,[3]Sheet1!D:J,6,FALSE)</f>
        <v>2022438604.kundansingh@pt.sharda.ac.in</v>
      </c>
      <c r="L11" s="17" t="str">
        <f>VLOOKUP(D11,[3]Sheet1!E:K,6,FALSE)</f>
        <v>8920297350</v>
      </c>
      <c r="M11" s="17" t="s">
        <v>15</v>
      </c>
      <c r="O11" t="e">
        <f>VLOOKUP(C11,#REF!,12,FALSE)</f>
        <v>#REF!</v>
      </c>
    </row>
    <row r="12" spans="1:15">
      <c r="A12" s="17">
        <v>11</v>
      </c>
      <c r="B12" s="17" t="s">
        <v>983</v>
      </c>
      <c r="C12" s="17">
        <v>2022521926</v>
      </c>
      <c r="D12" s="17">
        <v>2201010175</v>
      </c>
      <c r="E12" s="17" t="s">
        <v>1801</v>
      </c>
      <c r="F12" s="17" t="e">
        <f>VLOOKUP('2501_MIS '!C12,'[1]Fast Track '!B:K,10,FALSE)</f>
        <v>#N/A</v>
      </c>
      <c r="G12" s="17" t="str">
        <f>VLOOKUP(C12,[2]Sheet7!A:D,4,FALSE)</f>
        <v>Promoted</v>
      </c>
      <c r="H12" s="45" t="s">
        <v>3645</v>
      </c>
      <c r="I12" s="26" t="s">
        <v>3647</v>
      </c>
      <c r="J12" s="17" t="s">
        <v>984</v>
      </c>
      <c r="K12" s="17" t="str">
        <f>VLOOKUP(C12,[3]Sheet1!D:J,6,FALSE)</f>
        <v>2022521926.ghulamhassan@pt.sharda.ac.in</v>
      </c>
      <c r="L12" s="17" t="str">
        <f>VLOOKUP(D12,[3]Sheet1!E:K,6,FALSE)</f>
        <v>8899544845</v>
      </c>
      <c r="M12" s="17" t="s">
        <v>15</v>
      </c>
      <c r="O12" t="e">
        <f>VLOOKUP(C12,#REF!,12,FALSE)</f>
        <v>#REF!</v>
      </c>
    </row>
    <row r="13" spans="1:15">
      <c r="A13" s="17">
        <v>12</v>
      </c>
      <c r="B13" s="17" t="s">
        <v>935</v>
      </c>
      <c r="C13" s="17">
        <v>2022325232</v>
      </c>
      <c r="D13" s="17">
        <v>2201010178</v>
      </c>
      <c r="E13" s="17" t="s">
        <v>1801</v>
      </c>
      <c r="F13" s="17" t="e">
        <f>VLOOKUP('2501_MIS '!C13,'[1]Fast Track '!B:K,10,FALSE)</f>
        <v>#N/A</v>
      </c>
      <c r="G13" s="17" t="str">
        <f>VLOOKUP(C13,[2]Sheet7!A:D,4,FALSE)</f>
        <v>Promoted</v>
      </c>
      <c r="H13" s="45" t="s">
        <v>3645</v>
      </c>
      <c r="I13" s="26" t="s">
        <v>3647</v>
      </c>
      <c r="J13" s="17" t="s">
        <v>936</v>
      </c>
      <c r="K13" s="17" t="str">
        <f>VLOOKUP(C13,[3]Sheet1!D:J,6,FALSE)</f>
        <v>2022325232.latesuneet@pt.sharda.ac.in</v>
      </c>
      <c r="L13" s="17" t="str">
        <f>VLOOKUP(D13,[3]Sheet1!E:K,6,FALSE)</f>
        <v>9717628588</v>
      </c>
      <c r="M13" s="17" t="s">
        <v>15</v>
      </c>
      <c r="O13" t="e">
        <f>VLOOKUP(C13,#REF!,12,FALSE)</f>
        <v>#REF!</v>
      </c>
    </row>
    <row r="14" spans="1:15">
      <c r="A14" s="17">
        <v>13</v>
      </c>
      <c r="B14" s="17" t="s">
        <v>933</v>
      </c>
      <c r="C14" s="17">
        <v>2022305905</v>
      </c>
      <c r="D14" s="17">
        <v>2201010193</v>
      </c>
      <c r="E14" s="17" t="s">
        <v>1801</v>
      </c>
      <c r="F14" s="17" t="e">
        <f>VLOOKUP('2501_MIS '!C14,'[1]Fast Track '!B:K,10,FALSE)</f>
        <v>#N/A</v>
      </c>
      <c r="G14" s="17" t="str">
        <f>VLOOKUP(C14,[2]Sheet7!A:D,4,FALSE)</f>
        <v>Promoted</v>
      </c>
      <c r="H14" s="45" t="s">
        <v>3645</v>
      </c>
      <c r="I14" s="26" t="s">
        <v>3647</v>
      </c>
      <c r="J14" s="17" t="s">
        <v>934</v>
      </c>
      <c r="K14" s="17" t="str">
        <f>VLOOKUP(C14,[3]Sheet1!D:J,6,FALSE)</f>
        <v>2022305905.sanjeev@pt.sharda.ac.in</v>
      </c>
      <c r="L14" s="17" t="str">
        <f>VLOOKUP(D14,[3]Sheet1!E:K,6,FALSE)</f>
        <v>9311273352</v>
      </c>
      <c r="M14" s="17" t="s">
        <v>15</v>
      </c>
      <c r="O14" t="e">
        <f>VLOOKUP(C14,#REF!,12,FALSE)</f>
        <v>#REF!</v>
      </c>
    </row>
    <row r="15" spans="1:15">
      <c r="A15" s="17">
        <v>14</v>
      </c>
      <c r="B15" s="17" t="s">
        <v>941</v>
      </c>
      <c r="C15" s="17">
        <v>2022411800</v>
      </c>
      <c r="D15" s="17">
        <v>2201010236</v>
      </c>
      <c r="E15" s="17" t="s">
        <v>1801</v>
      </c>
      <c r="F15" s="17" t="e">
        <f>VLOOKUP('2501_MIS '!C15,'[1]Fast Track '!B:K,10,FALSE)</f>
        <v>#N/A</v>
      </c>
      <c r="G15" s="17" t="str">
        <f>VLOOKUP(C15,[2]Sheet7!A:D,4,FALSE)</f>
        <v>Promoted</v>
      </c>
      <c r="H15" s="45" t="s">
        <v>3645</v>
      </c>
      <c r="I15" s="26" t="s">
        <v>3647</v>
      </c>
      <c r="J15" s="17" t="s">
        <v>942</v>
      </c>
      <c r="K15" s="17" t="str">
        <f>VLOOKUP(C15,[3]Sheet1!D:J,6,FALSE)</f>
        <v>2022411800.mdrezaulhaque@pt.sharda.ac.in</v>
      </c>
      <c r="L15" s="17" t="str">
        <f>VLOOKUP(D15,[3]Sheet1!E:K,6,FALSE)</f>
        <v>9801182652</v>
      </c>
      <c r="M15" s="17" t="s">
        <v>15</v>
      </c>
      <c r="O15" t="e">
        <f>VLOOKUP(C15,#REF!,12,FALSE)</f>
        <v>#REF!</v>
      </c>
    </row>
    <row r="16" spans="1:15">
      <c r="A16" s="17">
        <v>15</v>
      </c>
      <c r="B16" s="17" t="s">
        <v>967</v>
      </c>
      <c r="C16" s="17">
        <v>2022503298</v>
      </c>
      <c r="D16" s="17">
        <v>2201010308</v>
      </c>
      <c r="E16" s="17" t="s">
        <v>1801</v>
      </c>
      <c r="F16" s="17" t="e">
        <f>VLOOKUP('2501_MIS '!C16,'[1]Fast Track '!B:K,10,FALSE)</f>
        <v>#N/A</v>
      </c>
      <c r="G16" s="17" t="str">
        <f>VLOOKUP(C16,[2]Sheet7!A:D,4,FALSE)</f>
        <v>Promoted</v>
      </c>
      <c r="H16" s="45" t="s">
        <v>3645</v>
      </c>
      <c r="I16" s="26" t="s">
        <v>3647</v>
      </c>
      <c r="J16" s="17" t="s">
        <v>968</v>
      </c>
      <c r="K16" s="17" t="str">
        <f>VLOOKUP(C16,[3]Sheet1!D:J,6,FALSE)</f>
        <v>2022503298.jitendra@pt.sharda.ac.in</v>
      </c>
      <c r="L16" s="17" t="str">
        <f>VLOOKUP(D16,[3]Sheet1!E:K,6,FALSE)</f>
        <v>8287518828</v>
      </c>
      <c r="M16" s="17" t="s">
        <v>15</v>
      </c>
      <c r="O16" t="e">
        <f>VLOOKUP(C16,#REF!,12,FALSE)</f>
        <v>#REF!</v>
      </c>
    </row>
    <row r="17" spans="1:15">
      <c r="A17" s="17">
        <v>16</v>
      </c>
      <c r="B17" s="17" t="s">
        <v>959</v>
      </c>
      <c r="C17" s="17">
        <v>2022476255</v>
      </c>
      <c r="D17" s="17">
        <v>2201010325</v>
      </c>
      <c r="E17" s="17" t="s">
        <v>1801</v>
      </c>
      <c r="F17" s="17" t="e">
        <f>VLOOKUP('2501_MIS '!C17,'[1]Fast Track '!B:K,10,FALSE)</f>
        <v>#N/A</v>
      </c>
      <c r="G17" s="17" t="str">
        <f>VLOOKUP(C17,[2]Sheet7!A:D,4,FALSE)</f>
        <v>Promoted</v>
      </c>
      <c r="H17" s="45" t="s">
        <v>3645</v>
      </c>
      <c r="I17" s="26" t="s">
        <v>3647</v>
      </c>
      <c r="J17" s="17" t="s">
        <v>960</v>
      </c>
      <c r="K17" s="17" t="str">
        <f>VLOOKUP(C17,[3]Sheet1!D:J,6,FALSE)</f>
        <v>2022476255.sanjeev@pt.sharda.ac.in</v>
      </c>
      <c r="L17" s="17" t="str">
        <f>VLOOKUP(D17,[3]Sheet1!E:K,6,FALSE)</f>
        <v>8700745527</v>
      </c>
      <c r="M17" s="17" t="s">
        <v>15</v>
      </c>
      <c r="O17" t="e">
        <f>VLOOKUP(C17,#REF!,12,FALSE)</f>
        <v>#REF!</v>
      </c>
    </row>
    <row r="18" spans="1:15">
      <c r="A18" s="17">
        <v>17</v>
      </c>
      <c r="B18" s="17" t="s">
        <v>965</v>
      </c>
      <c r="C18" s="17">
        <v>2022501762</v>
      </c>
      <c r="D18" s="17">
        <v>2201010355</v>
      </c>
      <c r="E18" s="17" t="s">
        <v>1801</v>
      </c>
      <c r="F18" s="17" t="e">
        <f>VLOOKUP('2501_MIS '!C18,'[1]Fast Track '!B:K,10,FALSE)</f>
        <v>#N/A</v>
      </c>
      <c r="G18" s="17" t="str">
        <f>VLOOKUP(C18,[2]Sheet7!A:D,4,FALSE)</f>
        <v>Promoted</v>
      </c>
      <c r="H18" s="45" t="s">
        <v>3645</v>
      </c>
      <c r="I18" s="26" t="s">
        <v>3647</v>
      </c>
      <c r="J18" s="17" t="s">
        <v>966</v>
      </c>
      <c r="K18" s="17" t="str">
        <f>VLOOKUP(C18,[3]Sheet1!D:J,6,FALSE)</f>
        <v>2022501762.aseem@pt.sharda.ac.in</v>
      </c>
      <c r="L18" s="17" t="str">
        <f>VLOOKUP(D18,[3]Sheet1!E:K,6,FALSE)</f>
        <v>8585945645</v>
      </c>
      <c r="M18" s="17" t="s">
        <v>15</v>
      </c>
      <c r="O18" t="e">
        <f>VLOOKUP(C18,#REF!,12,FALSE)</f>
        <v>#REF!</v>
      </c>
    </row>
    <row r="19" spans="1:15">
      <c r="A19" s="17">
        <v>18</v>
      </c>
      <c r="B19" s="17" t="s">
        <v>903</v>
      </c>
      <c r="C19" s="17">
        <v>2022002689</v>
      </c>
      <c r="D19" s="17">
        <v>2201010358</v>
      </c>
      <c r="E19" s="17" t="s">
        <v>1801</v>
      </c>
      <c r="F19" s="17" t="e">
        <f>VLOOKUP('2501_MIS '!C19,'[1]Fast Track '!B:K,10,FALSE)</f>
        <v>#N/A</v>
      </c>
      <c r="G19" s="17" t="str">
        <f>VLOOKUP(C19,[2]Sheet7!A:D,4,FALSE)</f>
        <v>Promoted</v>
      </c>
      <c r="H19" s="45" t="s">
        <v>3645</v>
      </c>
      <c r="I19" s="26" t="s">
        <v>3647</v>
      </c>
      <c r="J19" s="17" t="s">
        <v>904</v>
      </c>
      <c r="K19" s="17" t="str">
        <f>VLOOKUP(C19,[3]Sheet1!D:J,6,FALSE)</f>
        <v>2022002689.prempal@pt.sharda.ac.in</v>
      </c>
      <c r="L19" s="17" t="str">
        <f>VLOOKUP(D19,[3]Sheet1!E:K,6,FALSE)</f>
        <v>8445090264</v>
      </c>
      <c r="M19" s="17" t="s">
        <v>15</v>
      </c>
      <c r="O19" t="e">
        <f>VLOOKUP(C19,#REF!,12,FALSE)</f>
        <v>#REF!</v>
      </c>
    </row>
    <row r="20" spans="1:15">
      <c r="A20" s="17">
        <v>19</v>
      </c>
      <c r="B20" s="17" t="s">
        <v>911</v>
      </c>
      <c r="C20" s="17">
        <v>2022004863</v>
      </c>
      <c r="D20" s="17">
        <v>2201010370</v>
      </c>
      <c r="E20" s="17" t="s">
        <v>1801</v>
      </c>
      <c r="F20" s="17" t="e">
        <f>VLOOKUP('2501_MIS '!C20,'[1]Fast Track '!B:K,10,FALSE)</f>
        <v>#N/A</v>
      </c>
      <c r="G20" s="17" t="str">
        <f>VLOOKUP(C20,[2]Sheet7!A:D,4,FALSE)</f>
        <v>Promoted</v>
      </c>
      <c r="H20" s="45" t="s">
        <v>3645</v>
      </c>
      <c r="I20" s="26" t="s">
        <v>3647</v>
      </c>
      <c r="J20" s="17" t="s">
        <v>912</v>
      </c>
      <c r="K20" s="17" t="str">
        <f>VLOOKUP(C20,[3]Sheet1!D:J,6,FALSE)</f>
        <v>2022004863.rajeev@pt.sharda.ac.in</v>
      </c>
      <c r="L20" s="17" t="str">
        <f>VLOOKUP(D20,[3]Sheet1!E:K,6,FALSE)</f>
        <v>9811299803</v>
      </c>
      <c r="M20" s="17" t="s">
        <v>15</v>
      </c>
      <c r="O20" t="e">
        <f>VLOOKUP(C20,#REF!,12,FALSE)</f>
        <v>#REF!</v>
      </c>
    </row>
    <row r="21" spans="1:15">
      <c r="A21" s="17">
        <v>20</v>
      </c>
      <c r="B21" s="17" t="s">
        <v>985</v>
      </c>
      <c r="C21" s="17">
        <v>2022526514</v>
      </c>
      <c r="D21" s="17">
        <v>2201010415</v>
      </c>
      <c r="E21" s="17" t="s">
        <v>1801</v>
      </c>
      <c r="F21" s="17" t="e">
        <f>VLOOKUP('2501_MIS '!C21,'[1]Fast Track '!B:K,10,FALSE)</f>
        <v>#N/A</v>
      </c>
      <c r="G21" s="17" t="str">
        <f>VLOOKUP(C21,[2]Sheet7!A:D,4,FALSE)</f>
        <v>Promoted</v>
      </c>
      <c r="H21" s="45" t="s">
        <v>3645</v>
      </c>
      <c r="I21" s="26" t="s">
        <v>3647</v>
      </c>
      <c r="J21" s="17" t="s">
        <v>986</v>
      </c>
      <c r="K21" s="17" t="str">
        <f>VLOOKUP(C21,[3]Sheet1!D:J,6,FALSE)</f>
        <v>2022526514.mohd@pt.sharda.ac.in</v>
      </c>
      <c r="L21" s="17" t="str">
        <f>VLOOKUP(D21,[3]Sheet1!E:K,6,FALSE)</f>
        <v>9582995581</v>
      </c>
      <c r="M21" s="17" t="s">
        <v>15</v>
      </c>
      <c r="O21" t="e">
        <f>VLOOKUP(C21,#REF!,12,FALSE)</f>
        <v>#REF!</v>
      </c>
    </row>
    <row r="22" spans="1:15">
      <c r="A22" s="17">
        <v>21</v>
      </c>
      <c r="B22" s="17" t="s">
        <v>943</v>
      </c>
      <c r="C22" s="17">
        <v>2022429026</v>
      </c>
      <c r="D22" s="17">
        <v>2201010417</v>
      </c>
      <c r="E22" s="17" t="s">
        <v>1801</v>
      </c>
      <c r="F22" s="17" t="e">
        <f>VLOOKUP('2501_MIS '!C22,'[1]Fast Track '!B:K,10,FALSE)</f>
        <v>#N/A</v>
      </c>
      <c r="G22" s="17" t="str">
        <f>VLOOKUP(C22,[2]Sheet7!A:D,4,FALSE)</f>
        <v>Promoted</v>
      </c>
      <c r="H22" s="45" t="s">
        <v>3645</v>
      </c>
      <c r="I22" s="26" t="s">
        <v>3647</v>
      </c>
      <c r="J22" s="17" t="s">
        <v>944</v>
      </c>
      <c r="K22" s="17" t="str">
        <f>VLOOKUP(C22,[3]Sheet1!D:J,6,FALSE)</f>
        <v>2022429026.mustak@pt.sharda.ac.in</v>
      </c>
      <c r="L22" s="17" t="str">
        <f>VLOOKUP(D22,[3]Sheet1!E:K,6,FALSE)</f>
        <v>8755495604</v>
      </c>
      <c r="M22" s="17" t="s">
        <v>15</v>
      </c>
      <c r="O22" t="e">
        <f>VLOOKUP(C22,#REF!,12,FALSE)</f>
        <v>#REF!</v>
      </c>
    </row>
    <row r="23" spans="1:15">
      <c r="A23" s="17">
        <v>22</v>
      </c>
      <c r="B23" s="17" t="s">
        <v>977</v>
      </c>
      <c r="C23" s="17">
        <v>2022518370</v>
      </c>
      <c r="D23" s="17">
        <v>2201010459</v>
      </c>
      <c r="E23" s="17" t="s">
        <v>1801</v>
      </c>
      <c r="F23" s="17" t="e">
        <f>VLOOKUP('2501_MIS '!C23,'[1]Fast Track '!B:K,10,FALSE)</f>
        <v>#N/A</v>
      </c>
      <c r="G23" s="17" t="str">
        <f>VLOOKUP(C23,[2]Sheet7!A:D,4,FALSE)</f>
        <v>Promoted</v>
      </c>
      <c r="H23" s="45" t="s">
        <v>3645</v>
      </c>
      <c r="I23" s="26" t="s">
        <v>3647</v>
      </c>
      <c r="J23" s="17" t="s">
        <v>978</v>
      </c>
      <c r="K23" s="17" t="str">
        <f>VLOOKUP(C23,[3]Sheet1!D:J,6,FALSE)</f>
        <v>2022518370.premkumar@pt.sharda.ac.in</v>
      </c>
      <c r="L23" s="17" t="str">
        <f>VLOOKUP(D23,[3]Sheet1!E:K,6,FALSE)</f>
        <v>9625306997</v>
      </c>
      <c r="M23" s="17" t="s">
        <v>15</v>
      </c>
      <c r="O23" t="e">
        <f>VLOOKUP(C23,#REF!,12,FALSE)</f>
        <v>#REF!</v>
      </c>
    </row>
    <row r="24" spans="1:15">
      <c r="A24" s="17">
        <v>23</v>
      </c>
      <c r="B24" s="17" t="s">
        <v>947</v>
      </c>
      <c r="C24" s="17">
        <v>2022437668</v>
      </c>
      <c r="D24" s="17">
        <v>2201010467</v>
      </c>
      <c r="E24" s="17" t="s">
        <v>1801</v>
      </c>
      <c r="F24" s="17" t="e">
        <f>VLOOKUP('2501_MIS '!C24,'[1]Fast Track '!B:K,10,FALSE)</f>
        <v>#N/A</v>
      </c>
      <c r="G24" s="17" t="str">
        <f>VLOOKUP(C24,[2]Sheet7!A:D,4,FALSE)</f>
        <v>Promoted</v>
      </c>
      <c r="H24" s="45" t="s">
        <v>3645</v>
      </c>
      <c r="I24" s="26" t="s">
        <v>3647</v>
      </c>
      <c r="J24" s="17" t="s">
        <v>948</v>
      </c>
      <c r="K24" s="17" t="str">
        <f>VLOOKUP(C24,[3]Sheet1!D:J,6,FALSE)</f>
        <v>2022437668.arvindkumar@pt.sharda.ac.in</v>
      </c>
      <c r="L24" s="17" t="str">
        <f>VLOOKUP(D24,[3]Sheet1!E:K,6,FALSE)</f>
        <v>8279969497</v>
      </c>
      <c r="M24" s="17" t="s">
        <v>15</v>
      </c>
      <c r="O24" t="e">
        <f>VLOOKUP(C24,#REF!,12,FALSE)</f>
        <v>#REF!</v>
      </c>
    </row>
    <row r="25" spans="1:15">
      <c r="A25" s="17">
        <v>24</v>
      </c>
      <c r="B25" s="17" t="s">
        <v>973</v>
      </c>
      <c r="C25" s="17">
        <v>2022513603</v>
      </c>
      <c r="D25" s="17">
        <v>2201010538</v>
      </c>
      <c r="E25" s="17" t="s">
        <v>1801</v>
      </c>
      <c r="F25" s="17" t="e">
        <f>VLOOKUP('2501_MIS '!C25,'[1]Fast Track '!B:K,10,FALSE)</f>
        <v>#N/A</v>
      </c>
      <c r="G25" s="17" t="str">
        <f>VLOOKUP(C25,[2]Sheet7!A:D,4,FALSE)</f>
        <v>Promoted</v>
      </c>
      <c r="H25" s="45" t="s">
        <v>3645</v>
      </c>
      <c r="I25" s="26" t="s">
        <v>3647</v>
      </c>
      <c r="J25" s="17" t="s">
        <v>974</v>
      </c>
      <c r="K25" s="17" t="str">
        <f>VLOOKUP(C25,[3]Sheet1!D:J,6,FALSE)</f>
        <v>2022513603.pulle@pt.sharda.ac.in</v>
      </c>
      <c r="L25" s="17" t="str">
        <f>VLOOKUP(D25,[3]Sheet1!E:K,6,FALSE)</f>
        <v>9542009934</v>
      </c>
      <c r="M25" s="17" t="s">
        <v>15</v>
      </c>
      <c r="O25" t="e">
        <f>VLOOKUP(C25,#REF!,12,FALSE)</f>
        <v>#REF!</v>
      </c>
    </row>
    <row r="26" spans="1:15">
      <c r="A26" s="17">
        <v>25</v>
      </c>
      <c r="B26" s="17" t="s">
        <v>963</v>
      </c>
      <c r="C26" s="17">
        <v>2022497991</v>
      </c>
      <c r="D26" s="17">
        <v>2201010552</v>
      </c>
      <c r="E26" s="17" t="s">
        <v>1801</v>
      </c>
      <c r="F26" s="17" t="e">
        <f>VLOOKUP('2501_MIS '!C26,'[1]Fast Track '!B:K,10,FALSE)</f>
        <v>#N/A</v>
      </c>
      <c r="G26" s="17" t="str">
        <f>VLOOKUP(C26,[2]Sheet7!A:D,4,FALSE)</f>
        <v>Promoted</v>
      </c>
      <c r="H26" s="45" t="s">
        <v>3645</v>
      </c>
      <c r="I26" s="26" t="s">
        <v>3647</v>
      </c>
      <c r="J26" s="17" t="s">
        <v>964</v>
      </c>
      <c r="K26" s="17" t="str">
        <f>VLOOKUP(C26,[3]Sheet1!D:J,6,FALSE)</f>
        <v>2022497991.mahender@pt.sharda.ac.in</v>
      </c>
      <c r="L26" s="17" t="str">
        <f>VLOOKUP(D26,[3]Sheet1!E:K,6,FALSE)</f>
        <v>7291063223</v>
      </c>
      <c r="M26" s="17" t="s">
        <v>15</v>
      </c>
      <c r="O26" t="e">
        <f>VLOOKUP(C26,#REF!,12,FALSE)</f>
        <v>#REF!</v>
      </c>
    </row>
    <row r="27" spans="1:15">
      <c r="A27" s="17">
        <v>26</v>
      </c>
      <c r="B27" s="17" t="s">
        <v>993</v>
      </c>
      <c r="C27" s="17">
        <v>2022563106</v>
      </c>
      <c r="D27" s="17">
        <v>2201010558</v>
      </c>
      <c r="E27" s="17" t="s">
        <v>1801</v>
      </c>
      <c r="F27" s="17" t="e">
        <f>VLOOKUP('2501_MIS '!C27,'[1]Fast Track '!B:K,10,FALSE)</f>
        <v>#N/A</v>
      </c>
      <c r="G27" s="17" t="str">
        <f>VLOOKUP(C27,[2]Sheet7!A:D,4,FALSE)</f>
        <v>Promoted</v>
      </c>
      <c r="H27" s="45" t="s">
        <v>3645</v>
      </c>
      <c r="I27" s="26" t="s">
        <v>3647</v>
      </c>
      <c r="J27" s="17" t="s">
        <v>994</v>
      </c>
      <c r="K27" s="17" t="str">
        <f>VLOOKUP(C27,[3]Sheet1!D:J,6,FALSE)</f>
        <v>2022563106.sanjaykumar@pt.sharda.ac.in</v>
      </c>
      <c r="L27" s="17" t="str">
        <f>VLOOKUP(D27,[3]Sheet1!E:K,6,FALSE)</f>
        <v>8929565652</v>
      </c>
      <c r="M27" s="17" t="s">
        <v>15</v>
      </c>
      <c r="O27" t="e">
        <f>VLOOKUP(C27,#REF!,12,FALSE)</f>
        <v>#REF!</v>
      </c>
    </row>
    <row r="28" spans="1:15">
      <c r="A28" s="17">
        <v>27</v>
      </c>
      <c r="B28" s="17" t="s">
        <v>969</v>
      </c>
      <c r="C28" s="17">
        <v>2022506102</v>
      </c>
      <c r="D28" s="17">
        <v>2201010597</v>
      </c>
      <c r="E28" s="17" t="s">
        <v>1801</v>
      </c>
      <c r="F28" s="17" t="e">
        <f>VLOOKUP('2501_MIS '!C28,'[1]Fast Track '!B:K,10,FALSE)</f>
        <v>#N/A</v>
      </c>
      <c r="G28" s="17" t="str">
        <f>VLOOKUP(C28,[2]Sheet7!A:D,4,FALSE)</f>
        <v>Promoted</v>
      </c>
      <c r="H28" s="45" t="s">
        <v>3645</v>
      </c>
      <c r="I28" s="26" t="s">
        <v>3647</v>
      </c>
      <c r="J28" s="17" t="s">
        <v>970</v>
      </c>
      <c r="K28" s="17" t="str">
        <f>VLOOKUP(C28,[3]Sheet1!D:J,6,FALSE)</f>
        <v>2022506102.santoshkumar@pt.sharda.ac.in</v>
      </c>
      <c r="L28" s="17" t="str">
        <f>VLOOKUP(D28,[3]Sheet1!E:K,6,FALSE)</f>
        <v>8887501600</v>
      </c>
      <c r="M28" s="17" t="s">
        <v>15</v>
      </c>
      <c r="O28" t="e">
        <f>VLOOKUP(C28,#REF!,12,FALSE)</f>
        <v>#REF!</v>
      </c>
    </row>
    <row r="29" spans="1:15">
      <c r="A29" s="17">
        <v>28</v>
      </c>
      <c r="B29" s="17" t="s">
        <v>319</v>
      </c>
      <c r="C29" s="17">
        <v>2022462663</v>
      </c>
      <c r="D29" s="17">
        <v>2201010204</v>
      </c>
      <c r="E29" s="17" t="s">
        <v>1801</v>
      </c>
      <c r="F29" s="17" t="e">
        <f>VLOOKUP('2501_MIS '!C29,'[1]Fast Track '!B:K,10,FALSE)</f>
        <v>#N/A</v>
      </c>
      <c r="G29" s="17" t="str">
        <f>VLOOKUP(C29,[2]Sheet7!A:D,4,FALSE)</f>
        <v>Promoted</v>
      </c>
      <c r="H29" s="45" t="s">
        <v>3645</v>
      </c>
      <c r="I29" s="26" t="s">
        <v>3647</v>
      </c>
      <c r="J29" s="17" t="s">
        <v>320</v>
      </c>
      <c r="K29" s="17" t="str">
        <f>VLOOKUP(C29,[3]Sheet1!D:J,6,FALSE)</f>
        <v>2022462663.naurang@pt.sharda.ac.in</v>
      </c>
      <c r="L29" s="17" t="str">
        <f>VLOOKUP(D29,[3]Sheet1!E:K,6,FALSE)</f>
        <v>9350536399</v>
      </c>
      <c r="M29" s="17" t="s">
        <v>15</v>
      </c>
      <c r="O29" t="e">
        <f>VLOOKUP(C29,#REF!,12,FALSE)</f>
        <v>#REF!</v>
      </c>
    </row>
    <row r="30" spans="1:15">
      <c r="A30" s="17">
        <v>29</v>
      </c>
      <c r="B30" s="17" t="s">
        <v>937</v>
      </c>
      <c r="C30" s="17">
        <v>2022344264</v>
      </c>
      <c r="D30" s="17">
        <v>2201010634</v>
      </c>
      <c r="E30" s="17" t="s">
        <v>1801</v>
      </c>
      <c r="F30" s="17" t="e">
        <f>VLOOKUP('2501_MIS '!C30,'[1]Fast Track '!B:K,10,FALSE)</f>
        <v>#N/A</v>
      </c>
      <c r="G30" s="17" t="str">
        <f>VLOOKUP(C30,[2]Sheet7!A:D,4,FALSE)</f>
        <v>Promoted</v>
      </c>
      <c r="H30" s="45" t="s">
        <v>3645</v>
      </c>
      <c r="I30" s="26" t="s">
        <v>3647</v>
      </c>
      <c r="J30" s="17" t="s">
        <v>938</v>
      </c>
      <c r="K30" s="17" t="str">
        <f>VLOOKUP(C30,[3]Sheet1!D:J,6,FALSE)</f>
        <v>2022344264.krishna@pt.sharda.ac.in</v>
      </c>
      <c r="L30" s="17" t="str">
        <f>VLOOKUP(D30,[3]Sheet1!E:K,6,FALSE)</f>
        <v>9899045081</v>
      </c>
      <c r="M30" s="17" t="s">
        <v>15</v>
      </c>
      <c r="O30" t="e">
        <f>VLOOKUP(C30,#REF!,12,FALSE)</f>
        <v>#REF!</v>
      </c>
    </row>
    <row r="31" spans="1:15">
      <c r="A31" s="17">
        <v>30</v>
      </c>
      <c r="B31" s="17" t="s">
        <v>339</v>
      </c>
      <c r="C31" s="17">
        <v>2022487133</v>
      </c>
      <c r="D31" s="17">
        <v>2201010227</v>
      </c>
      <c r="E31" s="17" t="s">
        <v>1801</v>
      </c>
      <c r="F31" s="17" t="e">
        <f>VLOOKUP('2501_MIS '!C31,'[1]Fast Track '!B:K,10,FALSE)</f>
        <v>#N/A</v>
      </c>
      <c r="G31" s="17" t="str">
        <f>VLOOKUP(C31,[2]Sheet7!A:D,4,FALSE)</f>
        <v>Promoted</v>
      </c>
      <c r="H31" s="45" t="s">
        <v>3645</v>
      </c>
      <c r="I31" s="26" t="s">
        <v>3647</v>
      </c>
      <c r="J31" s="17" t="s">
        <v>340</v>
      </c>
      <c r="K31" s="17" t="str">
        <f>VLOOKUP(C31,[3]Sheet1!D:J,6,FALSE)</f>
        <v>2022487133.bhudeo@pt.sharda.ac.in</v>
      </c>
      <c r="L31" s="17" t="str">
        <f>VLOOKUP(D31,[3]Sheet1!E:K,6,FALSE)</f>
        <v>7253008620</v>
      </c>
      <c r="M31" s="17" t="s">
        <v>15</v>
      </c>
      <c r="O31" t="e">
        <f>VLOOKUP(C31,#REF!,12,FALSE)</f>
        <v>#REF!</v>
      </c>
    </row>
    <row r="32" spans="1:15">
      <c r="A32" s="17">
        <v>31</v>
      </c>
      <c r="B32" s="17" t="s">
        <v>949</v>
      </c>
      <c r="C32" s="17">
        <v>2022438521</v>
      </c>
      <c r="D32" s="17">
        <v>2201010646</v>
      </c>
      <c r="E32" s="17" t="s">
        <v>1801</v>
      </c>
      <c r="F32" s="17" t="e">
        <f>VLOOKUP('2501_MIS '!C32,'[1]Fast Track '!B:K,10,FALSE)</f>
        <v>#N/A</v>
      </c>
      <c r="G32" s="17" t="str">
        <f>VLOOKUP(C32,[2]Sheet7!A:D,4,FALSE)</f>
        <v>Promoted</v>
      </c>
      <c r="H32" s="45" t="s">
        <v>3645</v>
      </c>
      <c r="I32" s="26" t="s">
        <v>3647</v>
      </c>
      <c r="J32" s="17" t="s">
        <v>950</v>
      </c>
      <c r="K32" s="17" t="str">
        <f>VLOOKUP(C32,[3]Sheet1!D:J,6,FALSE)</f>
        <v>2022438521.lateshankar@pt.sharda.ac.in</v>
      </c>
      <c r="L32" s="17" t="str">
        <f>VLOOKUP(D32,[3]Sheet1!E:K,6,FALSE)</f>
        <v>7979996286</v>
      </c>
      <c r="M32" s="17" t="s">
        <v>15</v>
      </c>
      <c r="O32" t="e">
        <f>VLOOKUP(C32,#REF!,12,FALSE)</f>
        <v>#REF!</v>
      </c>
    </row>
    <row r="33" spans="1:15">
      <c r="A33" s="17">
        <v>32</v>
      </c>
      <c r="B33" s="17" t="s">
        <v>919</v>
      </c>
      <c r="C33" s="17">
        <v>2022006789</v>
      </c>
      <c r="D33" s="17">
        <v>2201010661</v>
      </c>
      <c r="E33" s="17" t="s">
        <v>1801</v>
      </c>
      <c r="F33" s="17" t="e">
        <f>VLOOKUP('2501_MIS '!C33,'[1]Fast Track '!B:K,10,FALSE)</f>
        <v>#N/A</v>
      </c>
      <c r="G33" s="17" t="str">
        <f>VLOOKUP(C33,[2]Sheet7!A:D,4,FALSE)</f>
        <v>Promoted</v>
      </c>
      <c r="H33" s="45" t="s">
        <v>3644</v>
      </c>
      <c r="I33" s="26" t="s">
        <v>3684</v>
      </c>
      <c r="J33" s="17" t="s">
        <v>920</v>
      </c>
      <c r="K33" s="17" t="str">
        <f>VLOOKUP(C33,[3]Sheet1!D:J,6,FALSE)</f>
        <v>2022006789.kishan@pt.sharda.ac.in</v>
      </c>
      <c r="L33" s="17" t="str">
        <f>VLOOKUP(D33,[3]Sheet1!E:K,6,FALSE)</f>
        <v>8750854190</v>
      </c>
      <c r="M33" s="17" t="s">
        <v>15</v>
      </c>
      <c r="O33" t="e">
        <f>VLOOKUP(C33,#REF!,12,FALSE)</f>
        <v>#REF!</v>
      </c>
    </row>
    <row r="34" spans="1:15">
      <c r="A34" s="17">
        <v>33</v>
      </c>
      <c r="B34" s="17" t="s">
        <v>955</v>
      </c>
      <c r="C34" s="17">
        <v>2022472720</v>
      </c>
      <c r="D34" s="17">
        <v>2201010668</v>
      </c>
      <c r="E34" s="17" t="s">
        <v>1801</v>
      </c>
      <c r="F34" s="17" t="e">
        <f>VLOOKUP('2501_MIS '!C34,'[1]Fast Track '!B:K,10,FALSE)</f>
        <v>#N/A</v>
      </c>
      <c r="G34" s="17" t="str">
        <f>VLOOKUP(C34,[2]Sheet7!A:D,4,FALSE)</f>
        <v>Promoted</v>
      </c>
      <c r="H34" s="45" t="s">
        <v>3644</v>
      </c>
      <c r="I34" s="26" t="s">
        <v>3684</v>
      </c>
      <c r="J34" s="17" t="s">
        <v>956</v>
      </c>
      <c r="K34" s="17" t="str">
        <f>VLOOKUP(C34,[3]Sheet1!D:J,6,FALSE)</f>
        <v>2022472720.brijmohan@pt.sharda.ac.in</v>
      </c>
      <c r="L34" s="17" t="str">
        <f>VLOOKUP(D34,[3]Sheet1!E:K,6,FALSE)</f>
        <v>9458354480</v>
      </c>
      <c r="M34" s="17" t="s">
        <v>15</v>
      </c>
      <c r="O34" t="e">
        <f>VLOOKUP(C34,#REF!,12,FALSE)</f>
        <v>#REF!</v>
      </c>
    </row>
    <row r="35" spans="1:15">
      <c r="A35" s="17">
        <v>34</v>
      </c>
      <c r="B35" s="17" t="s">
        <v>259</v>
      </c>
      <c r="C35" s="17">
        <v>2022577110</v>
      </c>
      <c r="D35" s="17">
        <v>2201010671</v>
      </c>
      <c r="E35" s="17" t="s">
        <v>1801</v>
      </c>
      <c r="F35" s="17" t="e">
        <f>VLOOKUP('2501_MIS '!C35,'[1]Fast Track '!B:K,10,FALSE)</f>
        <v>#N/A</v>
      </c>
      <c r="G35" s="17" t="str">
        <f>VLOOKUP(C35,[2]Sheet7!A:D,4,FALSE)</f>
        <v>Promoted</v>
      </c>
      <c r="H35" s="45" t="s">
        <v>3644</v>
      </c>
      <c r="I35" s="26" t="s">
        <v>3684</v>
      </c>
      <c r="J35" s="17" t="s">
        <v>997</v>
      </c>
      <c r="K35" s="17" t="str">
        <f>VLOOKUP(C35,[3]Sheet1!D:J,6,FALSE)</f>
        <v>2022577110.udayshankar@pt.sharda.ac.in</v>
      </c>
      <c r="L35" s="17" t="str">
        <f>VLOOKUP(D35,[3]Sheet1!E:K,6,FALSE)</f>
        <v>9508885660</v>
      </c>
      <c r="M35" s="17" t="s">
        <v>15</v>
      </c>
      <c r="O35" t="e">
        <f>VLOOKUP(C35,#REF!,12,FALSE)</f>
        <v>#REF!</v>
      </c>
    </row>
    <row r="36" spans="1:15">
      <c r="A36" s="17">
        <v>35</v>
      </c>
      <c r="B36" s="17" t="s">
        <v>945</v>
      </c>
      <c r="C36" s="17">
        <v>2022432518</v>
      </c>
      <c r="D36" s="17">
        <v>2201010676</v>
      </c>
      <c r="E36" s="17" t="s">
        <v>1801</v>
      </c>
      <c r="F36" s="17" t="e">
        <f>VLOOKUP('2501_MIS '!C36,'[1]Fast Track '!B:K,10,FALSE)</f>
        <v>#N/A</v>
      </c>
      <c r="G36" s="17" t="str">
        <f>VLOOKUP(C36,[2]Sheet7!A:D,4,FALSE)</f>
        <v>Promoted</v>
      </c>
      <c r="H36" s="45" t="s">
        <v>3644</v>
      </c>
      <c r="I36" s="26" t="s">
        <v>3684</v>
      </c>
      <c r="J36" s="17" t="s">
        <v>946</v>
      </c>
      <c r="K36" s="17" t="str">
        <f>VLOOKUP(C36,[3]Sheet1!D:J,6,FALSE)</f>
        <v>2022432518.pramodkumar@pt.sharda.ac.in</v>
      </c>
      <c r="L36" s="17" t="str">
        <f>VLOOKUP(D36,[3]Sheet1!E:K,6,FALSE)</f>
        <v>7983413394</v>
      </c>
      <c r="M36" s="17" t="s">
        <v>15</v>
      </c>
      <c r="O36" t="e">
        <f>VLOOKUP(C36,#REF!,12,FALSE)</f>
        <v>#REF!</v>
      </c>
    </row>
    <row r="37" spans="1:15">
      <c r="A37" s="17">
        <v>36</v>
      </c>
      <c r="B37" s="17" t="s">
        <v>971</v>
      </c>
      <c r="C37" s="17">
        <v>2022512360</v>
      </c>
      <c r="D37" s="17">
        <v>2201010681</v>
      </c>
      <c r="E37" s="17" t="s">
        <v>1801</v>
      </c>
      <c r="F37" s="17" t="e">
        <f>VLOOKUP('2501_MIS '!C37,'[1]Fast Track '!B:K,10,FALSE)</f>
        <v>#N/A</v>
      </c>
      <c r="G37" s="17" t="str">
        <f>VLOOKUP(C37,[2]Sheet7!A:D,4,FALSE)</f>
        <v>Promoted</v>
      </c>
      <c r="H37" s="45" t="s">
        <v>3644</v>
      </c>
      <c r="I37" s="26" t="s">
        <v>3684</v>
      </c>
      <c r="J37" s="17" t="s">
        <v>972</v>
      </c>
      <c r="K37" s="17" t="str">
        <f>VLOOKUP(C37,[3]Sheet1!D:J,6,FALSE)</f>
        <v>2022512360.ramprasad@pt.sharda.ac.in</v>
      </c>
      <c r="L37" s="17" t="str">
        <f>VLOOKUP(D37,[3]Sheet1!E:K,6,FALSE)</f>
        <v>7651937775</v>
      </c>
      <c r="M37" s="17" t="s">
        <v>15</v>
      </c>
      <c r="O37" t="e">
        <f>VLOOKUP(C37,#REF!,12,FALSE)</f>
        <v>#REF!</v>
      </c>
    </row>
    <row r="38" spans="1:15">
      <c r="A38" s="17">
        <v>37</v>
      </c>
      <c r="B38" s="17" t="s">
        <v>909</v>
      </c>
      <c r="C38" s="17">
        <v>2022004756</v>
      </c>
      <c r="D38" s="17">
        <v>2201010684</v>
      </c>
      <c r="E38" s="17" t="s">
        <v>1801</v>
      </c>
      <c r="F38" s="17" t="e">
        <f>VLOOKUP('2501_MIS '!C38,'[1]Fast Track '!B:K,10,FALSE)</f>
        <v>#N/A</v>
      </c>
      <c r="G38" s="17" t="str">
        <f>VLOOKUP(C38,[2]Sheet7!A:D,4,FALSE)</f>
        <v>Promoted</v>
      </c>
      <c r="H38" s="45" t="s">
        <v>3644</v>
      </c>
      <c r="I38" s="26" t="s">
        <v>3684</v>
      </c>
      <c r="J38" s="17" t="s">
        <v>910</v>
      </c>
      <c r="K38" s="17" t="str">
        <f>VLOOKUP(C38,[3]Sheet1!D:J,6,FALSE)</f>
        <v>2022004756.manish@pt.sharda.ac.in</v>
      </c>
      <c r="L38" s="17" t="str">
        <f>VLOOKUP(D38,[3]Sheet1!E:K,6,FALSE)</f>
        <v>8439840461</v>
      </c>
      <c r="M38" s="17" t="s">
        <v>15</v>
      </c>
      <c r="O38" t="e">
        <f>VLOOKUP(C38,#REF!,12,FALSE)</f>
        <v>#REF!</v>
      </c>
    </row>
    <row r="39" spans="1:15">
      <c r="A39" s="17">
        <v>38</v>
      </c>
      <c r="B39" s="17" t="s">
        <v>981</v>
      </c>
      <c r="C39" s="17">
        <v>2022520978</v>
      </c>
      <c r="D39" s="17">
        <v>2201010693</v>
      </c>
      <c r="E39" s="17" t="s">
        <v>1801</v>
      </c>
      <c r="F39" s="17" t="e">
        <f>VLOOKUP('2501_MIS '!C39,'[1]Fast Track '!B:K,10,FALSE)</f>
        <v>#N/A</v>
      </c>
      <c r="G39" s="17" t="str">
        <f>VLOOKUP(C39,[2]Sheet7!A:D,4,FALSE)</f>
        <v>Promoted</v>
      </c>
      <c r="H39" s="45" t="s">
        <v>3644</v>
      </c>
      <c r="I39" s="26" t="s">
        <v>3684</v>
      </c>
      <c r="J39" s="17" t="s">
        <v>982</v>
      </c>
      <c r="K39" s="17" t="str">
        <f>VLOOKUP(C39,[3]Sheet1!D:J,6,FALSE)</f>
        <v>2022520978.abhijit@pt.sharda.ac.in</v>
      </c>
      <c r="L39" s="17" t="str">
        <f>VLOOKUP(D39,[3]Sheet1!E:K,6,FALSE)</f>
        <v>7080050607</v>
      </c>
      <c r="M39" s="17" t="s">
        <v>15</v>
      </c>
      <c r="O39" t="e">
        <f>VLOOKUP(C39,#REF!,12,FALSE)</f>
        <v>#REF!</v>
      </c>
    </row>
    <row r="40" spans="1:15">
      <c r="A40" s="17">
        <v>39</v>
      </c>
      <c r="B40" s="17" t="s">
        <v>905</v>
      </c>
      <c r="C40" s="17">
        <v>2022003913</v>
      </c>
      <c r="D40" s="17">
        <v>2201010718</v>
      </c>
      <c r="E40" s="17" t="s">
        <v>1801</v>
      </c>
      <c r="F40" s="17" t="e">
        <f>VLOOKUP('2501_MIS '!C40,'[1]Fast Track '!B:K,10,FALSE)</f>
        <v>#N/A</v>
      </c>
      <c r="G40" s="17" t="str">
        <f>VLOOKUP(C40,[2]Sheet7!A:D,4,FALSE)</f>
        <v>Promoted</v>
      </c>
      <c r="H40" s="45" t="s">
        <v>3644</v>
      </c>
      <c r="I40" s="26" t="s">
        <v>3684</v>
      </c>
      <c r="J40" s="17" t="s">
        <v>906</v>
      </c>
      <c r="K40" s="17" t="str">
        <f>VLOOKUP(C40,[3]Sheet1!D:J,6,FALSE)</f>
        <v>2022003913.nazirahmad@pt.sharda.ac.in</v>
      </c>
      <c r="L40" s="17" t="str">
        <f>VLOOKUP(D40,[3]Sheet1!E:K,6,FALSE)</f>
        <v>7006837134</v>
      </c>
      <c r="M40" s="17" t="s">
        <v>15</v>
      </c>
      <c r="O40" t="e">
        <f>VLOOKUP(C40,#REF!,12,FALSE)</f>
        <v>#REF!</v>
      </c>
    </row>
    <row r="41" spans="1:15">
      <c r="A41" s="17">
        <v>40</v>
      </c>
      <c r="B41" s="17" t="s">
        <v>921</v>
      </c>
      <c r="C41" s="17">
        <v>2022006898</v>
      </c>
      <c r="D41" s="17">
        <v>2201010729</v>
      </c>
      <c r="E41" s="17" t="s">
        <v>1801</v>
      </c>
      <c r="F41" s="17" t="e">
        <f>VLOOKUP('2501_MIS '!C41,'[1]Fast Track '!B:K,10,FALSE)</f>
        <v>#N/A</v>
      </c>
      <c r="G41" s="17" t="str">
        <f>VLOOKUP(C41,[2]Sheet7!A:D,4,FALSE)</f>
        <v>Promoted</v>
      </c>
      <c r="H41" s="45" t="s">
        <v>3644</v>
      </c>
      <c r="I41" s="26" t="s">
        <v>3684</v>
      </c>
      <c r="J41" s="17" t="s">
        <v>922</v>
      </c>
      <c r="K41" s="17" t="str">
        <f>VLOOKUP(C41,[3]Sheet1!D:J,6,FALSE)</f>
        <v>2022006898.pawan@pt.sharda.ac.in</v>
      </c>
      <c r="L41" s="17" t="str">
        <f>VLOOKUP(D41,[3]Sheet1!E:K,6,FALSE)</f>
        <v>7428943713</v>
      </c>
      <c r="M41" s="17" t="s">
        <v>15</v>
      </c>
      <c r="O41" t="e">
        <f>VLOOKUP(C41,#REF!,12,FALSE)</f>
        <v>#REF!</v>
      </c>
    </row>
    <row r="42" spans="1:15">
      <c r="A42" s="17">
        <v>41</v>
      </c>
      <c r="B42" s="17" t="s">
        <v>975</v>
      </c>
      <c r="C42" s="17">
        <v>2022517301</v>
      </c>
      <c r="D42" s="17">
        <v>2201010730</v>
      </c>
      <c r="E42" s="17" t="s">
        <v>1801</v>
      </c>
      <c r="F42" s="17" t="e">
        <f>VLOOKUP('2501_MIS '!C42,'[1]Fast Track '!B:K,10,FALSE)</f>
        <v>#N/A</v>
      </c>
      <c r="G42" s="17" t="str">
        <f>VLOOKUP(C42,[2]Sheet7!A:D,4,FALSE)</f>
        <v>Promoted</v>
      </c>
      <c r="H42" s="45" t="s">
        <v>3644</v>
      </c>
      <c r="I42" s="26" t="s">
        <v>3684</v>
      </c>
      <c r="J42" s="17" t="s">
        <v>976</v>
      </c>
      <c r="K42" s="17" t="str">
        <f>VLOOKUP(C42,[3]Sheet1!D:J,6,FALSE)</f>
        <v>2022517301.ajayakumar@pt.sharda.ac.in</v>
      </c>
      <c r="L42" s="17" t="str">
        <f>VLOOKUP(D42,[3]Sheet1!E:K,6,FALSE)</f>
        <v>9006595003</v>
      </c>
      <c r="M42" s="17" t="s">
        <v>15</v>
      </c>
      <c r="O42" t="e">
        <f>VLOOKUP(C42,#REF!,12,FALSE)</f>
        <v>#REF!</v>
      </c>
    </row>
    <row r="43" spans="1:15">
      <c r="A43" s="17">
        <v>42</v>
      </c>
      <c r="B43" s="17" t="s">
        <v>987</v>
      </c>
      <c r="C43" s="17">
        <v>2022534653</v>
      </c>
      <c r="D43" s="17">
        <v>2201010751</v>
      </c>
      <c r="E43" s="17" t="s">
        <v>1801</v>
      </c>
      <c r="F43" s="17" t="e">
        <f>VLOOKUP('2501_MIS '!C43,'[1]Fast Track '!B:K,10,FALSE)</f>
        <v>#N/A</v>
      </c>
      <c r="G43" s="17" t="str">
        <f>VLOOKUP(C43,[2]Sheet7!A:D,4,FALSE)</f>
        <v>Promoted</v>
      </c>
      <c r="H43" s="45" t="s">
        <v>3644</v>
      </c>
      <c r="I43" s="26" t="s">
        <v>3684</v>
      </c>
      <c r="J43" s="17" t="s">
        <v>988</v>
      </c>
      <c r="K43" s="17" t="str">
        <f>VLOOKUP(C43,[3]Sheet1!D:J,6,FALSE)</f>
        <v>2022534653.arshad@pt.sharda.ac.in</v>
      </c>
      <c r="L43" s="17" t="str">
        <f>VLOOKUP(D43,[3]Sheet1!E:K,6,FALSE)</f>
        <v>7079289030</v>
      </c>
      <c r="M43" s="17" t="s">
        <v>15</v>
      </c>
      <c r="O43" t="e">
        <f>VLOOKUP(C43,#REF!,12,FALSE)</f>
        <v>#REF!</v>
      </c>
    </row>
    <row r="44" spans="1:15">
      <c r="A44" s="17">
        <v>43</v>
      </c>
      <c r="B44" s="17" t="s">
        <v>953</v>
      </c>
      <c r="C44" s="17">
        <v>2022452189</v>
      </c>
      <c r="D44" s="17">
        <v>2201010787</v>
      </c>
      <c r="E44" s="17" t="s">
        <v>1801</v>
      </c>
      <c r="F44" s="17" t="e">
        <f>VLOOKUP('2501_MIS '!C44,'[1]Fast Track '!B:K,10,FALSE)</f>
        <v>#N/A</v>
      </c>
      <c r="G44" s="17" t="str">
        <f>VLOOKUP(C44,[2]Sheet7!A:D,4,FALSE)</f>
        <v>Promoted</v>
      </c>
      <c r="H44" s="45" t="s">
        <v>3644</v>
      </c>
      <c r="I44" s="26" t="s">
        <v>3684</v>
      </c>
      <c r="J44" s="17" t="s">
        <v>954</v>
      </c>
      <c r="K44" s="17" t="str">
        <f>VLOOKUP(C44,[3]Sheet1!D:J,6,FALSE)</f>
        <v>2022452189.jankisharan@pt.sharda.ac.in</v>
      </c>
      <c r="L44" s="17" t="str">
        <f>VLOOKUP(D44,[3]Sheet1!E:K,6,FALSE)</f>
        <v>8878530472</v>
      </c>
      <c r="M44" s="17" t="s">
        <v>15</v>
      </c>
      <c r="O44" t="e">
        <f>VLOOKUP(C44,#REF!,12,FALSE)</f>
        <v>#REF!</v>
      </c>
    </row>
    <row r="45" spans="1:15">
      <c r="A45" s="17">
        <v>44</v>
      </c>
      <c r="B45" s="17" t="s">
        <v>913</v>
      </c>
      <c r="C45" s="17">
        <v>2022006072</v>
      </c>
      <c r="D45" s="17">
        <v>2201010815</v>
      </c>
      <c r="E45" s="17" t="s">
        <v>1801</v>
      </c>
      <c r="F45" s="17" t="e">
        <f>VLOOKUP('2501_MIS '!C45,'[1]Fast Track '!B:K,10,FALSE)</f>
        <v>#N/A</v>
      </c>
      <c r="G45" s="17" t="str">
        <f>VLOOKUP(C45,[2]Sheet7!A:D,4,FALSE)</f>
        <v>Promoted</v>
      </c>
      <c r="H45" s="45" t="s">
        <v>3644</v>
      </c>
      <c r="I45" s="26" t="s">
        <v>3684</v>
      </c>
      <c r="J45" s="17" t="s">
        <v>914</v>
      </c>
      <c r="K45" s="17" t="str">
        <f>VLOOKUP(C45,[3]Sheet1!D:J,6,FALSE)</f>
        <v>2022006072.niranjan@pt.sharda.ac.in</v>
      </c>
      <c r="L45" s="17" t="str">
        <f>VLOOKUP(D45,[3]Sheet1!E:K,6,FALSE)</f>
        <v>8811995780</v>
      </c>
      <c r="M45" s="17" t="s">
        <v>15</v>
      </c>
      <c r="O45" t="e">
        <f>VLOOKUP(C45,#REF!,12,FALSE)</f>
        <v>#REF!</v>
      </c>
    </row>
    <row r="46" spans="1:15">
      <c r="A46" s="17">
        <v>45</v>
      </c>
      <c r="B46" s="17" t="s">
        <v>979</v>
      </c>
      <c r="C46" s="17">
        <v>2022518505</v>
      </c>
      <c r="D46" s="17">
        <v>2201010821</v>
      </c>
      <c r="E46" s="17" t="s">
        <v>1801</v>
      </c>
      <c r="F46" s="17" t="e">
        <f>VLOOKUP('2501_MIS '!C46,'[1]Fast Track '!B:K,10,FALSE)</f>
        <v>#N/A</v>
      </c>
      <c r="G46" s="17" t="str">
        <f>VLOOKUP(C46,[2]Sheet7!A:D,4,FALSE)</f>
        <v>Promoted</v>
      </c>
      <c r="H46" s="45" t="s">
        <v>3644</v>
      </c>
      <c r="I46" s="26" t="s">
        <v>3684</v>
      </c>
      <c r="J46" s="17" t="s">
        <v>980</v>
      </c>
      <c r="K46" s="17" t="str">
        <f>VLOOKUP(C46,[3]Sheet1!D:J,6,FALSE)</f>
        <v>2022518505.sandeep@pt.sharda.ac.in</v>
      </c>
      <c r="L46" s="17" t="str">
        <f>VLOOKUP(D46,[3]Sheet1!E:K,6,FALSE)</f>
        <v>9536903232</v>
      </c>
      <c r="M46" s="17" t="s">
        <v>15</v>
      </c>
      <c r="O46" t="e">
        <f>VLOOKUP(C46,#REF!,12,FALSE)</f>
        <v>#REF!</v>
      </c>
    </row>
    <row r="47" spans="1:15">
      <c r="A47" s="17">
        <v>46</v>
      </c>
      <c r="B47" s="17" t="s">
        <v>917</v>
      </c>
      <c r="C47" s="17">
        <v>2022006613</v>
      </c>
      <c r="D47" s="17">
        <v>2201010831</v>
      </c>
      <c r="E47" s="17" t="s">
        <v>1801</v>
      </c>
      <c r="F47" s="17" t="e">
        <f>VLOOKUP('2501_MIS '!C47,'[1]Fast Track '!B:K,10,FALSE)</f>
        <v>#N/A</v>
      </c>
      <c r="G47" s="17" t="str">
        <f>VLOOKUP(C47,[2]Sheet7!A:D,4,FALSE)</f>
        <v>Promoted</v>
      </c>
      <c r="H47" s="45" t="s">
        <v>3644</v>
      </c>
      <c r="I47" s="26" t="s">
        <v>3684</v>
      </c>
      <c r="J47" s="17" t="s">
        <v>918</v>
      </c>
      <c r="K47" s="17" t="str">
        <f>VLOOKUP(C47,[3]Sheet1!D:J,6,FALSE)</f>
        <v>2022006613.parth@pt.sharda.ac.in</v>
      </c>
      <c r="L47" s="17" t="str">
        <f>VLOOKUP(D47,[3]Sheet1!E:K,6,FALSE)</f>
        <v>7004207327</v>
      </c>
      <c r="M47" s="17" t="s">
        <v>15</v>
      </c>
      <c r="O47" t="e">
        <f>VLOOKUP(C47,#REF!,12,FALSE)</f>
        <v>#REF!</v>
      </c>
    </row>
    <row r="48" spans="1:15">
      <c r="A48" s="17">
        <v>47</v>
      </c>
      <c r="B48" s="17" t="s">
        <v>923</v>
      </c>
      <c r="C48" s="17">
        <v>2022007518</v>
      </c>
      <c r="D48" s="17">
        <v>2201010850</v>
      </c>
      <c r="E48" s="17" t="s">
        <v>1801</v>
      </c>
      <c r="F48" s="17" t="e">
        <f>VLOOKUP('2501_MIS '!C48,'[1]Fast Track '!B:K,10,FALSE)</f>
        <v>#N/A</v>
      </c>
      <c r="G48" s="17" t="str">
        <f>VLOOKUP(C48,[2]Sheet7!A:D,4,FALSE)</f>
        <v>Promoted</v>
      </c>
      <c r="H48" s="45" t="s">
        <v>3644</v>
      </c>
      <c r="I48" s="26" t="s">
        <v>3684</v>
      </c>
      <c r="J48" s="17" t="s">
        <v>924</v>
      </c>
      <c r="K48" s="17" t="str">
        <f>VLOOKUP(C48,[3]Sheet1!D:J,6,FALSE)</f>
        <v>2022007518.sandeep@pt.sharda.ac.in</v>
      </c>
      <c r="L48" s="17" t="str">
        <f>VLOOKUP(D48,[3]Sheet1!E:K,6,FALSE)</f>
        <v>8744095807</v>
      </c>
      <c r="M48" s="17" t="s">
        <v>15</v>
      </c>
      <c r="O48" t="e">
        <f>VLOOKUP(C48,#REF!,12,FALSE)</f>
        <v>#REF!</v>
      </c>
    </row>
    <row r="49" spans="1:15">
      <c r="A49" s="17">
        <v>48</v>
      </c>
      <c r="B49" s="17" t="s">
        <v>925</v>
      </c>
      <c r="C49" s="17">
        <v>2022007615</v>
      </c>
      <c r="D49" s="17">
        <v>2201010852</v>
      </c>
      <c r="E49" s="17" t="s">
        <v>1801</v>
      </c>
      <c r="F49" s="17" t="e">
        <f>VLOOKUP('2501_MIS '!C49,'[1]Fast Track '!B:K,10,FALSE)</f>
        <v>#N/A</v>
      </c>
      <c r="G49" s="17" t="str">
        <f>VLOOKUP(C49,[2]Sheet7!A:D,4,FALSE)</f>
        <v>Promoted</v>
      </c>
      <c r="H49" s="45" t="s">
        <v>3644</v>
      </c>
      <c r="I49" s="26" t="s">
        <v>3684</v>
      </c>
      <c r="J49" s="17" t="s">
        <v>926</v>
      </c>
      <c r="K49" s="17" t="str">
        <f>VLOOKUP(C49,[3]Sheet1!D:J,6,FALSE)</f>
        <v>2022007615.pankajkumar@pt.sharda.ac.in</v>
      </c>
      <c r="L49" s="17" t="str">
        <f>VLOOKUP(D49,[3]Sheet1!E:K,6,FALSE)</f>
        <v>9910105985</v>
      </c>
      <c r="M49" s="17" t="s">
        <v>15</v>
      </c>
      <c r="O49" t="e">
        <f>VLOOKUP(C49,#REF!,12,FALSE)</f>
        <v>#REF!</v>
      </c>
    </row>
    <row r="50" spans="1:15">
      <c r="A50" s="17">
        <v>49</v>
      </c>
      <c r="B50" s="17" t="s">
        <v>927</v>
      </c>
      <c r="C50" s="17">
        <v>2022007629</v>
      </c>
      <c r="D50" s="17">
        <v>2201010853</v>
      </c>
      <c r="E50" s="17" t="s">
        <v>1801</v>
      </c>
      <c r="F50" s="17" t="e">
        <f>VLOOKUP('2501_MIS '!C50,'[1]Fast Track '!B:K,10,FALSE)</f>
        <v>#N/A</v>
      </c>
      <c r="G50" s="17" t="str">
        <f>VLOOKUP(C50,[2]Sheet7!A:D,4,FALSE)</f>
        <v>Promoted</v>
      </c>
      <c r="H50" s="45" t="s">
        <v>3644</v>
      </c>
      <c r="I50" s="26" t="s">
        <v>3684</v>
      </c>
      <c r="J50" s="17" t="s">
        <v>928</v>
      </c>
      <c r="K50" s="17" t="str">
        <f>VLOOKUP(C50,[3]Sheet1!D:J,6,FALSE)</f>
        <v>2022007629.janesh@pt.sharda.ac.in</v>
      </c>
      <c r="L50" s="17" t="str">
        <f>VLOOKUP(D50,[3]Sheet1!E:K,6,FALSE)</f>
        <v>8860855324</v>
      </c>
      <c r="M50" s="17" t="s">
        <v>15</v>
      </c>
      <c r="O50" t="e">
        <f>VLOOKUP(C50,#REF!,12,FALSE)</f>
        <v>#REF!</v>
      </c>
    </row>
    <row r="51" spans="1:15">
      <c r="A51" s="17">
        <v>50</v>
      </c>
      <c r="B51" s="17" t="s">
        <v>929</v>
      </c>
      <c r="C51" s="17">
        <v>2022007684</v>
      </c>
      <c r="D51" s="17">
        <v>2201010859</v>
      </c>
      <c r="E51" s="17" t="s">
        <v>1801</v>
      </c>
      <c r="F51" s="17" t="e">
        <f>VLOOKUP('2501_MIS '!C51,'[1]Fast Track '!B:K,10,FALSE)</f>
        <v>#N/A</v>
      </c>
      <c r="G51" s="17" t="str">
        <f>VLOOKUP(C51,[2]Sheet7!A:D,4,FALSE)</f>
        <v>Promoted</v>
      </c>
      <c r="H51" s="45" t="s">
        <v>3644</v>
      </c>
      <c r="I51" s="26" t="s">
        <v>3684</v>
      </c>
      <c r="J51" s="17" t="s">
        <v>930</v>
      </c>
      <c r="K51" s="17" t="str">
        <f>VLOOKUP(C51,[3]Sheet1!D:J,6,FALSE)</f>
        <v>2022007684.swadesh@pt.sharda.ac.in</v>
      </c>
      <c r="L51" s="17" t="str">
        <f>VLOOKUP(D51,[3]Sheet1!E:K,6,FALSE)</f>
        <v>9058956922</v>
      </c>
      <c r="M51" s="17" t="s">
        <v>15</v>
      </c>
      <c r="O51" t="e">
        <f>VLOOKUP(C51,#REF!,12,FALSE)</f>
        <v>#REF!</v>
      </c>
    </row>
    <row r="52" spans="1:15">
      <c r="A52" s="17">
        <v>51</v>
      </c>
      <c r="B52" s="17" t="s">
        <v>931</v>
      </c>
      <c r="C52" s="17">
        <v>2022007720</v>
      </c>
      <c r="D52" s="17">
        <v>2201010861</v>
      </c>
      <c r="E52" s="17" t="s">
        <v>1801</v>
      </c>
      <c r="F52" s="17" t="e">
        <f>VLOOKUP('2501_MIS '!C52,'[1]Fast Track '!B:K,10,FALSE)</f>
        <v>#N/A</v>
      </c>
      <c r="G52" s="17" t="str">
        <f>VLOOKUP(C52,[2]Sheet7!A:D,4,FALSE)</f>
        <v>Promoted</v>
      </c>
      <c r="H52" s="45" t="s">
        <v>3644</v>
      </c>
      <c r="I52" s="26" t="s">
        <v>3684</v>
      </c>
      <c r="J52" s="17" t="s">
        <v>932</v>
      </c>
      <c r="K52" s="17" t="str">
        <f>VLOOKUP(C52,[3]Sheet1!D:J,6,FALSE)</f>
        <v>2022007720.jaiprakash@pt.sharda.ac.in</v>
      </c>
      <c r="L52" s="17" t="str">
        <f>VLOOKUP(D52,[3]Sheet1!E:K,6,FALSE)</f>
        <v>9457526385</v>
      </c>
      <c r="M52" s="17" t="s">
        <v>15</v>
      </c>
      <c r="O52" t="e">
        <f>VLOOKUP(C52,#REF!,12,FALSE)</f>
        <v>#REF!</v>
      </c>
    </row>
    <row r="53" spans="1:15">
      <c r="A53" s="17">
        <v>52</v>
      </c>
      <c r="B53" s="17" t="s">
        <v>991</v>
      </c>
      <c r="C53" s="17">
        <v>2022545040</v>
      </c>
      <c r="D53" s="17">
        <v>2201010880</v>
      </c>
      <c r="E53" s="17" t="s">
        <v>1801</v>
      </c>
      <c r="F53" s="17" t="e">
        <f>VLOOKUP('2501_MIS '!C53,'[1]Fast Track '!B:K,10,FALSE)</f>
        <v>#N/A</v>
      </c>
      <c r="G53" s="17" t="str">
        <f>VLOOKUP(C53,[2]Sheet7!A:D,4,FALSE)</f>
        <v>Promoted</v>
      </c>
      <c r="H53" s="45" t="s">
        <v>3644</v>
      </c>
      <c r="I53" s="26" t="s">
        <v>3684</v>
      </c>
      <c r="J53" s="17" t="s">
        <v>992</v>
      </c>
      <c r="K53" s="17" t="str">
        <f>VLOOKUP(C53,[3]Sheet1!D:J,6,FALSE)</f>
        <v>2022545040.brajesh@pt.sharda.ac.in</v>
      </c>
      <c r="L53" s="17" t="str">
        <f>VLOOKUP(D53,[3]Sheet1!E:K,6,FALSE)</f>
        <v>6207194108</v>
      </c>
      <c r="M53" s="17" t="s">
        <v>15</v>
      </c>
      <c r="O53" t="e">
        <f>VLOOKUP(C53,#REF!,12,FALSE)</f>
        <v>#REF!</v>
      </c>
    </row>
    <row r="54" spans="1:15">
      <c r="A54" s="17">
        <v>53</v>
      </c>
      <c r="B54" s="17" t="s">
        <v>995</v>
      </c>
      <c r="C54" s="17">
        <v>2022565552</v>
      </c>
      <c r="D54" s="17">
        <v>2201010883</v>
      </c>
      <c r="E54" s="17" t="s">
        <v>1801</v>
      </c>
      <c r="F54" s="17" t="e">
        <f>VLOOKUP('2501_MIS '!C54,'[1]Fast Track '!B:K,10,FALSE)</f>
        <v>#N/A</v>
      </c>
      <c r="G54" s="17" t="str">
        <f>VLOOKUP(C54,[2]Sheet7!A:D,4,FALSE)</f>
        <v>Promoted</v>
      </c>
      <c r="H54" s="45" t="s">
        <v>3644</v>
      </c>
      <c r="I54" s="26" t="s">
        <v>3684</v>
      </c>
      <c r="J54" s="17" t="s">
        <v>996</v>
      </c>
      <c r="K54" s="17" t="str">
        <f>VLOOKUP(C54,[3]Sheet1!D:J,6,FALSE)</f>
        <v>2022565552.sushil@pt.sharda.ac.in</v>
      </c>
      <c r="L54" s="17" t="str">
        <f>VLOOKUP(D54,[3]Sheet1!E:K,6,FALSE)</f>
        <v>8709884394</v>
      </c>
      <c r="M54" s="17" t="s">
        <v>15</v>
      </c>
      <c r="O54" t="e">
        <f>VLOOKUP(C54,#REF!,12,FALSE)</f>
        <v>#REF!</v>
      </c>
    </row>
    <row r="55" spans="1:15">
      <c r="A55" s="17">
        <v>54</v>
      </c>
      <c r="B55" s="17" t="s">
        <v>1000</v>
      </c>
      <c r="C55" s="17">
        <v>2022583301</v>
      </c>
      <c r="D55" s="17">
        <v>2201010885</v>
      </c>
      <c r="E55" s="17" t="s">
        <v>1801</v>
      </c>
      <c r="F55" s="17" t="e">
        <f>VLOOKUP('2501_MIS '!C55,'[1]Fast Track '!B:K,10,FALSE)</f>
        <v>#N/A</v>
      </c>
      <c r="G55" s="17" t="str">
        <f>VLOOKUP(C55,[2]Sheet7!A:D,4,FALSE)</f>
        <v>Promoted</v>
      </c>
      <c r="H55" s="45" t="s">
        <v>3644</v>
      </c>
      <c r="I55" s="26" t="s">
        <v>3684</v>
      </c>
      <c r="J55" s="17" t="s">
        <v>1001</v>
      </c>
      <c r="K55" s="17" t="str">
        <f>VLOOKUP(C55,[3]Sheet1!D:J,6,FALSE)</f>
        <v>2022583301.anuj@pt.sharda.ac.in</v>
      </c>
      <c r="L55" s="17" t="str">
        <f>VLOOKUP(D55,[3]Sheet1!E:K,6,FALSE)</f>
        <v>8090322789</v>
      </c>
      <c r="M55" s="17" t="s">
        <v>15</v>
      </c>
      <c r="O55" t="e">
        <f>VLOOKUP(C55,#REF!,12,FALSE)</f>
        <v>#REF!</v>
      </c>
    </row>
    <row r="56" spans="1:15">
      <c r="A56" s="17">
        <v>55</v>
      </c>
      <c r="B56" s="17" t="s">
        <v>1002</v>
      </c>
      <c r="C56" s="17">
        <v>2022592906</v>
      </c>
      <c r="D56" s="17">
        <v>2201010889</v>
      </c>
      <c r="E56" s="17" t="s">
        <v>1801</v>
      </c>
      <c r="F56" s="17" t="e">
        <f>VLOOKUP('2501_MIS '!C56,'[1]Fast Track '!B:K,10,FALSE)</f>
        <v>#N/A</v>
      </c>
      <c r="G56" s="17" t="str">
        <f>VLOOKUP(C56,[2]Sheet7!A:D,4,FALSE)</f>
        <v>Promoted</v>
      </c>
      <c r="H56" s="45" t="s">
        <v>3644</v>
      </c>
      <c r="I56" s="26" t="s">
        <v>3684</v>
      </c>
      <c r="J56" s="17" t="s">
        <v>1003</v>
      </c>
      <c r="K56" s="17" t="str">
        <f>VLOOKUP(C56,[3]Sheet1!D:J,6,FALSE)</f>
        <v>2022592906.samdershi@pt.sharda.ac.in</v>
      </c>
      <c r="L56" s="17" t="str">
        <f>VLOOKUP(D56,[3]Sheet1!E:K,6,FALSE)</f>
        <v>9799320169</v>
      </c>
      <c r="M56" s="17" t="s">
        <v>15</v>
      </c>
      <c r="O56" t="e">
        <f>VLOOKUP(C56,#REF!,12,FALSE)</f>
        <v>#REF!</v>
      </c>
    </row>
    <row r="57" spans="1:15">
      <c r="A57" s="17">
        <v>56</v>
      </c>
      <c r="B57" s="17" t="s">
        <v>1004</v>
      </c>
      <c r="C57" s="17">
        <v>2022596015</v>
      </c>
      <c r="D57" s="17">
        <v>2201010893</v>
      </c>
      <c r="E57" s="17" t="s">
        <v>1801</v>
      </c>
      <c r="F57" s="17" t="e">
        <f>VLOOKUP('2501_MIS '!C57,'[1]Fast Track '!B:K,10,FALSE)</f>
        <v>#N/A</v>
      </c>
      <c r="G57" s="17" t="str">
        <f>VLOOKUP(C57,[2]Sheet7!A:D,4,FALSE)</f>
        <v>Promoted</v>
      </c>
      <c r="H57" s="45" t="s">
        <v>3644</v>
      </c>
      <c r="I57" s="26" t="s">
        <v>3684</v>
      </c>
      <c r="J57" s="17" t="s">
        <v>1005</v>
      </c>
      <c r="K57" s="17" t="str">
        <f>VLOOKUP(C57,[3]Sheet1!D:J,6,FALSE)</f>
        <v>2022596015.manoj@pt.sharda.ac.in</v>
      </c>
      <c r="L57" s="17" t="str">
        <f>VLOOKUP(D57,[3]Sheet1!E:K,6,FALSE)</f>
        <v>9122808279</v>
      </c>
      <c r="M57" s="17" t="s">
        <v>15</v>
      </c>
      <c r="O57" t="e">
        <f>VLOOKUP(C57,#REF!,12,FALSE)</f>
        <v>#REF!</v>
      </c>
    </row>
    <row r="58" spans="1:15">
      <c r="A58" s="17">
        <v>57</v>
      </c>
      <c r="B58" s="17" t="s">
        <v>1264</v>
      </c>
      <c r="C58" s="17">
        <v>2022609610</v>
      </c>
      <c r="D58" s="17">
        <v>2201010899</v>
      </c>
      <c r="E58" s="17" t="s">
        <v>1801</v>
      </c>
      <c r="F58" s="17" t="e">
        <f>VLOOKUP('2501_MIS '!C58,'[1]Fast Track '!B:K,10,FALSE)</f>
        <v>#N/A</v>
      </c>
      <c r="G58" s="17" t="str">
        <f>VLOOKUP(C58,[2]Sheet7!A:D,4,FALSE)</f>
        <v>Promoted</v>
      </c>
      <c r="H58" s="45" t="s">
        <v>3644</v>
      </c>
      <c r="I58" s="26" t="s">
        <v>3684</v>
      </c>
      <c r="J58" s="17" t="s">
        <v>1265</v>
      </c>
      <c r="K58" s="17" t="str">
        <f>VLOOKUP(C58,[3]Sheet1!D:J,6,FALSE)</f>
        <v>2022609610.ajay@pt.sharda.ac.in</v>
      </c>
      <c r="L58" s="17" t="str">
        <f>VLOOKUP(D58,[3]Sheet1!E:K,6,FALSE)</f>
        <v>7033292805</v>
      </c>
      <c r="M58" s="17" t="s">
        <v>15</v>
      </c>
      <c r="O58" t="e">
        <f>VLOOKUP(C58,#REF!,12,FALSE)</f>
        <v>#REF!</v>
      </c>
    </row>
    <row r="59" spans="1:15">
      <c r="A59" s="17">
        <v>58</v>
      </c>
      <c r="B59" s="17" t="s">
        <v>774</v>
      </c>
      <c r="C59" s="17">
        <v>2022837427</v>
      </c>
      <c r="D59" s="17">
        <v>2201010913</v>
      </c>
      <c r="E59" s="17" t="s">
        <v>1801</v>
      </c>
      <c r="F59" s="17" t="e">
        <f>VLOOKUP('2501_MIS '!C59,'[1]Fast Track '!B:K,10,FALSE)</f>
        <v>#N/A</v>
      </c>
      <c r="G59" s="17" t="str">
        <f>VLOOKUP(C59,[2]Sheet7!A:D,4,FALSE)</f>
        <v>Promoted</v>
      </c>
      <c r="H59" s="45" t="s">
        <v>3644</v>
      </c>
      <c r="I59" s="26" t="s">
        <v>3684</v>
      </c>
      <c r="J59" s="17" t="s">
        <v>775</v>
      </c>
      <c r="K59" s="17" t="str">
        <f>VLOOKUP(C59,[3]Sheet1!D:J,6,FALSE)</f>
        <v>2022837427.kanhaiyalal@pt.sharda.ac.in</v>
      </c>
      <c r="L59" s="17" t="str">
        <f>VLOOKUP(D59,[3]Sheet1!E:K,6,FALSE)</f>
        <v>977 9813003131</v>
      </c>
      <c r="M59" s="17" t="s">
        <v>15</v>
      </c>
      <c r="O59" t="e">
        <f>VLOOKUP(C59,#REF!,12,FALSE)</f>
        <v>#REF!</v>
      </c>
    </row>
    <row r="60" spans="1:15">
      <c r="A60" s="17">
        <v>59</v>
      </c>
      <c r="B60" s="17" t="s">
        <v>778</v>
      </c>
      <c r="C60" s="17">
        <v>2023248088</v>
      </c>
      <c r="D60" s="17">
        <v>2301017003</v>
      </c>
      <c r="E60" s="17" t="s">
        <v>1801</v>
      </c>
      <c r="F60" s="17" t="e">
        <f>VLOOKUP('2501_MIS '!C60,'[1]Fast Track '!B:K,10,FALSE)</f>
        <v>#N/A</v>
      </c>
      <c r="G60" s="17" t="str">
        <f>VLOOKUP(C60,[2]Sheet7!A:D,4,FALSE)</f>
        <v>Not Promoted</v>
      </c>
      <c r="H60" s="45" t="s">
        <v>3644</v>
      </c>
      <c r="I60" s="26" t="s">
        <v>3684</v>
      </c>
      <c r="J60" s="17" t="s">
        <v>779</v>
      </c>
      <c r="K60" s="17" t="str">
        <f>VLOOKUP(C60,[3]Sheet1!D:J,6,FALSE)</f>
        <v>2023248088.ch@pt.sharda.ac.in</v>
      </c>
      <c r="L60" s="17" t="str">
        <f>VLOOKUP(D60,[3]Sheet1!E:K,6,FALSE)</f>
        <v>9013572298</v>
      </c>
      <c r="M60" s="17" t="s">
        <v>15</v>
      </c>
      <c r="N60" s="58" t="s">
        <v>3686</v>
      </c>
      <c r="O60" t="e">
        <f>VLOOKUP(C60,#REF!,12,FALSE)</f>
        <v>#REF!</v>
      </c>
    </row>
    <row r="61" spans="1:15">
      <c r="A61" s="17">
        <v>60</v>
      </c>
      <c r="B61" s="17" t="s">
        <v>1010</v>
      </c>
      <c r="C61" s="17">
        <v>2023583466</v>
      </c>
      <c r="D61" s="17">
        <v>2301017012</v>
      </c>
      <c r="E61" s="17" t="s">
        <v>1801</v>
      </c>
      <c r="F61" s="17" t="e">
        <f>VLOOKUP('2501_MIS '!C61,'[1]Fast Track '!B:K,10,FALSE)</f>
        <v>#N/A</v>
      </c>
      <c r="G61" s="17" t="str">
        <f>VLOOKUP(C61,[2]Sheet7!A:D,4,FALSE)</f>
        <v>Promoted</v>
      </c>
      <c r="H61" s="45" t="s">
        <v>3644</v>
      </c>
      <c r="I61" s="26" t="s">
        <v>3684</v>
      </c>
      <c r="J61" s="17" t="s">
        <v>1011</v>
      </c>
      <c r="K61" s="17" t="str">
        <f>VLOOKUP(C61,[3]Sheet1!D:J,6,FALSE)</f>
        <v>2023583466.prakash@pt.sharda.ac.in</v>
      </c>
      <c r="L61" s="17" t="str">
        <f>VLOOKUP(D61,[3]Sheet1!E:K,6,FALSE)</f>
        <v>7479301653</v>
      </c>
      <c r="M61" s="17" t="s">
        <v>15</v>
      </c>
      <c r="O61" t="e">
        <f>VLOOKUP(C61,#REF!,12,FALSE)</f>
        <v>#REF!</v>
      </c>
    </row>
    <row r="62" spans="1:15">
      <c r="A62" s="17">
        <v>61</v>
      </c>
      <c r="B62" s="17" t="s">
        <v>1008</v>
      </c>
      <c r="C62" s="17">
        <v>2023524672</v>
      </c>
      <c r="D62" s="17">
        <v>2301017018</v>
      </c>
      <c r="E62" s="17" t="s">
        <v>1801</v>
      </c>
      <c r="F62" s="17" t="e">
        <f>VLOOKUP('2501_MIS '!C62,'[1]Fast Track '!B:K,10,FALSE)</f>
        <v>#N/A</v>
      </c>
      <c r="G62" s="17" t="str">
        <f>VLOOKUP(C62,[2]Sheet7!A:D,4,FALSE)</f>
        <v>Promoted</v>
      </c>
      <c r="H62" s="45" t="s">
        <v>3644</v>
      </c>
      <c r="I62" s="26" t="s">
        <v>3684</v>
      </c>
      <c r="J62" s="17" t="s">
        <v>1009</v>
      </c>
      <c r="K62" s="17" t="str">
        <f>VLOOKUP(C62,[3]Sheet1!D:J,6,FALSE)</f>
        <v>2023524672.sunil@pt.sharda.ac.in</v>
      </c>
      <c r="L62" s="17" t="str">
        <f>VLOOKUP(D62,[3]Sheet1!E:K,6,FALSE)</f>
        <v>8368285187</v>
      </c>
      <c r="M62" s="17" t="s">
        <v>15</v>
      </c>
      <c r="O62" t="e">
        <f>VLOOKUP(C62,#REF!,12,FALSE)</f>
        <v>#REF!</v>
      </c>
    </row>
    <row r="63" spans="1:15">
      <c r="A63" s="17">
        <v>62</v>
      </c>
      <c r="B63" s="17" t="s">
        <v>1006</v>
      </c>
      <c r="C63" s="17">
        <v>2023500162</v>
      </c>
      <c r="D63" s="17">
        <v>2301017020</v>
      </c>
      <c r="E63" s="17" t="s">
        <v>1801</v>
      </c>
      <c r="F63" s="17" t="e">
        <f>VLOOKUP('2501_MIS '!C63,'[1]Fast Track '!B:K,10,FALSE)</f>
        <v>#N/A</v>
      </c>
      <c r="G63" s="17" t="str">
        <f>VLOOKUP(C63,[2]Sheet7!A:D,4,FALSE)</f>
        <v>Promoted</v>
      </c>
      <c r="H63" s="45" t="s">
        <v>3644</v>
      </c>
      <c r="I63" s="26" t="s">
        <v>3684</v>
      </c>
      <c r="J63" s="17" t="s">
        <v>1007</v>
      </c>
      <c r="K63" s="17" t="str">
        <f>VLOOKUP(C63,[3]Sheet1!D:J,6,FALSE)</f>
        <v>2023500162.roshan@pt.sharda.ac.in</v>
      </c>
      <c r="L63" s="17" t="str">
        <f>VLOOKUP(D63,[3]Sheet1!E:K,6,FALSE)</f>
        <v>9305783117</v>
      </c>
      <c r="M63" s="17" t="s">
        <v>15</v>
      </c>
      <c r="O63" t="e">
        <f>VLOOKUP(C63,#REF!,12,FALSE)</f>
        <v>#REF!</v>
      </c>
    </row>
    <row r="64" spans="1:15">
      <c r="A64" s="17">
        <v>63</v>
      </c>
      <c r="B64" s="19" t="s">
        <v>1815</v>
      </c>
      <c r="C64" s="20">
        <v>2021479763</v>
      </c>
      <c r="D64" s="20">
        <v>210101025</v>
      </c>
      <c r="E64" s="17" t="s">
        <v>1801</v>
      </c>
      <c r="F64" s="17" t="e">
        <f>VLOOKUP('2501_MIS '!C64,'[1]Fast Track '!B:K,10,FALSE)</f>
        <v>#N/A</v>
      </c>
      <c r="G64" s="17" t="str">
        <f>VLOOKUP(C64,[2]Sheet7!A:D,4,FALSE)</f>
        <v>Not Promoted</v>
      </c>
      <c r="H64" s="45" t="s">
        <v>3644</v>
      </c>
      <c r="I64" s="26" t="s">
        <v>3684</v>
      </c>
      <c r="J64" s="6" t="s">
        <v>1816</v>
      </c>
      <c r="K64" s="6" t="s">
        <v>1945</v>
      </c>
      <c r="L64" s="6">
        <v>9140907009</v>
      </c>
      <c r="M64" s="19" t="s">
        <v>15</v>
      </c>
      <c r="O64" t="e">
        <f>VLOOKUP(C64,#REF!,12,FALSE)</f>
        <v>#REF!</v>
      </c>
    </row>
    <row r="65" spans="1:15">
      <c r="A65" s="17">
        <v>64</v>
      </c>
      <c r="B65" s="22" t="s">
        <v>1818</v>
      </c>
      <c r="C65" s="20">
        <v>2024389953</v>
      </c>
      <c r="D65" s="20"/>
      <c r="E65" s="17" t="s">
        <v>1801</v>
      </c>
      <c r="F65" s="17" t="e">
        <f>VLOOKUP('2501_MIS '!C65,'[1]Fast Track '!B:K,10,FALSE)</f>
        <v>#N/A</v>
      </c>
      <c r="G65" s="17" t="str">
        <f>VLOOKUP(C65,[2]Sheet7!A:D,4,FALSE)</f>
        <v>Not Promoted</v>
      </c>
      <c r="H65" s="45" t="s">
        <v>3644</v>
      </c>
      <c r="I65" s="26" t="s">
        <v>3684</v>
      </c>
      <c r="J65" s="6">
        <v>0</v>
      </c>
      <c r="K65" s="6">
        <v>0</v>
      </c>
      <c r="L65" s="6">
        <v>9693101494</v>
      </c>
      <c r="M65" s="19" t="s">
        <v>15</v>
      </c>
      <c r="O65" t="e">
        <f>VLOOKUP(C65,#REF!,12,FALSE)</f>
        <v>#REF!</v>
      </c>
    </row>
    <row r="66" spans="1:15">
      <c r="A66" s="17">
        <v>65</v>
      </c>
      <c r="B66" s="17" t="s">
        <v>1797</v>
      </c>
      <c r="C66" s="17">
        <v>2019005675</v>
      </c>
      <c r="D66" s="17">
        <v>190101319</v>
      </c>
      <c r="E66" s="17" t="s">
        <v>1803</v>
      </c>
      <c r="F66" s="17" t="e">
        <f>VLOOKUP('2501_MIS '!C66,'[1]Fast Track '!B:K,10,FALSE)</f>
        <v>#N/A</v>
      </c>
      <c r="G66" s="17" t="str">
        <f>VLOOKUP(C66,[2]Sheet7!A:D,4,FALSE)</f>
        <v>Not Promoted</v>
      </c>
      <c r="H66" s="45" t="s">
        <v>3645</v>
      </c>
      <c r="I66" s="26" t="s">
        <v>3649</v>
      </c>
      <c r="J66" s="59" t="s">
        <v>3688</v>
      </c>
      <c r="K66" s="17">
        <f>VLOOKUP(C66,[3]Sheet1!D:J,6,FALSE)</f>
        <v>0</v>
      </c>
      <c r="L66" s="17">
        <f>VLOOKUP(D66,[3]Sheet1!E:K,6,FALSE)</f>
        <v>0</v>
      </c>
      <c r="M66" s="17" t="s">
        <v>15</v>
      </c>
      <c r="O66" t="e">
        <f>VLOOKUP(C66,#REF!,12,FALSE)</f>
        <v>#REF!</v>
      </c>
    </row>
    <row r="67" spans="1:15">
      <c r="A67" s="17">
        <v>66</v>
      </c>
      <c r="B67" s="17" t="s">
        <v>1798</v>
      </c>
      <c r="C67" s="17">
        <v>2020516582</v>
      </c>
      <c r="D67" s="17">
        <v>200101181</v>
      </c>
      <c r="E67" s="17" t="s">
        <v>1803</v>
      </c>
      <c r="F67" s="17" t="e">
        <f>VLOOKUP('2501_MIS '!C67,'[1]Fast Track '!B:K,10,FALSE)</f>
        <v>#N/A</v>
      </c>
      <c r="G67" s="17" t="str">
        <f>VLOOKUP(C67,[2]Sheet7!A:D,4,FALSE)</f>
        <v>Not Promoted</v>
      </c>
      <c r="H67" s="45" t="s">
        <v>3645</v>
      </c>
      <c r="I67" s="26" t="s">
        <v>3649</v>
      </c>
      <c r="J67" s="17"/>
      <c r="K67" s="17">
        <f>VLOOKUP(C67,[3]Sheet1!D:J,6,FALSE)</f>
        <v>0</v>
      </c>
      <c r="L67" s="17">
        <f>VLOOKUP(D67,[3]Sheet1!E:K,6,FALSE)</f>
        <v>9319072044</v>
      </c>
      <c r="M67" s="17" t="s">
        <v>15</v>
      </c>
      <c r="O67" t="e">
        <f>VLOOKUP(C67,#REF!,12,FALSE)</f>
        <v>#REF!</v>
      </c>
    </row>
    <row r="68" spans="1:15">
      <c r="A68" s="17">
        <v>67</v>
      </c>
      <c r="B68" s="17" t="s">
        <v>1799</v>
      </c>
      <c r="C68" s="17">
        <v>2021378869</v>
      </c>
      <c r="D68" s="17">
        <v>210101036</v>
      </c>
      <c r="E68" s="17" t="s">
        <v>1803</v>
      </c>
      <c r="F68" s="17" t="e">
        <f>VLOOKUP('2501_MIS '!C68,'[1]Fast Track '!B:K,10,FALSE)</f>
        <v>#N/A</v>
      </c>
      <c r="G68" s="17" t="str">
        <f>VLOOKUP(C68,[2]Sheet7!A:D,4,FALSE)</f>
        <v>Not Promoted</v>
      </c>
      <c r="H68" s="45" t="s">
        <v>3645</v>
      </c>
      <c r="I68" s="26" t="s">
        <v>3649</v>
      </c>
      <c r="J68" s="17"/>
      <c r="K68" s="17" t="str">
        <f>VLOOKUP(C68,[3]Sheet1!D:J,6,FALSE)</f>
        <v>2021378869.lakshmipati@pt.sharda.ac.in</v>
      </c>
      <c r="L68" s="17" t="str">
        <f>VLOOKUP(D68,[3]Sheet1!E:K,6,FALSE)</f>
        <v>7718237260</v>
      </c>
      <c r="M68" s="17" t="s">
        <v>15</v>
      </c>
      <c r="O68" t="e">
        <f>VLOOKUP(C68,#REF!,12,FALSE)</f>
        <v>#REF!</v>
      </c>
    </row>
    <row r="69" spans="1:15">
      <c r="A69" s="17">
        <v>68</v>
      </c>
      <c r="B69" s="17" t="s">
        <v>1024</v>
      </c>
      <c r="C69" s="17">
        <v>2021420120</v>
      </c>
      <c r="D69" s="17">
        <v>210101143</v>
      </c>
      <c r="E69" s="17" t="s">
        <v>1803</v>
      </c>
      <c r="F69" s="17" t="e">
        <f>VLOOKUP('2501_MIS '!C69,'[1]Fast Track '!B:K,10,FALSE)</f>
        <v>#N/A</v>
      </c>
      <c r="G69" s="17" t="e">
        <f>VLOOKUP(C69,[2]Sheet7!A:D,4,FALSE)</f>
        <v>#N/A</v>
      </c>
      <c r="H69" s="45" t="s">
        <v>3645</v>
      </c>
      <c r="I69" s="26" t="s">
        <v>3649</v>
      </c>
      <c r="J69" s="17" t="s">
        <v>1025</v>
      </c>
      <c r="K69" s="17" t="str">
        <f>VLOOKUP(C69,[3]Sheet1!D:J,6,FALSE)</f>
        <v>2021420120.shahid@pt.sharda.ac.in</v>
      </c>
      <c r="L69" s="17" t="str">
        <f>VLOOKUP(D69,[3]Sheet1!E:K,6,FALSE)</f>
        <v>7417337133</v>
      </c>
      <c r="M69" s="17" t="s">
        <v>15</v>
      </c>
      <c r="N69" s="58" t="s">
        <v>3687</v>
      </c>
      <c r="O69" t="e">
        <f>VLOOKUP(C69,#REF!,12,FALSE)</f>
        <v>#REF!</v>
      </c>
    </row>
    <row r="70" spans="1:15">
      <c r="A70" s="17">
        <v>69</v>
      </c>
      <c r="B70" s="17" t="s">
        <v>1022</v>
      </c>
      <c r="C70" s="17">
        <v>2021003785</v>
      </c>
      <c r="D70" s="17">
        <v>210101586</v>
      </c>
      <c r="E70" s="17" t="s">
        <v>1803</v>
      </c>
      <c r="F70" s="17" t="e">
        <f>VLOOKUP('2501_MIS '!C70,'[1]Fast Track '!B:K,10,FALSE)</f>
        <v>#N/A</v>
      </c>
      <c r="G70" s="17" t="str">
        <f>VLOOKUP(C70,[2]Sheet7!A:D,4,FALSE)</f>
        <v>Promoted</v>
      </c>
      <c r="H70" s="45" t="s">
        <v>3645</v>
      </c>
      <c r="I70" s="26" t="s">
        <v>3649</v>
      </c>
      <c r="J70" s="17" t="s">
        <v>1023</v>
      </c>
      <c r="K70" s="17" t="str">
        <f>VLOOKUP(C70,[3]Sheet1!D:J,6,FALSE)</f>
        <v>2021003785.lalitkumar@pt.sharda.ac.in</v>
      </c>
      <c r="L70" s="17" t="str">
        <f>VLOOKUP(D70,[3]Sheet1!E:K,6,FALSE)</f>
        <v>9871907908</v>
      </c>
      <c r="M70" s="17" t="s">
        <v>15</v>
      </c>
      <c r="O70" t="e">
        <f>VLOOKUP(C70,#REF!,12,FALSE)</f>
        <v>#REF!</v>
      </c>
    </row>
    <row r="71" spans="1:15">
      <c r="A71" s="17">
        <v>70</v>
      </c>
      <c r="B71" s="17" t="s">
        <v>1042</v>
      </c>
      <c r="C71" s="17">
        <v>2022003574</v>
      </c>
      <c r="D71" s="17">
        <v>2201010001</v>
      </c>
      <c r="E71" s="17" t="s">
        <v>1803</v>
      </c>
      <c r="F71" s="17" t="e">
        <f>VLOOKUP('2501_MIS '!C71,'[1]Fast Track '!B:K,10,FALSE)</f>
        <v>#N/A</v>
      </c>
      <c r="G71" s="17" t="str">
        <f>VLOOKUP(C71,[2]Sheet7!A:D,4,FALSE)</f>
        <v>Promoted</v>
      </c>
      <c r="H71" s="45" t="s">
        <v>3645</v>
      </c>
      <c r="I71" s="26" t="s">
        <v>3649</v>
      </c>
      <c r="J71" s="17" t="s">
        <v>1043</v>
      </c>
      <c r="K71" s="17" t="str">
        <f>VLOOKUP(C71,[3]Sheet1!D:J,6,FALSE)</f>
        <v>2022003574.rupesh@pt.sharda.ac.in</v>
      </c>
      <c r="L71" s="17" t="str">
        <f>VLOOKUP(D71,[3]Sheet1!E:K,6,FALSE)</f>
        <v>9971308744</v>
      </c>
      <c r="M71" s="17" t="s">
        <v>15</v>
      </c>
      <c r="O71" t="e">
        <f>VLOOKUP(C71,#REF!,12,FALSE)</f>
        <v>#REF!</v>
      </c>
    </row>
    <row r="72" spans="1:15">
      <c r="A72" s="17">
        <v>71</v>
      </c>
      <c r="B72" s="17" t="s">
        <v>1070</v>
      </c>
      <c r="C72" s="17">
        <v>2022360529</v>
      </c>
      <c r="D72" s="17">
        <v>2201010022</v>
      </c>
      <c r="E72" s="17" t="s">
        <v>1803</v>
      </c>
      <c r="F72" s="17" t="e">
        <f>VLOOKUP('2501_MIS '!C72,'[1]Fast Track '!B:K,10,FALSE)</f>
        <v>#N/A</v>
      </c>
      <c r="G72" s="17" t="str">
        <f>VLOOKUP(C72,[2]Sheet7!A:D,4,FALSE)</f>
        <v>Promoted</v>
      </c>
      <c r="H72" s="45" t="s">
        <v>3645</v>
      </c>
      <c r="I72" s="26" t="s">
        <v>3649</v>
      </c>
      <c r="J72" s="17" t="s">
        <v>1071</v>
      </c>
      <c r="K72" s="17" t="str">
        <f>VLOOKUP(C72,[3]Sheet1!D:J,6,FALSE)</f>
        <v>2022360529.harishchandra@pt.sharda.ac.in</v>
      </c>
      <c r="L72" s="17" t="str">
        <f>VLOOKUP(D72,[3]Sheet1!E:K,6,FALSE)</f>
        <v>7300965989</v>
      </c>
      <c r="M72" s="17" t="s">
        <v>15</v>
      </c>
      <c r="O72" t="e">
        <f>VLOOKUP(C72,#REF!,12,FALSE)</f>
        <v>#REF!</v>
      </c>
    </row>
    <row r="73" spans="1:15">
      <c r="A73" s="17">
        <v>72</v>
      </c>
      <c r="B73" s="17" t="s">
        <v>1112</v>
      </c>
      <c r="C73" s="17">
        <v>2022538932</v>
      </c>
      <c r="D73" s="17">
        <v>2201010096</v>
      </c>
      <c r="E73" s="17" t="s">
        <v>1803</v>
      </c>
      <c r="F73" s="17" t="e">
        <f>VLOOKUP('2501_MIS '!C73,'[1]Fast Track '!B:K,10,FALSE)</f>
        <v>#N/A</v>
      </c>
      <c r="G73" s="17" t="str">
        <f>VLOOKUP(C73,[2]Sheet7!A:D,4,FALSE)</f>
        <v>Promoted</v>
      </c>
      <c r="H73" s="45" t="s">
        <v>3645</v>
      </c>
      <c r="I73" s="26" t="s">
        <v>3649</v>
      </c>
      <c r="J73" s="17" t="s">
        <v>1113</v>
      </c>
      <c r="K73" s="17" t="str">
        <f>VLOOKUP(C73,[3]Sheet1!D:J,6,FALSE)</f>
        <v>2022538932.chandrej@pt.sharda.ac.in</v>
      </c>
      <c r="L73" s="17" t="str">
        <f>VLOOKUP(D73,[3]Sheet1!E:K,6,FALSE)</f>
        <v>9625789885</v>
      </c>
      <c r="M73" s="17" t="s">
        <v>15</v>
      </c>
      <c r="O73" t="e">
        <f>VLOOKUP(C73,#REF!,12,FALSE)</f>
        <v>#REF!</v>
      </c>
    </row>
    <row r="74" spans="1:15">
      <c r="A74" s="17">
        <v>73</v>
      </c>
      <c r="B74" s="17" t="s">
        <v>1038</v>
      </c>
      <c r="C74" s="17">
        <v>2022002787</v>
      </c>
      <c r="D74" s="17">
        <v>2201010105</v>
      </c>
      <c r="E74" s="17" t="s">
        <v>1803</v>
      </c>
      <c r="F74" s="17" t="e">
        <f>VLOOKUP('2501_MIS '!C74,'[1]Fast Track '!B:K,10,FALSE)</f>
        <v>#N/A</v>
      </c>
      <c r="G74" s="17" t="str">
        <f>VLOOKUP(C74,[2]Sheet7!A:D,4,FALSE)</f>
        <v>Promoted</v>
      </c>
      <c r="H74" s="45" t="s">
        <v>3645</v>
      </c>
      <c r="I74" s="26" t="s">
        <v>3649</v>
      </c>
      <c r="J74" s="17" t="s">
        <v>1039</v>
      </c>
      <c r="K74" s="17" t="str">
        <f>VLOOKUP(C74,[3]Sheet1!D:J,6,FALSE)</f>
        <v>2022002787.ramprakash@pt.sharda.ac.in</v>
      </c>
      <c r="L74" s="17" t="str">
        <f>VLOOKUP(D74,[3]Sheet1!E:K,6,FALSE)</f>
        <v>8707433483</v>
      </c>
      <c r="M74" s="17" t="s">
        <v>15</v>
      </c>
      <c r="O74" t="e">
        <f>VLOOKUP(C74,#REF!,12,FALSE)</f>
        <v>#REF!</v>
      </c>
    </row>
    <row r="75" spans="1:15">
      <c r="A75" s="17">
        <v>74</v>
      </c>
      <c r="B75" s="17" t="s">
        <v>1052</v>
      </c>
      <c r="C75" s="17">
        <v>2022005229</v>
      </c>
      <c r="D75" s="17">
        <v>2201010115</v>
      </c>
      <c r="E75" s="17" t="s">
        <v>1803</v>
      </c>
      <c r="F75" s="17" t="e">
        <f>VLOOKUP('2501_MIS '!C75,'[1]Fast Track '!B:K,10,FALSE)</f>
        <v>#N/A</v>
      </c>
      <c r="G75" s="17" t="str">
        <f>VLOOKUP(C75,[2]Sheet7!A:D,4,FALSE)</f>
        <v>Promoted</v>
      </c>
      <c r="H75" s="45" t="s">
        <v>3645</v>
      </c>
      <c r="I75" s="26" t="s">
        <v>3649</v>
      </c>
      <c r="J75" s="17" t="s">
        <v>1053</v>
      </c>
      <c r="K75" s="17" t="str">
        <f>VLOOKUP(C75,[3]Sheet1!D:J,6,FALSE)</f>
        <v>2022005229.sohanlal@pt.sharda.ac.in</v>
      </c>
      <c r="L75" s="17" t="str">
        <f>VLOOKUP(D75,[3]Sheet1!E:K,6,FALSE)</f>
        <v>7827845687</v>
      </c>
      <c r="M75" s="17" t="s">
        <v>15</v>
      </c>
      <c r="O75" t="e">
        <f>VLOOKUP(C75,#REF!,12,FALSE)</f>
        <v>#REF!</v>
      </c>
    </row>
    <row r="76" spans="1:15">
      <c r="A76" s="17">
        <v>75</v>
      </c>
      <c r="B76" s="17" t="s">
        <v>1014</v>
      </c>
      <c r="C76" s="17">
        <v>2022419571</v>
      </c>
      <c r="D76" s="17">
        <v>2201010146</v>
      </c>
      <c r="E76" s="17" t="s">
        <v>1803</v>
      </c>
      <c r="F76" s="17" t="e">
        <f>VLOOKUP('2501_MIS '!C76,'[1]Fast Track '!B:K,10,FALSE)</f>
        <v>#N/A</v>
      </c>
      <c r="G76" s="17" t="str">
        <f>VLOOKUP(C76,[2]Sheet7!A:D,4,FALSE)</f>
        <v>Promoted</v>
      </c>
      <c r="H76" s="45" t="s">
        <v>3644</v>
      </c>
      <c r="I76" s="26" t="s">
        <v>3650</v>
      </c>
      <c r="J76" s="17" t="s">
        <v>1015</v>
      </c>
      <c r="K76" s="17" t="str">
        <f>VLOOKUP(C76,[3]Sheet1!D:J,6,FALSE)</f>
        <v>2022419571.sanjaybharat@pt.sharda.ac.in</v>
      </c>
      <c r="L76" s="17" t="str">
        <f>VLOOKUP(D76,[3]Sheet1!E:K,6,FALSE)</f>
        <v>9779994998</v>
      </c>
      <c r="M76" s="17" t="s">
        <v>15</v>
      </c>
      <c r="O76" t="e">
        <f>VLOOKUP(C76,#REF!,12,FALSE)</f>
        <v>#REF!</v>
      </c>
    </row>
    <row r="77" spans="1:15">
      <c r="A77" s="17">
        <v>76</v>
      </c>
      <c r="B77" s="17" t="s">
        <v>1084</v>
      </c>
      <c r="C77" s="17">
        <v>2022433389</v>
      </c>
      <c r="D77" s="17">
        <v>2201010183</v>
      </c>
      <c r="E77" s="17" t="s">
        <v>1803</v>
      </c>
      <c r="F77" s="17" t="e">
        <f>VLOOKUP('2501_MIS '!C77,'[1]Fast Track '!B:K,10,FALSE)</f>
        <v>#N/A</v>
      </c>
      <c r="G77" s="17" t="str">
        <f>VLOOKUP(C77,[2]Sheet7!A:D,4,FALSE)</f>
        <v>Promoted</v>
      </c>
      <c r="H77" s="45" t="s">
        <v>3645</v>
      </c>
      <c r="I77" s="26" t="s">
        <v>3649</v>
      </c>
      <c r="J77" s="17" t="s">
        <v>1085</v>
      </c>
      <c r="K77" s="17" t="str">
        <f>VLOOKUP(C77,[3]Sheet1!D:J,6,FALSE)</f>
        <v>2022433389.bollanvssambasiva@pt.sharda.ac.in</v>
      </c>
      <c r="L77" s="17" t="str">
        <f>VLOOKUP(D77,[3]Sheet1!E:K,6,FALSE)</f>
        <v>9492465566</v>
      </c>
      <c r="M77" s="17" t="s">
        <v>15</v>
      </c>
      <c r="O77" t="e">
        <f>VLOOKUP(C77,#REF!,12,FALSE)</f>
        <v>#REF!</v>
      </c>
    </row>
    <row r="78" spans="1:15">
      <c r="A78" s="17">
        <v>77</v>
      </c>
      <c r="B78" s="17" t="s">
        <v>1032</v>
      </c>
      <c r="C78" s="17">
        <v>2022002578</v>
      </c>
      <c r="D78" s="17">
        <v>2201010184</v>
      </c>
      <c r="E78" s="17" t="s">
        <v>1803</v>
      </c>
      <c r="F78" s="17" t="e">
        <f>VLOOKUP('2501_MIS '!C78,'[1]Fast Track '!B:K,10,FALSE)</f>
        <v>#N/A</v>
      </c>
      <c r="G78" s="17" t="str">
        <f>VLOOKUP(C78,[2]Sheet7!A:D,4,FALSE)</f>
        <v>Promoted</v>
      </c>
      <c r="H78" s="45" t="s">
        <v>3645</v>
      </c>
      <c r="I78" s="26" t="s">
        <v>3649</v>
      </c>
      <c r="J78" s="17" t="s">
        <v>1033</v>
      </c>
      <c r="K78" s="17" t="str">
        <f>VLOOKUP(C78,[3]Sheet1!D:J,6,FALSE)</f>
        <v>2022002578.bibhutibhushan@pt.sharda.ac.in</v>
      </c>
      <c r="L78" s="17" t="str">
        <f>VLOOKUP(D78,[3]Sheet1!E:K,6,FALSE)</f>
        <v>7735324362</v>
      </c>
      <c r="M78" s="17" t="s">
        <v>15</v>
      </c>
      <c r="O78" t="e">
        <f>VLOOKUP(C78,#REF!,12,FALSE)</f>
        <v>#REF!</v>
      </c>
    </row>
    <row r="79" spans="1:15">
      <c r="A79" s="17">
        <v>78</v>
      </c>
      <c r="B79" s="17" t="s">
        <v>1050</v>
      </c>
      <c r="C79" s="17">
        <v>2022005228</v>
      </c>
      <c r="D79" s="17">
        <v>2201010194</v>
      </c>
      <c r="E79" s="17" t="s">
        <v>1803</v>
      </c>
      <c r="F79" s="17" t="e">
        <f>VLOOKUP('2501_MIS '!C79,'[1]Fast Track '!B:K,10,FALSE)</f>
        <v>#N/A</v>
      </c>
      <c r="G79" s="17" t="str">
        <f>VLOOKUP(C79,[2]Sheet7!A:D,4,FALSE)</f>
        <v>Promoted</v>
      </c>
      <c r="H79" s="45" t="s">
        <v>3645</v>
      </c>
      <c r="I79" s="26" t="s">
        <v>3649</v>
      </c>
      <c r="J79" s="17" t="s">
        <v>1051</v>
      </c>
      <c r="K79" s="17" t="str">
        <f>VLOOKUP(C79,[3]Sheet1!D:J,6,FALSE)</f>
        <v>2022005228.sampurnanand@pt.sharda.ac.in</v>
      </c>
      <c r="L79" s="17" t="str">
        <f>VLOOKUP(D79,[3]Sheet1!E:K,6,FALSE)</f>
        <v>9267929004</v>
      </c>
      <c r="M79" s="17" t="s">
        <v>15</v>
      </c>
      <c r="O79" t="e">
        <f>VLOOKUP(C79,#REF!,12,FALSE)</f>
        <v>#REF!</v>
      </c>
    </row>
    <row r="80" spans="1:15">
      <c r="A80" s="17">
        <v>79</v>
      </c>
      <c r="B80" s="17" t="s">
        <v>1066</v>
      </c>
      <c r="C80" s="17">
        <v>2022349970</v>
      </c>
      <c r="D80" s="17">
        <v>2201010201</v>
      </c>
      <c r="E80" s="17" t="s">
        <v>1803</v>
      </c>
      <c r="F80" s="17" t="e">
        <f>VLOOKUP('2501_MIS '!C80,'[1]Fast Track '!B:K,10,FALSE)</f>
        <v>#N/A</v>
      </c>
      <c r="G80" s="17" t="str">
        <f>VLOOKUP(C80,[2]Sheet7!A:D,4,FALSE)</f>
        <v>Promoted</v>
      </c>
      <c r="H80" s="45" t="s">
        <v>3645</v>
      </c>
      <c r="I80" s="26" t="s">
        <v>3649</v>
      </c>
      <c r="J80" s="17" t="s">
        <v>1067</v>
      </c>
      <c r="K80" s="17" t="str">
        <f>VLOOKUP(C80,[3]Sheet1!D:J,6,FALSE)</f>
        <v>2022349970.manzoor@pt.sharda.ac.in</v>
      </c>
      <c r="L80" s="17" t="str">
        <f>VLOOKUP(D80,[3]Sheet1!E:K,6,FALSE)</f>
        <v>9873222919</v>
      </c>
      <c r="M80" s="17" t="s">
        <v>15</v>
      </c>
      <c r="O80" t="e">
        <f>VLOOKUP(C80,#REF!,12,FALSE)</f>
        <v>#REF!</v>
      </c>
    </row>
    <row r="81" spans="1:15">
      <c r="A81" s="17">
        <v>80</v>
      </c>
      <c r="B81" s="17" t="s">
        <v>1018</v>
      </c>
      <c r="C81" s="17">
        <v>2022565603</v>
      </c>
      <c r="D81" s="17">
        <v>2201010257</v>
      </c>
      <c r="E81" s="17" t="s">
        <v>1803</v>
      </c>
      <c r="F81" s="17" t="e">
        <f>VLOOKUP('2501_MIS '!C81,'[1]Fast Track '!B:K,10,FALSE)</f>
        <v>#N/A</v>
      </c>
      <c r="G81" s="17" t="str">
        <f>VLOOKUP(C81,[2]Sheet7!A:D,4,FALSE)</f>
        <v>Promoted</v>
      </c>
      <c r="H81" s="45" t="s">
        <v>3645</v>
      </c>
      <c r="I81" s="26" t="s">
        <v>3649</v>
      </c>
      <c r="J81" s="17" t="s">
        <v>1019</v>
      </c>
      <c r="K81" s="17" t="str">
        <f>VLOOKUP(C81,[3]Sheet1!D:J,6,FALSE)</f>
        <v>2022565603.mohammad@pt.sharda.ac.in</v>
      </c>
      <c r="L81" s="17" t="str">
        <f>VLOOKUP(D81,[3]Sheet1!E:K,6,FALSE)</f>
        <v>9906660583</v>
      </c>
      <c r="M81" s="17" t="s">
        <v>15</v>
      </c>
      <c r="O81" t="e">
        <f>VLOOKUP(C81,#REF!,12,FALSE)</f>
        <v>#REF!</v>
      </c>
    </row>
    <row r="82" spans="1:15">
      <c r="A82" s="17">
        <v>81</v>
      </c>
      <c r="B82" s="17" t="s">
        <v>1124</v>
      </c>
      <c r="C82" s="17">
        <v>2022804425</v>
      </c>
      <c r="D82" s="17">
        <v>2201010297</v>
      </c>
      <c r="E82" s="17" t="s">
        <v>1803</v>
      </c>
      <c r="F82" s="17" t="e">
        <f>VLOOKUP('2501_MIS '!C82,'[1]Fast Track '!B:K,10,FALSE)</f>
        <v>#N/A</v>
      </c>
      <c r="G82" s="17" t="str">
        <f>VLOOKUP(C82,[2]Sheet7!A:D,4,FALSE)</f>
        <v>Promoted</v>
      </c>
      <c r="H82" s="45" t="s">
        <v>3645</v>
      </c>
      <c r="I82" s="26" t="s">
        <v>3649</v>
      </c>
      <c r="J82" s="17" t="s">
        <v>1125</v>
      </c>
      <c r="K82" s="17" t="str">
        <f>VLOOKUP(C82,[3]Sheet1!D:J,6,FALSE)</f>
        <v>2022804425.ismail@pt.sharda.ac.in</v>
      </c>
      <c r="L82" s="17" t="str">
        <f>VLOOKUP(D82,[3]Sheet1!E:K,6,FALSE)</f>
        <v>91 9711260822</v>
      </c>
      <c r="M82" s="17" t="s">
        <v>15</v>
      </c>
      <c r="O82" t="e">
        <f>VLOOKUP(C82,#REF!,12,FALSE)</f>
        <v>#REF!</v>
      </c>
    </row>
    <row r="83" spans="1:15">
      <c r="A83" s="17">
        <v>82</v>
      </c>
      <c r="B83" s="17" t="s">
        <v>1040</v>
      </c>
      <c r="C83" s="17">
        <v>2022003231</v>
      </c>
      <c r="D83" s="17">
        <v>2201010312</v>
      </c>
      <c r="E83" s="17" t="s">
        <v>1803</v>
      </c>
      <c r="F83" s="17" t="e">
        <f>VLOOKUP('2501_MIS '!C83,'[1]Fast Track '!B:K,10,FALSE)</f>
        <v>#N/A</v>
      </c>
      <c r="G83" s="17" t="str">
        <f>VLOOKUP(C83,[2]Sheet7!A:D,4,FALSE)</f>
        <v>Promoted</v>
      </c>
      <c r="H83" s="45" t="s">
        <v>3645</v>
      </c>
      <c r="I83" s="26" t="s">
        <v>3649</v>
      </c>
      <c r="J83" s="17" t="s">
        <v>1041</v>
      </c>
      <c r="K83" s="17" t="str">
        <f>VLOOKUP(C83,[3]Sheet1!D:J,6,FALSE)</f>
        <v>2022003231.ashok@pt.sharda.ac.in</v>
      </c>
      <c r="L83" s="17" t="str">
        <f>VLOOKUP(D83,[3]Sheet1!E:K,6,FALSE)</f>
        <v>9670105704</v>
      </c>
      <c r="M83" s="17" t="s">
        <v>15</v>
      </c>
      <c r="O83" t="e">
        <f>VLOOKUP(C83,#REF!,12,FALSE)</f>
        <v>#REF!</v>
      </c>
    </row>
    <row r="84" spans="1:15">
      <c r="A84" s="17">
        <v>83</v>
      </c>
      <c r="B84" s="17" t="s">
        <v>1046</v>
      </c>
      <c r="C84" s="17">
        <v>2022004681</v>
      </c>
      <c r="D84" s="17">
        <v>2201010339</v>
      </c>
      <c r="E84" s="17" t="s">
        <v>1803</v>
      </c>
      <c r="F84" s="17" t="e">
        <f>VLOOKUP('2501_MIS '!C84,'[1]Fast Track '!B:K,10,FALSE)</f>
        <v>#N/A</v>
      </c>
      <c r="G84" s="17" t="str">
        <f>VLOOKUP(C84,[2]Sheet7!A:D,4,FALSE)</f>
        <v>Promoted</v>
      </c>
      <c r="H84" s="45" t="s">
        <v>3645</v>
      </c>
      <c r="I84" s="26" t="s">
        <v>3649</v>
      </c>
      <c r="J84" s="17" t="s">
        <v>1047</v>
      </c>
      <c r="K84" s="17" t="str">
        <f>VLOOKUP(C84,[3]Sheet1!D:J,6,FALSE)</f>
        <v>2022004681.ganeshsingh@pt.sharda.ac.in</v>
      </c>
      <c r="L84" s="17" t="str">
        <f>VLOOKUP(D84,[3]Sheet1!E:K,6,FALSE)</f>
        <v>9311608930</v>
      </c>
      <c r="M84" s="17" t="s">
        <v>15</v>
      </c>
      <c r="O84" t="e">
        <f>VLOOKUP(C84,#REF!,12,FALSE)</f>
        <v>#REF!</v>
      </c>
    </row>
    <row r="85" spans="1:15">
      <c r="A85" s="17">
        <v>84</v>
      </c>
      <c r="B85" s="17" t="s">
        <v>1090</v>
      </c>
      <c r="C85" s="17">
        <v>2022455169</v>
      </c>
      <c r="D85" s="17">
        <v>2201010348</v>
      </c>
      <c r="E85" s="17" t="s">
        <v>1803</v>
      </c>
      <c r="F85" s="17" t="e">
        <f>VLOOKUP('2501_MIS '!C85,'[1]Fast Track '!B:K,10,FALSE)</f>
        <v>#N/A</v>
      </c>
      <c r="G85" s="17" t="str">
        <f>VLOOKUP(C85,[2]Sheet7!A:D,4,FALSE)</f>
        <v>Promoted</v>
      </c>
      <c r="H85" s="45" t="s">
        <v>3645</v>
      </c>
      <c r="I85" s="26" t="s">
        <v>3649</v>
      </c>
      <c r="J85" s="17" t="s">
        <v>1091</v>
      </c>
      <c r="K85" s="17" t="str">
        <f>VLOOKUP(C85,[3]Sheet1!D:J,6,FALSE)</f>
        <v>2022455169.vishal@pt.sharda.ac.in</v>
      </c>
      <c r="L85" s="17" t="str">
        <f>VLOOKUP(D85,[3]Sheet1!E:K,6,FALSE)</f>
        <v>8429045577</v>
      </c>
      <c r="M85" s="17" t="s">
        <v>15</v>
      </c>
      <c r="O85" t="e">
        <f>VLOOKUP(C85,#REF!,12,FALSE)</f>
        <v>#REF!</v>
      </c>
    </row>
    <row r="86" spans="1:15">
      <c r="A86" s="17">
        <v>85</v>
      </c>
      <c r="B86" s="17" t="s">
        <v>274</v>
      </c>
      <c r="C86" s="17">
        <v>2022004703</v>
      </c>
      <c r="D86" s="17">
        <v>2201010314</v>
      </c>
      <c r="E86" s="17" t="s">
        <v>1803</v>
      </c>
      <c r="F86" s="17" t="e">
        <f>VLOOKUP('2501_MIS '!C86,'[1]Fast Track '!B:K,10,FALSE)</f>
        <v>#N/A</v>
      </c>
      <c r="G86" s="17" t="str">
        <f>VLOOKUP(C86,[2]Sheet7!A:D,4,FALSE)</f>
        <v>Promoted</v>
      </c>
      <c r="H86" s="45" t="s">
        <v>3644</v>
      </c>
      <c r="I86" s="26" t="s">
        <v>3650</v>
      </c>
      <c r="J86" s="17" t="s">
        <v>275</v>
      </c>
      <c r="K86" s="17" t="str">
        <f>VLOOKUP(C86,[3]Sheet1!D:J,6,FALSE)</f>
        <v>2022004703.mangala@pt.sharda.ac.in</v>
      </c>
      <c r="L86" s="17" t="str">
        <f>VLOOKUP(D86,[3]Sheet1!E:K,6,FALSE)</f>
        <v>7428770861</v>
      </c>
      <c r="M86" s="17" t="s">
        <v>15</v>
      </c>
      <c r="O86" t="e">
        <f>VLOOKUP(C86,#REF!,12,FALSE)</f>
        <v>#REF!</v>
      </c>
    </row>
    <row r="87" spans="1:15">
      <c r="A87" s="17">
        <v>86</v>
      </c>
      <c r="B87" s="17" t="s">
        <v>1074</v>
      </c>
      <c r="C87" s="17">
        <v>2022384000</v>
      </c>
      <c r="D87" s="17">
        <v>2201010357</v>
      </c>
      <c r="E87" s="17" t="s">
        <v>1803</v>
      </c>
      <c r="F87" s="17" t="e">
        <f>VLOOKUP('2501_MIS '!C87,'[1]Fast Track '!B:K,10,FALSE)</f>
        <v>#N/A</v>
      </c>
      <c r="G87" s="17" t="str">
        <f>VLOOKUP(C87,[2]Sheet7!A:D,4,FALSE)</f>
        <v>Promoted</v>
      </c>
      <c r="H87" s="45" t="s">
        <v>3645</v>
      </c>
      <c r="I87" s="26" t="s">
        <v>3649</v>
      </c>
      <c r="J87" s="17" t="s">
        <v>1075</v>
      </c>
      <c r="K87" s="17" t="str">
        <f>VLOOKUP(C87,[3]Sheet1!D:J,6,FALSE)</f>
        <v>2022384000.pramodkumar@pt.sharda.ac.in</v>
      </c>
      <c r="L87" s="17" t="str">
        <f>VLOOKUP(D87,[3]Sheet1!E:K,6,FALSE)</f>
        <v>7011772322</v>
      </c>
      <c r="M87" s="17" t="s">
        <v>15</v>
      </c>
      <c r="O87" t="e">
        <f>VLOOKUP(C87,#REF!,12,FALSE)</f>
        <v>#REF!</v>
      </c>
    </row>
    <row r="88" spans="1:15">
      <c r="A88" s="17">
        <v>87</v>
      </c>
      <c r="B88" s="17" t="s">
        <v>1094</v>
      </c>
      <c r="C88" s="17">
        <v>2022462273</v>
      </c>
      <c r="D88" s="17">
        <v>2201010360</v>
      </c>
      <c r="E88" s="17" t="s">
        <v>1803</v>
      </c>
      <c r="F88" s="17" t="e">
        <f>VLOOKUP('2501_MIS '!C88,'[1]Fast Track '!B:K,10,FALSE)</f>
        <v>#N/A</v>
      </c>
      <c r="G88" s="17" t="e">
        <f>VLOOKUP(C88,[2]Sheet7!A:D,4,FALSE)</f>
        <v>#N/A</v>
      </c>
      <c r="H88" s="45" t="s">
        <v>3645</v>
      </c>
      <c r="I88" s="26" t="s">
        <v>3649</v>
      </c>
      <c r="J88" s="17" t="s">
        <v>1095</v>
      </c>
      <c r="K88" s="17" t="str">
        <f>VLOOKUP(C88,[3]Sheet1!D:J,6,FALSE)</f>
        <v>2022462273.daulat@pt.sharda.ac.in</v>
      </c>
      <c r="L88" s="17" t="str">
        <f>VLOOKUP(D88,[3]Sheet1!E:K,6,FALSE)</f>
        <v>9891452413</v>
      </c>
      <c r="M88" s="17" t="s">
        <v>15</v>
      </c>
      <c r="O88" t="e">
        <f>VLOOKUP(C88,#REF!,12,FALSE)</f>
        <v>#REF!</v>
      </c>
    </row>
    <row r="89" spans="1:15">
      <c r="A89" s="17">
        <v>88</v>
      </c>
      <c r="B89" s="17" t="s">
        <v>1062</v>
      </c>
      <c r="C89" s="17">
        <v>2022308623</v>
      </c>
      <c r="D89" s="17">
        <v>2201010372</v>
      </c>
      <c r="E89" s="17" t="s">
        <v>1803</v>
      </c>
      <c r="F89" s="17" t="e">
        <f>VLOOKUP('2501_MIS '!C89,'[1]Fast Track '!B:K,10,FALSE)</f>
        <v>#N/A</v>
      </c>
      <c r="G89" s="17" t="str">
        <f>VLOOKUP(C89,[2]Sheet7!A:D,4,FALSE)</f>
        <v>Promoted</v>
      </c>
      <c r="H89" s="45" t="s">
        <v>3645</v>
      </c>
      <c r="I89" s="26" t="s">
        <v>3649</v>
      </c>
      <c r="J89" s="17" t="s">
        <v>1063</v>
      </c>
      <c r="K89" s="17" t="str">
        <f>VLOOKUP(C89,[3]Sheet1!D:J,6,FALSE)</f>
        <v>2022308623.muneshwar@pt.sharda.ac.in</v>
      </c>
      <c r="L89" s="17" t="str">
        <f>VLOOKUP(D89,[3]Sheet1!E:K,6,FALSE)</f>
        <v>9113385495</v>
      </c>
      <c r="M89" s="17" t="s">
        <v>15</v>
      </c>
      <c r="O89" t="e">
        <f>VLOOKUP(C89,#REF!,12,FALSE)</f>
        <v>#REF!</v>
      </c>
    </row>
    <row r="90" spans="1:15">
      <c r="A90" s="17">
        <v>89</v>
      </c>
      <c r="B90" s="17" t="s">
        <v>1064</v>
      </c>
      <c r="C90" s="17">
        <v>2022310930</v>
      </c>
      <c r="D90" s="17">
        <v>2201010376</v>
      </c>
      <c r="E90" s="17" t="s">
        <v>1803</v>
      </c>
      <c r="F90" s="17" t="e">
        <f>VLOOKUP('2501_MIS '!C90,'[1]Fast Track '!B:K,10,FALSE)</f>
        <v>#N/A</v>
      </c>
      <c r="G90" s="17" t="str">
        <f>VLOOKUP(C90,[2]Sheet7!A:D,4,FALSE)</f>
        <v>Promoted</v>
      </c>
      <c r="H90" s="45" t="s">
        <v>3645</v>
      </c>
      <c r="I90" s="26" t="s">
        <v>3649</v>
      </c>
      <c r="J90" s="17" t="s">
        <v>1065</v>
      </c>
      <c r="K90" s="17" t="str">
        <f>VLOOKUP(C90,[3]Sheet1!D:J,6,FALSE)</f>
        <v>2022310930.charan@pt.sharda.ac.in</v>
      </c>
      <c r="L90" s="17" t="str">
        <f>VLOOKUP(D90,[3]Sheet1!E:K,6,FALSE)</f>
        <v>9639101430</v>
      </c>
      <c r="M90" s="17" t="s">
        <v>15</v>
      </c>
      <c r="O90" t="e">
        <f>VLOOKUP(C90,#REF!,12,FALSE)</f>
        <v>#REF!</v>
      </c>
    </row>
    <row r="91" spans="1:15">
      <c r="A91" s="17">
        <v>90</v>
      </c>
      <c r="B91" s="17" t="s">
        <v>1108</v>
      </c>
      <c r="C91" s="17">
        <v>2022532088</v>
      </c>
      <c r="D91" s="17">
        <v>2201010378</v>
      </c>
      <c r="E91" s="17" t="s">
        <v>1803</v>
      </c>
      <c r="F91" s="17" t="e">
        <f>VLOOKUP('2501_MIS '!C91,'[1]Fast Track '!B:K,10,FALSE)</f>
        <v>#N/A</v>
      </c>
      <c r="G91" s="17" t="str">
        <f>VLOOKUP(C91,[2]Sheet7!A:D,4,FALSE)</f>
        <v>Promoted</v>
      </c>
      <c r="H91" s="45" t="s">
        <v>3645</v>
      </c>
      <c r="I91" s="26" t="s">
        <v>3649</v>
      </c>
      <c r="J91" s="17" t="s">
        <v>1109</v>
      </c>
      <c r="K91" s="17" t="str">
        <f>VLOOKUP(C91,[3]Sheet1!D:J,6,FALSE)</f>
        <v>2022532088.kripal@pt.sharda.ac.in</v>
      </c>
      <c r="L91" s="17" t="str">
        <f>VLOOKUP(D91,[3]Sheet1!E:K,6,FALSE)</f>
        <v>9319342611</v>
      </c>
      <c r="M91" s="17" t="s">
        <v>15</v>
      </c>
      <c r="O91" t="e">
        <f>VLOOKUP(C91,#REF!,12,FALSE)</f>
        <v>#REF!</v>
      </c>
    </row>
    <row r="92" spans="1:15">
      <c r="A92" s="17">
        <v>91</v>
      </c>
      <c r="B92" s="17" t="s">
        <v>1068</v>
      </c>
      <c r="C92" s="17">
        <v>2022355780</v>
      </c>
      <c r="D92" s="17">
        <v>2201010419</v>
      </c>
      <c r="E92" s="17" t="s">
        <v>1803</v>
      </c>
      <c r="F92" s="17" t="e">
        <f>VLOOKUP('2501_MIS '!C92,'[1]Fast Track '!B:K,10,FALSE)</f>
        <v>#N/A</v>
      </c>
      <c r="G92" s="17" t="str">
        <f>VLOOKUP(C92,[2]Sheet7!A:D,4,FALSE)</f>
        <v>Promoted</v>
      </c>
      <c r="H92" s="45" t="s">
        <v>3645</v>
      </c>
      <c r="I92" s="26" t="s">
        <v>3649</v>
      </c>
      <c r="J92" s="17" t="s">
        <v>1069</v>
      </c>
      <c r="K92" s="17" t="str">
        <f>VLOOKUP(C92,[3]Sheet1!D:J,6,FALSE)</f>
        <v>2022355780.musharrf@pt.sharda.ac.in</v>
      </c>
      <c r="L92" s="17" t="str">
        <f>VLOOKUP(D92,[3]Sheet1!E:K,6,FALSE)</f>
        <v>9582959385</v>
      </c>
      <c r="M92" s="17" t="s">
        <v>15</v>
      </c>
      <c r="O92" t="e">
        <f>VLOOKUP(C92,#REF!,12,FALSE)</f>
        <v>#REF!</v>
      </c>
    </row>
    <row r="93" spans="1:15">
      <c r="A93" s="17">
        <v>92</v>
      </c>
      <c r="B93" s="17" t="s">
        <v>1078</v>
      </c>
      <c r="C93" s="17">
        <v>2022408542</v>
      </c>
      <c r="D93" s="17">
        <v>2201010422</v>
      </c>
      <c r="E93" s="17" t="s">
        <v>1803</v>
      </c>
      <c r="F93" s="17" t="e">
        <f>VLOOKUP('2501_MIS '!C93,'[1]Fast Track '!B:K,10,FALSE)</f>
        <v>#N/A</v>
      </c>
      <c r="G93" s="17" t="str">
        <f>VLOOKUP(C93,[2]Sheet7!A:D,4,FALSE)</f>
        <v>Promoted</v>
      </c>
      <c r="H93" s="45" t="s">
        <v>3645</v>
      </c>
      <c r="I93" s="26" t="s">
        <v>3649</v>
      </c>
      <c r="J93" s="17" t="s">
        <v>1079</v>
      </c>
      <c r="K93" s="17" t="str">
        <f>VLOOKUP(C93,[3]Sheet1!D:J,6,FALSE)</f>
        <v>2022408542.ashiq@pt.sharda.ac.in</v>
      </c>
      <c r="L93" s="17" t="str">
        <f>VLOOKUP(D93,[3]Sheet1!E:K,6,FALSE)</f>
        <v>8795503584</v>
      </c>
      <c r="M93" s="17" t="s">
        <v>15</v>
      </c>
      <c r="O93" t="e">
        <f>VLOOKUP(C93,#REF!,12,FALSE)</f>
        <v>#REF!</v>
      </c>
    </row>
    <row r="94" spans="1:15">
      <c r="A94" s="17">
        <v>93</v>
      </c>
      <c r="B94" s="17" t="s">
        <v>1100</v>
      </c>
      <c r="C94" s="17">
        <v>2022486143</v>
      </c>
      <c r="D94" s="17">
        <v>2201010427</v>
      </c>
      <c r="E94" s="17" t="s">
        <v>1803</v>
      </c>
      <c r="F94" s="17" t="e">
        <f>VLOOKUP('2501_MIS '!C94,'[1]Fast Track '!B:K,10,FALSE)</f>
        <v>#N/A</v>
      </c>
      <c r="G94" s="17" t="str">
        <f>VLOOKUP(C94,[2]Sheet7!A:D,4,FALSE)</f>
        <v>Promoted</v>
      </c>
      <c r="H94" s="45" t="s">
        <v>3645</v>
      </c>
      <c r="I94" s="26" t="s">
        <v>3649</v>
      </c>
      <c r="J94" s="17" t="s">
        <v>1101</v>
      </c>
      <c r="K94" s="17" t="str">
        <f>VLOOKUP(C94,[3]Sheet1!D:J,6,FALSE)</f>
        <v>2022486143.mohdmahmood@pt.sharda.ac.in</v>
      </c>
      <c r="L94" s="17" t="str">
        <f>VLOOKUP(D94,[3]Sheet1!E:K,6,FALSE)</f>
        <v>9997228919</v>
      </c>
      <c r="M94" s="17" t="s">
        <v>15</v>
      </c>
      <c r="O94" t="e">
        <f>VLOOKUP(C94,#REF!,12,FALSE)</f>
        <v>#REF!</v>
      </c>
    </row>
    <row r="95" spans="1:15">
      <c r="A95" s="17">
        <v>94</v>
      </c>
      <c r="B95" s="17" t="s">
        <v>1026</v>
      </c>
      <c r="C95" s="17">
        <v>2022001475</v>
      </c>
      <c r="D95" s="17">
        <v>2201010429</v>
      </c>
      <c r="E95" s="17" t="s">
        <v>1803</v>
      </c>
      <c r="F95" s="17" t="e">
        <f>VLOOKUP('2501_MIS '!C95,'[1]Fast Track '!B:K,10,FALSE)</f>
        <v>#N/A</v>
      </c>
      <c r="G95" s="17" t="str">
        <f>VLOOKUP(C95,[2]Sheet7!A:D,4,FALSE)</f>
        <v>Promoted</v>
      </c>
      <c r="H95" s="45" t="s">
        <v>3645</v>
      </c>
      <c r="I95" s="26" t="s">
        <v>3649</v>
      </c>
      <c r="J95" s="17" t="s">
        <v>1027</v>
      </c>
      <c r="K95" s="17" t="str">
        <f>VLOOKUP(C95,[3]Sheet1!D:J,6,FALSE)</f>
        <v>2022001475.mohd@pt.sharda.ac.in</v>
      </c>
      <c r="L95" s="17" t="str">
        <f>VLOOKUP(D95,[3]Sheet1!E:K,6,FALSE)</f>
        <v>7291885856</v>
      </c>
      <c r="M95" s="17" t="s">
        <v>15</v>
      </c>
      <c r="O95" t="e">
        <f>VLOOKUP(C95,#REF!,12,FALSE)</f>
        <v>#REF!</v>
      </c>
    </row>
    <row r="96" spans="1:15">
      <c r="A96" s="17">
        <v>95</v>
      </c>
      <c r="B96" s="17" t="s">
        <v>1072</v>
      </c>
      <c r="C96" s="17">
        <v>2022368285</v>
      </c>
      <c r="D96" s="17">
        <v>2201010454</v>
      </c>
      <c r="E96" s="17" t="s">
        <v>1803</v>
      </c>
      <c r="F96" s="17" t="e">
        <f>VLOOKUP('2501_MIS '!C96,'[1]Fast Track '!B:K,10,FALSE)</f>
        <v>#N/A</v>
      </c>
      <c r="G96" s="17" t="str">
        <f>VLOOKUP(C96,[2]Sheet7!A:D,4,FALSE)</f>
        <v>Promoted</v>
      </c>
      <c r="H96" s="45" t="s">
        <v>3645</v>
      </c>
      <c r="I96" s="26" t="s">
        <v>3649</v>
      </c>
      <c r="J96" s="17" t="s">
        <v>1073</v>
      </c>
      <c r="K96" s="17" t="str">
        <f>VLOOKUP(C96,[3]Sheet1!D:J,6,FALSE)</f>
        <v>2022368285.sanjay@pt.sharda.ac.in</v>
      </c>
      <c r="L96" s="17" t="str">
        <f>VLOOKUP(D96,[3]Sheet1!E:K,6,FALSE)</f>
        <v>7060524955</v>
      </c>
      <c r="M96" s="17" t="s">
        <v>15</v>
      </c>
      <c r="O96" t="e">
        <f>VLOOKUP(C96,#REF!,12,FALSE)</f>
        <v>#REF!</v>
      </c>
    </row>
    <row r="97" spans="1:15">
      <c r="A97" s="17">
        <v>96</v>
      </c>
      <c r="B97" s="17" t="s">
        <v>1054</v>
      </c>
      <c r="C97" s="17">
        <v>2022005715</v>
      </c>
      <c r="D97" s="17">
        <v>2201010458</v>
      </c>
      <c r="E97" s="17" t="s">
        <v>1803</v>
      </c>
      <c r="F97" s="17" t="e">
        <f>VLOOKUP('2501_MIS '!C97,'[1]Fast Track '!B:K,10,FALSE)</f>
        <v>#N/A</v>
      </c>
      <c r="G97" s="17" t="str">
        <f>VLOOKUP(C97,[2]Sheet7!A:D,4,FALSE)</f>
        <v>Promoted</v>
      </c>
      <c r="H97" s="45" t="s">
        <v>3645</v>
      </c>
      <c r="I97" s="26" t="s">
        <v>3649</v>
      </c>
      <c r="J97" s="17" t="s">
        <v>1055</v>
      </c>
      <c r="K97" s="17" t="str">
        <f>VLOOKUP(C97,[3]Sheet1!D:J,6,FALSE)</f>
        <v>2022005715.ashok@pt.sharda.ac.in</v>
      </c>
      <c r="L97" s="17" t="str">
        <f>VLOOKUP(D97,[3]Sheet1!E:K,6,FALSE)</f>
        <v>7838600901</v>
      </c>
      <c r="M97" s="17" t="s">
        <v>15</v>
      </c>
      <c r="O97" t="e">
        <f>VLOOKUP(C97,#REF!,12,FALSE)</f>
        <v>#REF!</v>
      </c>
    </row>
    <row r="98" spans="1:15">
      <c r="A98" s="17">
        <v>97</v>
      </c>
      <c r="B98" s="17" t="s">
        <v>1104</v>
      </c>
      <c r="C98" s="17">
        <v>2022504837</v>
      </c>
      <c r="D98" s="17">
        <v>2201010464</v>
      </c>
      <c r="E98" s="17" t="s">
        <v>1803</v>
      </c>
      <c r="F98" s="17" t="e">
        <f>VLOOKUP('2501_MIS '!C98,'[1]Fast Track '!B:K,10,FALSE)</f>
        <v>#N/A</v>
      </c>
      <c r="G98" s="17" t="str">
        <f>VLOOKUP(C98,[2]Sheet7!A:D,4,FALSE)</f>
        <v>Promoted</v>
      </c>
      <c r="H98" s="45" t="s">
        <v>3644</v>
      </c>
      <c r="I98" s="26" t="s">
        <v>3650</v>
      </c>
      <c r="J98" s="17" t="s">
        <v>1105</v>
      </c>
      <c r="K98" s="17" t="str">
        <f>VLOOKUP(C98,[3]Sheet1!D:J,6,FALSE)</f>
        <v>2022504837.pradeepkumar@pt.sharda.ac.in</v>
      </c>
      <c r="L98" s="17" t="str">
        <f>VLOOKUP(D98,[3]Sheet1!E:K,6,FALSE)</f>
        <v>9938101244</v>
      </c>
      <c r="M98" s="17" t="s">
        <v>15</v>
      </c>
      <c r="O98" t="e">
        <f>VLOOKUP(C98,#REF!,12,FALSE)</f>
        <v>#REF!</v>
      </c>
    </row>
    <row r="99" spans="1:15">
      <c r="A99" s="17">
        <v>98</v>
      </c>
      <c r="B99" s="17" t="s">
        <v>1080</v>
      </c>
      <c r="C99" s="17">
        <v>2022413491</v>
      </c>
      <c r="D99" s="17">
        <v>2201010480</v>
      </c>
      <c r="E99" s="17" t="s">
        <v>1803</v>
      </c>
      <c r="F99" s="17" t="e">
        <f>VLOOKUP('2501_MIS '!C99,'[1]Fast Track '!B:K,10,FALSE)</f>
        <v>#N/A</v>
      </c>
      <c r="G99" s="17" t="str">
        <f>VLOOKUP(C99,[2]Sheet7!A:D,4,FALSE)</f>
        <v>Promoted</v>
      </c>
      <c r="H99" s="45" t="s">
        <v>3644</v>
      </c>
      <c r="I99" s="26" t="s">
        <v>3650</v>
      </c>
      <c r="J99" s="17" t="s">
        <v>1081</v>
      </c>
      <c r="K99" s="17" t="str">
        <f>VLOOKUP(C99,[3]Sheet1!D:J,6,FALSE)</f>
        <v>2022413491.ashish@pt.sharda.ac.in</v>
      </c>
      <c r="L99" s="17" t="str">
        <f>VLOOKUP(D99,[3]Sheet1!E:K,6,FALSE)</f>
        <v>9315976587</v>
      </c>
      <c r="M99" s="17" t="s">
        <v>15</v>
      </c>
      <c r="O99" t="e">
        <f>VLOOKUP(C99,#REF!,12,FALSE)</f>
        <v>#REF!</v>
      </c>
    </row>
    <row r="100" spans="1:15">
      <c r="A100" s="17">
        <v>99</v>
      </c>
      <c r="B100" s="17" t="s">
        <v>1116</v>
      </c>
      <c r="C100" s="17">
        <v>2022550696</v>
      </c>
      <c r="D100" s="17">
        <v>2201010483</v>
      </c>
      <c r="E100" s="17" t="s">
        <v>1803</v>
      </c>
      <c r="F100" s="17" t="e">
        <f>VLOOKUP('2501_MIS '!C100,'[1]Fast Track '!B:K,10,FALSE)</f>
        <v>#N/A</v>
      </c>
      <c r="G100" s="17" t="str">
        <f>VLOOKUP(C100,[2]Sheet7!A:D,4,FALSE)</f>
        <v>Promoted</v>
      </c>
      <c r="H100" s="45" t="s">
        <v>3644</v>
      </c>
      <c r="I100" s="26" t="s">
        <v>3650</v>
      </c>
      <c r="J100" s="17" t="s">
        <v>1117</v>
      </c>
      <c r="K100" s="17" t="str">
        <f>VLOOKUP(C100,[3]Sheet1!D:J,6,FALSE)</f>
        <v>2022550696.kedar@pt.sharda.ac.in</v>
      </c>
      <c r="L100" s="17" t="str">
        <f>VLOOKUP(D100,[3]Sheet1!E:K,6,FALSE)</f>
        <v>9805516702</v>
      </c>
      <c r="M100" s="17" t="s">
        <v>15</v>
      </c>
      <c r="O100" t="e">
        <f>VLOOKUP(C100,#REF!,12,FALSE)</f>
        <v>#REF!</v>
      </c>
    </row>
    <row r="101" spans="1:15">
      <c r="A101" s="17">
        <v>100</v>
      </c>
      <c r="B101" s="17" t="s">
        <v>361</v>
      </c>
      <c r="C101" s="17">
        <v>2022512176</v>
      </c>
      <c r="D101" s="17">
        <v>2201010399</v>
      </c>
      <c r="E101" s="17" t="s">
        <v>1803</v>
      </c>
      <c r="F101" s="17" t="e">
        <f>VLOOKUP('2501_MIS '!C101,'[1]Fast Track '!B:K,10,FALSE)</f>
        <v>#N/A</v>
      </c>
      <c r="G101" s="17" t="str">
        <f>VLOOKUP(C101,[2]Sheet7!A:D,4,FALSE)</f>
        <v>Promoted</v>
      </c>
      <c r="H101" s="45" t="s">
        <v>3644</v>
      </c>
      <c r="I101" s="26" t="s">
        <v>3650</v>
      </c>
      <c r="J101" s="17" t="s">
        <v>362</v>
      </c>
      <c r="K101" s="17" t="str">
        <f>VLOOKUP(C101,[3]Sheet1!D:J,6,FALSE)</f>
        <v>2022512176.surendrapal@pt.sharda.ac.in</v>
      </c>
      <c r="L101" s="17" t="str">
        <f>VLOOKUP(D101,[3]Sheet1!E:K,6,FALSE)</f>
        <v>9818358499</v>
      </c>
      <c r="M101" s="17" t="s">
        <v>15</v>
      </c>
      <c r="O101" t="e">
        <f>VLOOKUP(C101,#REF!,12,FALSE)</f>
        <v>#REF!</v>
      </c>
    </row>
    <row r="102" spans="1:15">
      <c r="A102" s="17">
        <v>101</v>
      </c>
      <c r="B102" s="17" t="s">
        <v>1020</v>
      </c>
      <c r="C102" s="17">
        <v>2022520753</v>
      </c>
      <c r="D102" s="17">
        <v>2201010502</v>
      </c>
      <c r="E102" s="17" t="s">
        <v>1803</v>
      </c>
      <c r="F102" s="17" t="e">
        <f>VLOOKUP('2501_MIS '!C102,'[1]Fast Track '!B:K,10,FALSE)</f>
        <v>#N/A</v>
      </c>
      <c r="G102" s="17" t="str">
        <f>VLOOKUP(C102,[2]Sheet7!A:D,4,FALSE)</f>
        <v>Promoted</v>
      </c>
      <c r="H102" s="45" t="s">
        <v>3644</v>
      </c>
      <c r="I102" s="26" t="s">
        <v>3650</v>
      </c>
      <c r="J102" s="17" t="s">
        <v>1021</v>
      </c>
      <c r="K102" s="17" t="str">
        <f>VLOOKUP(C102,[3]Sheet1!D:J,6,FALSE)</f>
        <v>2022520753.rb@pt.sharda.ac.in</v>
      </c>
      <c r="L102" s="17" t="str">
        <f>VLOOKUP(D102,[3]Sheet1!E:K,6,FALSE)</f>
        <v>9660767694</v>
      </c>
      <c r="M102" s="17" t="s">
        <v>15</v>
      </c>
      <c r="O102" t="e">
        <f>VLOOKUP(C102,#REF!,12,FALSE)</f>
        <v>#REF!</v>
      </c>
    </row>
    <row r="103" spans="1:15">
      <c r="A103" s="17">
        <v>102</v>
      </c>
      <c r="B103" s="17" t="s">
        <v>1110</v>
      </c>
      <c r="C103" s="17">
        <v>2022536903</v>
      </c>
      <c r="D103" s="17">
        <v>2201010506</v>
      </c>
      <c r="E103" s="17" t="s">
        <v>1803</v>
      </c>
      <c r="F103" s="17" t="e">
        <f>VLOOKUP('2501_MIS '!C103,'[1]Fast Track '!B:K,10,FALSE)</f>
        <v>#N/A</v>
      </c>
      <c r="G103" s="17" t="str">
        <f>VLOOKUP(C103,[2]Sheet7!A:D,4,FALSE)</f>
        <v>Promoted</v>
      </c>
      <c r="H103" s="45" t="s">
        <v>3644</v>
      </c>
      <c r="I103" s="26" t="s">
        <v>3650</v>
      </c>
      <c r="J103" s="17" t="s">
        <v>1111</v>
      </c>
      <c r="K103" s="17" t="str">
        <f>VLOOKUP(C103,[3]Sheet1!D:J,6,FALSE)</f>
        <v>2022536903.rakesh@pt.sharda.ac.in</v>
      </c>
      <c r="L103" s="17" t="str">
        <f>VLOOKUP(D103,[3]Sheet1!E:K,6,FALSE)</f>
        <v>6232679748</v>
      </c>
      <c r="M103" s="17" t="s">
        <v>15</v>
      </c>
      <c r="O103" t="e">
        <f>VLOOKUP(C103,#REF!,12,FALSE)</f>
        <v>#REF!</v>
      </c>
    </row>
    <row r="104" spans="1:15">
      <c r="A104" s="17">
        <v>103</v>
      </c>
      <c r="B104" s="17" t="s">
        <v>1016</v>
      </c>
      <c r="C104" s="17">
        <v>2022472521</v>
      </c>
      <c r="D104" s="17">
        <v>2201010526</v>
      </c>
      <c r="E104" s="17" t="s">
        <v>1803</v>
      </c>
      <c r="F104" s="17" t="e">
        <f>VLOOKUP('2501_MIS '!C104,'[1]Fast Track '!B:K,10,FALSE)</f>
        <v>#N/A</v>
      </c>
      <c r="G104" s="17" t="str">
        <f>VLOOKUP(C104,[2]Sheet7!A:D,4,FALSE)</f>
        <v>Promoted</v>
      </c>
      <c r="H104" s="45" t="s">
        <v>3644</v>
      </c>
      <c r="I104" s="26" t="s">
        <v>3650</v>
      </c>
      <c r="J104" s="17" t="s">
        <v>1017</v>
      </c>
      <c r="K104" s="17" t="str">
        <f>VLOOKUP(C104,[3]Sheet1!D:J,6,FALSE)</f>
        <v>2022472521.pitamsingh@pt.sharda.ac.in</v>
      </c>
      <c r="L104" s="17" t="str">
        <f>VLOOKUP(D104,[3]Sheet1!E:K,6,FALSE)</f>
        <v>8077924011</v>
      </c>
      <c r="M104" s="17" t="s">
        <v>15</v>
      </c>
      <c r="O104" t="e">
        <f>VLOOKUP(C104,#REF!,12,FALSE)</f>
        <v>#REF!</v>
      </c>
    </row>
    <row r="105" spans="1:15">
      <c r="A105" s="17">
        <v>104</v>
      </c>
      <c r="B105" s="17" t="s">
        <v>1088</v>
      </c>
      <c r="C105" s="17">
        <v>2022441764</v>
      </c>
      <c r="D105" s="17">
        <v>2201010529</v>
      </c>
      <c r="E105" s="17" t="s">
        <v>1803</v>
      </c>
      <c r="F105" s="17" t="e">
        <f>VLOOKUP('2501_MIS '!C105,'[1]Fast Track '!B:K,10,FALSE)</f>
        <v>#N/A</v>
      </c>
      <c r="G105" s="17" t="str">
        <f>VLOOKUP(C105,[2]Sheet7!A:D,4,FALSE)</f>
        <v>Promoted</v>
      </c>
      <c r="H105" s="45" t="s">
        <v>3644</v>
      </c>
      <c r="I105" s="26" t="s">
        <v>3650</v>
      </c>
      <c r="J105" s="17" t="s">
        <v>1089</v>
      </c>
      <c r="K105" s="17" t="str">
        <f>VLOOKUP(C105,[3]Sheet1!D:J,6,FALSE)</f>
        <v>2022441764.uttam@pt.sharda.ac.in</v>
      </c>
      <c r="L105" s="17" t="str">
        <f>VLOOKUP(D105,[3]Sheet1!E:K,6,FALSE)</f>
        <v>7011672041</v>
      </c>
      <c r="M105" s="17" t="s">
        <v>15</v>
      </c>
      <c r="O105" t="e">
        <f>VLOOKUP(C105,#REF!,12,FALSE)</f>
        <v>#REF!</v>
      </c>
    </row>
    <row r="106" spans="1:15">
      <c r="A106" s="17">
        <v>105</v>
      </c>
      <c r="B106" s="17" t="s">
        <v>1048</v>
      </c>
      <c r="C106" s="17">
        <v>2022004682</v>
      </c>
      <c r="D106" s="17">
        <v>2201010630</v>
      </c>
      <c r="E106" s="17" t="s">
        <v>1803</v>
      </c>
      <c r="F106" s="17" t="e">
        <f>VLOOKUP('2501_MIS '!C106,'[1]Fast Track '!B:K,10,FALSE)</f>
        <v>#N/A</v>
      </c>
      <c r="G106" s="17" t="str">
        <f>VLOOKUP(C106,[2]Sheet7!A:D,4,FALSE)</f>
        <v>Promoted</v>
      </c>
      <c r="H106" s="45" t="s">
        <v>3644</v>
      </c>
      <c r="I106" s="26" t="s">
        <v>3650</v>
      </c>
      <c r="J106" s="17" t="s">
        <v>1049</v>
      </c>
      <c r="K106" s="17" t="str">
        <f>VLOOKUP(C106,[3]Sheet1!D:J,6,FALSE)</f>
        <v>2022004682.kaushlendra@pt.sharda.ac.in</v>
      </c>
      <c r="L106" s="17" t="str">
        <f>VLOOKUP(D106,[3]Sheet1!E:K,6,FALSE)</f>
        <v>7086103151</v>
      </c>
      <c r="M106" s="17" t="s">
        <v>15</v>
      </c>
      <c r="O106" t="e">
        <f>VLOOKUP(C106,#REF!,12,FALSE)</f>
        <v>#REF!</v>
      </c>
    </row>
    <row r="107" spans="1:15">
      <c r="A107" s="17">
        <v>106</v>
      </c>
      <c r="B107" s="17" t="s">
        <v>1034</v>
      </c>
      <c r="C107" s="17">
        <v>2022002703</v>
      </c>
      <c r="D107" s="17">
        <v>2201010631</v>
      </c>
      <c r="E107" s="17" t="s">
        <v>1803</v>
      </c>
      <c r="F107" s="17" t="e">
        <f>VLOOKUP('2501_MIS '!C107,'[1]Fast Track '!B:K,10,FALSE)</f>
        <v>#N/A</v>
      </c>
      <c r="G107" s="17" t="str">
        <f>VLOOKUP(C107,[2]Sheet7!A:D,4,FALSE)</f>
        <v>Promoted</v>
      </c>
      <c r="H107" s="45" t="s">
        <v>3644</v>
      </c>
      <c r="I107" s="26" t="s">
        <v>3650</v>
      </c>
      <c r="J107" s="17" t="s">
        <v>1035</v>
      </c>
      <c r="K107" s="17" t="str">
        <f>VLOOKUP(C107,[3]Sheet1!D:J,6,FALSE)</f>
        <v>2022002703.amar@pt.sharda.ac.in</v>
      </c>
      <c r="L107" s="17" t="str">
        <f>VLOOKUP(D107,[3]Sheet1!E:K,6,FALSE)</f>
        <v>9773958121</v>
      </c>
      <c r="M107" s="17" t="s">
        <v>15</v>
      </c>
      <c r="O107" t="e">
        <f>VLOOKUP(C107,#REF!,12,FALSE)</f>
        <v>#REF!</v>
      </c>
    </row>
    <row r="108" spans="1:15">
      <c r="A108" s="17">
        <v>107</v>
      </c>
      <c r="B108" s="17" t="s">
        <v>1028</v>
      </c>
      <c r="C108" s="17">
        <v>2022001659</v>
      </c>
      <c r="D108" s="17">
        <v>2201010643</v>
      </c>
      <c r="E108" s="17" t="s">
        <v>1803</v>
      </c>
      <c r="F108" s="17" t="e">
        <f>VLOOKUP('2501_MIS '!C108,'[1]Fast Track '!B:K,10,FALSE)</f>
        <v>#N/A</v>
      </c>
      <c r="G108" s="17" t="str">
        <f>VLOOKUP(C108,[2]Sheet7!A:D,4,FALSE)</f>
        <v>Promoted</v>
      </c>
      <c r="H108" s="45" t="s">
        <v>3644</v>
      </c>
      <c r="I108" s="26" t="s">
        <v>3650</v>
      </c>
      <c r="J108" s="17" t="s">
        <v>1029</v>
      </c>
      <c r="K108" s="17" t="str">
        <f>VLOOKUP(C108,[3]Sheet1!D:J,6,FALSE)</f>
        <v>2022001659.harindra@pt.sharda.ac.in</v>
      </c>
      <c r="L108" s="17" t="str">
        <f>VLOOKUP(D108,[3]Sheet1!E:K,6,FALSE)</f>
        <v>8368169523</v>
      </c>
      <c r="M108" s="17" t="s">
        <v>15</v>
      </c>
      <c r="O108" t="e">
        <f>VLOOKUP(C108,#REF!,12,FALSE)</f>
        <v>#REF!</v>
      </c>
    </row>
    <row r="109" spans="1:15">
      <c r="A109" s="17">
        <v>108</v>
      </c>
      <c r="B109" s="17" t="s">
        <v>1036</v>
      </c>
      <c r="C109" s="17">
        <v>2022002786</v>
      </c>
      <c r="D109" s="17">
        <v>2201010667</v>
      </c>
      <c r="E109" s="17" t="s">
        <v>1803</v>
      </c>
      <c r="F109" s="17" t="e">
        <f>VLOOKUP('2501_MIS '!C109,'[1]Fast Track '!B:K,10,FALSE)</f>
        <v>#N/A</v>
      </c>
      <c r="G109" s="17" t="str">
        <f>VLOOKUP(C109,[2]Sheet7!A:D,4,FALSE)</f>
        <v>Promoted</v>
      </c>
      <c r="H109" s="45" t="s">
        <v>3644</v>
      </c>
      <c r="I109" s="26" t="s">
        <v>3650</v>
      </c>
      <c r="J109" s="17" t="s">
        <v>1037</v>
      </c>
      <c r="K109" s="17" t="str">
        <f>VLOOKUP(C109,[3]Sheet1!D:J,6,FALSE)</f>
        <v>2022002786.durgesh@pt.sharda.ac.in</v>
      </c>
      <c r="L109" s="17" t="str">
        <f>VLOOKUP(D109,[3]Sheet1!E:K,6,FALSE)</f>
        <v>6388775326</v>
      </c>
      <c r="M109" s="17" t="s">
        <v>15</v>
      </c>
      <c r="O109" t="e">
        <f>VLOOKUP(C109,#REF!,12,FALSE)</f>
        <v>#REF!</v>
      </c>
    </row>
    <row r="110" spans="1:15">
      <c r="A110" s="17">
        <v>109</v>
      </c>
      <c r="B110" s="17" t="s">
        <v>1086</v>
      </c>
      <c r="C110" s="17">
        <v>2022437700</v>
      </c>
      <c r="D110" s="17">
        <v>2201010706</v>
      </c>
      <c r="E110" s="17" t="s">
        <v>1803</v>
      </c>
      <c r="F110" s="17" t="e">
        <f>VLOOKUP('2501_MIS '!C110,'[1]Fast Track '!B:K,10,FALSE)</f>
        <v>#N/A</v>
      </c>
      <c r="G110" s="17" t="str">
        <f>VLOOKUP(C110,[2]Sheet7!A:D,4,FALSE)</f>
        <v>Promoted</v>
      </c>
      <c r="H110" s="45" t="s">
        <v>3644</v>
      </c>
      <c r="I110" s="26" t="s">
        <v>3650</v>
      </c>
      <c r="J110" s="17" t="s">
        <v>1087</v>
      </c>
      <c r="K110" s="17" t="str">
        <f>VLOOKUP(C110,[3]Sheet1!D:J,6,FALSE)</f>
        <v>2022437700.santosh@pt.sharda.ac.in</v>
      </c>
      <c r="L110" s="17" t="str">
        <f>VLOOKUP(D110,[3]Sheet1!E:K,6,FALSE)</f>
        <v>9917060828</v>
      </c>
      <c r="M110" s="17" t="s">
        <v>15</v>
      </c>
      <c r="O110" t="e">
        <f>VLOOKUP(C110,#REF!,12,FALSE)</f>
        <v>#REF!</v>
      </c>
    </row>
    <row r="111" spans="1:15">
      <c r="A111" s="17">
        <v>110</v>
      </c>
      <c r="B111" s="17" t="s">
        <v>1030</v>
      </c>
      <c r="C111" s="17">
        <v>2022001846</v>
      </c>
      <c r="D111" s="17">
        <v>2201010715</v>
      </c>
      <c r="E111" s="17" t="s">
        <v>1803</v>
      </c>
      <c r="F111" s="17" t="e">
        <f>VLOOKUP('2501_MIS '!C111,'[1]Fast Track '!B:K,10,FALSE)</f>
        <v>#N/A</v>
      </c>
      <c r="G111" s="17" t="str">
        <f>VLOOKUP(C111,[2]Sheet7!A:D,4,FALSE)</f>
        <v>Promoted</v>
      </c>
      <c r="H111" s="45" t="s">
        <v>3644</v>
      </c>
      <c r="I111" s="26" t="s">
        <v>3650</v>
      </c>
      <c r="J111" s="17" t="s">
        <v>1031</v>
      </c>
      <c r="K111" s="17" t="str">
        <f>VLOOKUP(C111,[3]Sheet1!D:J,6,FALSE)</f>
        <v>2022001846.narendra@pt.sharda.ac.in</v>
      </c>
      <c r="L111" s="17" t="str">
        <f>VLOOKUP(D111,[3]Sheet1!E:K,6,FALSE)</f>
        <v>6307068781</v>
      </c>
      <c r="M111" s="17" t="s">
        <v>15</v>
      </c>
      <c r="O111" t="e">
        <f>VLOOKUP(C111,#REF!,12,FALSE)</f>
        <v>#REF!</v>
      </c>
    </row>
    <row r="112" spans="1:15">
      <c r="A112" s="17">
        <v>111</v>
      </c>
      <c r="B112" s="17" t="s">
        <v>1092</v>
      </c>
      <c r="C112" s="17">
        <v>2022461609</v>
      </c>
      <c r="D112" s="17">
        <v>2201010734</v>
      </c>
      <c r="E112" s="17" t="s">
        <v>1803</v>
      </c>
      <c r="F112" s="17" t="e">
        <f>VLOOKUP('2501_MIS '!C112,'[1]Fast Track '!B:K,10,FALSE)</f>
        <v>#N/A</v>
      </c>
      <c r="G112" s="17" t="str">
        <f>VLOOKUP(C112,[2]Sheet7!A:D,4,FALSE)</f>
        <v>Promoted</v>
      </c>
      <c r="H112" s="45" t="s">
        <v>3644</v>
      </c>
      <c r="I112" s="26" t="s">
        <v>3650</v>
      </c>
      <c r="J112" s="17" t="s">
        <v>1093</v>
      </c>
      <c r="K112" s="17" t="str">
        <f>VLOOKUP(C112,[3]Sheet1!D:J,6,FALSE)</f>
        <v>2022461609.pushpendra@pt.sharda.ac.in</v>
      </c>
      <c r="L112" s="17" t="str">
        <f>VLOOKUP(D112,[3]Sheet1!E:K,6,FALSE)</f>
        <v>8171454014</v>
      </c>
      <c r="M112" s="17" t="s">
        <v>15</v>
      </c>
      <c r="O112" t="e">
        <f>VLOOKUP(C112,#REF!,12,FALSE)</f>
        <v>#REF!</v>
      </c>
    </row>
    <row r="113" spans="1:15">
      <c r="A113" s="17">
        <v>112</v>
      </c>
      <c r="B113" s="17" t="s">
        <v>1118</v>
      </c>
      <c r="C113" s="17">
        <v>2022559074</v>
      </c>
      <c r="D113" s="17">
        <v>2201010762</v>
      </c>
      <c r="E113" s="17" t="s">
        <v>1803</v>
      </c>
      <c r="F113" s="17" t="e">
        <f>VLOOKUP('2501_MIS '!C113,'[1]Fast Track '!B:K,10,FALSE)</f>
        <v>#N/A</v>
      </c>
      <c r="G113" s="17" t="str">
        <f>VLOOKUP(C113,[2]Sheet7!A:D,4,FALSE)</f>
        <v>Promoted</v>
      </c>
      <c r="H113" s="45" t="s">
        <v>3644</v>
      </c>
      <c r="I113" s="26" t="s">
        <v>3650</v>
      </c>
      <c r="J113" s="17" t="s">
        <v>1119</v>
      </c>
      <c r="K113" s="17" t="str">
        <f>VLOOKUP(C113,[3]Sheet1!D:J,6,FALSE)</f>
        <v>2022559074.harindra@pt.sharda.ac.in</v>
      </c>
      <c r="L113" s="17" t="str">
        <f>VLOOKUP(D113,[3]Sheet1!E:K,6,FALSE)</f>
        <v>8957910748</v>
      </c>
      <c r="M113" s="17" t="s">
        <v>15</v>
      </c>
      <c r="O113" t="e">
        <f>VLOOKUP(C113,#REF!,12,FALSE)</f>
        <v>#REF!</v>
      </c>
    </row>
    <row r="114" spans="1:15">
      <c r="A114" s="17">
        <v>113</v>
      </c>
      <c r="B114" s="17" t="s">
        <v>1114</v>
      </c>
      <c r="C114" s="17">
        <v>2022545204</v>
      </c>
      <c r="D114" s="17">
        <v>2201010778</v>
      </c>
      <c r="E114" s="17" t="s">
        <v>1803</v>
      </c>
      <c r="F114" s="17" t="e">
        <f>VLOOKUP('2501_MIS '!C114,'[1]Fast Track '!B:K,10,FALSE)</f>
        <v>#N/A</v>
      </c>
      <c r="G114" s="17" t="str">
        <f>VLOOKUP(C114,[2]Sheet7!A:D,4,FALSE)</f>
        <v>Promoted</v>
      </c>
      <c r="H114" s="45" t="s">
        <v>3644</v>
      </c>
      <c r="I114" s="26" t="s">
        <v>3650</v>
      </c>
      <c r="J114" s="17" t="s">
        <v>1115</v>
      </c>
      <c r="K114" s="17" t="str">
        <f>VLOOKUP(C114,[3]Sheet1!D:J,6,FALSE)</f>
        <v>2022545204.vinitkumar@pt.sharda.ac.in</v>
      </c>
      <c r="L114" s="17" t="str">
        <f>VLOOKUP(D114,[3]Sheet1!E:K,6,FALSE)</f>
        <v>7992322057</v>
      </c>
      <c r="M114" s="17" t="s">
        <v>15</v>
      </c>
      <c r="O114" t="e">
        <f>VLOOKUP(C114,#REF!,12,FALSE)</f>
        <v>#REF!</v>
      </c>
    </row>
    <row r="115" spans="1:15">
      <c r="A115" s="17">
        <v>114</v>
      </c>
      <c r="B115" s="17" t="s">
        <v>1098</v>
      </c>
      <c r="C115" s="17">
        <v>2022473978</v>
      </c>
      <c r="D115" s="17">
        <v>2201010781</v>
      </c>
      <c r="E115" s="17" t="s">
        <v>1803</v>
      </c>
      <c r="F115" s="17" t="e">
        <f>VLOOKUP('2501_MIS '!C115,'[1]Fast Track '!B:K,10,FALSE)</f>
        <v>#N/A</v>
      </c>
      <c r="G115" s="17" t="str">
        <f>VLOOKUP(C115,[2]Sheet7!A:D,4,FALSE)</f>
        <v>Promoted</v>
      </c>
      <c r="H115" s="45" t="s">
        <v>3644</v>
      </c>
      <c r="I115" s="26" t="s">
        <v>3650</v>
      </c>
      <c r="J115" s="17" t="s">
        <v>1099</v>
      </c>
      <c r="K115" s="17" t="str">
        <f>VLOOKUP(C115,[3]Sheet1!D:J,6,FALSE)</f>
        <v>2022473978.haribansh@pt.sharda.ac.in</v>
      </c>
      <c r="L115" s="17" t="str">
        <f>VLOOKUP(D115,[3]Sheet1!E:K,6,FALSE)</f>
        <v>8528324138</v>
      </c>
      <c r="M115" s="17" t="s">
        <v>15</v>
      </c>
      <c r="O115" t="e">
        <f>VLOOKUP(C115,#REF!,12,FALSE)</f>
        <v>#REF!</v>
      </c>
    </row>
    <row r="116" spans="1:15">
      <c r="A116" s="17">
        <v>115</v>
      </c>
      <c r="B116" s="17" t="s">
        <v>1096</v>
      </c>
      <c r="C116" s="17">
        <v>2022470797</v>
      </c>
      <c r="D116" s="17">
        <v>2201010810</v>
      </c>
      <c r="E116" s="17" t="s">
        <v>1803</v>
      </c>
      <c r="F116" s="17" t="e">
        <f>VLOOKUP('2501_MIS '!C116,'[1]Fast Track '!B:K,10,FALSE)</f>
        <v>#N/A</v>
      </c>
      <c r="G116" s="17" t="str">
        <f>VLOOKUP(C116,[2]Sheet7!A:D,4,FALSE)</f>
        <v>Promoted</v>
      </c>
      <c r="H116" s="45" t="s">
        <v>3644</v>
      </c>
      <c r="I116" s="26" t="s">
        <v>3650</v>
      </c>
      <c r="J116" s="17" t="s">
        <v>1097</v>
      </c>
      <c r="K116" s="17" t="str">
        <f>VLOOKUP(C116,[3]Sheet1!D:J,6,FALSE)</f>
        <v>2022470797.pushpendra@pt.sharda.ac.in</v>
      </c>
      <c r="L116" s="17" t="str">
        <f>VLOOKUP(D116,[3]Sheet1!E:K,6,FALSE)</f>
        <v>8630299246</v>
      </c>
      <c r="M116" s="17" t="s">
        <v>15</v>
      </c>
      <c r="O116" t="e">
        <f>VLOOKUP(C116,#REF!,12,FALSE)</f>
        <v>#REF!</v>
      </c>
    </row>
    <row r="117" spans="1:15">
      <c r="A117" s="17">
        <v>116</v>
      </c>
      <c r="B117" s="17" t="s">
        <v>1082</v>
      </c>
      <c r="C117" s="17">
        <v>2022415397</v>
      </c>
      <c r="D117" s="17">
        <v>2201010811</v>
      </c>
      <c r="E117" s="17" t="s">
        <v>1803</v>
      </c>
      <c r="F117" s="17" t="e">
        <f>VLOOKUP('2501_MIS '!C117,'[1]Fast Track '!B:K,10,FALSE)</f>
        <v>#N/A</v>
      </c>
      <c r="G117" s="17" t="str">
        <f>VLOOKUP(C117,[2]Sheet7!A:D,4,FALSE)</f>
        <v>Promoted</v>
      </c>
      <c r="H117" s="45" t="s">
        <v>3644</v>
      </c>
      <c r="I117" s="26" t="s">
        <v>3650</v>
      </c>
      <c r="J117" s="17" t="s">
        <v>1083</v>
      </c>
      <c r="K117" s="17" t="str">
        <f>VLOOKUP(C117,[3]Sheet1!D:J,6,FALSE)</f>
        <v>2022415397.dharmendra@pt.sharda.ac.in</v>
      </c>
      <c r="L117" s="17" t="str">
        <f>VLOOKUP(D117,[3]Sheet1!E:K,6,FALSE)</f>
        <v>6299651541</v>
      </c>
      <c r="M117" s="17" t="s">
        <v>15</v>
      </c>
      <c r="O117" t="e">
        <f>VLOOKUP(C117,#REF!,12,FALSE)</f>
        <v>#REF!</v>
      </c>
    </row>
    <row r="118" spans="1:15">
      <c r="A118" s="17">
        <v>117</v>
      </c>
      <c r="B118" s="17" t="s">
        <v>1012</v>
      </c>
      <c r="C118" s="17">
        <v>2022004909</v>
      </c>
      <c r="D118" s="17">
        <v>2201010827</v>
      </c>
      <c r="E118" s="17" t="s">
        <v>1803</v>
      </c>
      <c r="F118" s="17" t="e">
        <f>VLOOKUP('2501_MIS '!C118,'[1]Fast Track '!B:K,10,FALSE)</f>
        <v>#N/A</v>
      </c>
      <c r="G118" s="17" t="str">
        <f>VLOOKUP(C118,[2]Sheet7!A:D,4,FALSE)</f>
        <v>Promoted</v>
      </c>
      <c r="H118" s="45" t="s">
        <v>3644</v>
      </c>
      <c r="I118" s="26" t="s">
        <v>3650</v>
      </c>
      <c r="J118" s="17" t="s">
        <v>1013</v>
      </c>
      <c r="K118" s="17" t="str">
        <f>VLOOKUP(C118,[3]Sheet1!D:J,6,FALSE)</f>
        <v>2022004909.sajidmahammad@pt.sharda.ac.in</v>
      </c>
      <c r="L118" s="17" t="str">
        <f>VLOOKUP(D118,[3]Sheet1!E:K,6,FALSE)</f>
        <v>9729927709</v>
      </c>
      <c r="M118" s="17" t="s">
        <v>15</v>
      </c>
      <c r="O118" t="e">
        <f>VLOOKUP(C118,#REF!,12,FALSE)</f>
        <v>#REF!</v>
      </c>
    </row>
    <row r="119" spans="1:15">
      <c r="A119" s="17">
        <v>118</v>
      </c>
      <c r="B119" s="17" t="s">
        <v>306</v>
      </c>
      <c r="C119" s="17">
        <v>2022372515</v>
      </c>
      <c r="D119" s="17">
        <v>2201010518</v>
      </c>
      <c r="E119" s="17" t="s">
        <v>1803</v>
      </c>
      <c r="F119" s="17" t="e">
        <f>VLOOKUP('2501_MIS '!C119,'[1]Fast Track '!B:K,10,FALSE)</f>
        <v>#N/A</v>
      </c>
      <c r="G119" s="17" t="str">
        <f>VLOOKUP(C119,[2]Sheet7!A:D,4,FALSE)</f>
        <v>Promoted</v>
      </c>
      <c r="H119" s="45" t="s">
        <v>3644</v>
      </c>
      <c r="I119" s="26" t="s">
        <v>3650</v>
      </c>
      <c r="J119" s="17" t="s">
        <v>307</v>
      </c>
      <c r="K119" s="17" t="str">
        <f>VLOOKUP(C119,[3]Sheet1!D:J,6,FALSE)</f>
        <v>2022372515.virendra@pt.sharda.ac.in</v>
      </c>
      <c r="L119" s="17" t="str">
        <f>VLOOKUP(D119,[3]Sheet1!E:K,6,FALSE)</f>
        <v>8409635355</v>
      </c>
      <c r="M119" s="17" t="s">
        <v>15</v>
      </c>
      <c r="O119" t="e">
        <f>VLOOKUP(C119,#REF!,12,FALSE)</f>
        <v>#REF!</v>
      </c>
    </row>
    <row r="120" spans="1:15">
      <c r="A120" s="17">
        <v>119</v>
      </c>
      <c r="B120" s="17" t="s">
        <v>1056</v>
      </c>
      <c r="C120" s="17">
        <v>2022006973</v>
      </c>
      <c r="D120" s="17">
        <v>2201010835</v>
      </c>
      <c r="E120" s="17" t="s">
        <v>1803</v>
      </c>
      <c r="F120" s="17" t="e">
        <f>VLOOKUP('2501_MIS '!C120,'[1]Fast Track '!B:K,10,FALSE)</f>
        <v>#N/A</v>
      </c>
      <c r="G120" s="17" t="str">
        <f>VLOOKUP(C120,[2]Sheet7!A:D,4,FALSE)</f>
        <v>Promoted</v>
      </c>
      <c r="H120" s="45" t="s">
        <v>3644</v>
      </c>
      <c r="I120" s="26" t="s">
        <v>3650</v>
      </c>
      <c r="J120" s="17" t="s">
        <v>1057</v>
      </c>
      <c r="K120" s="17" t="str">
        <f>VLOOKUP(C120,[3]Sheet1!D:J,6,FALSE)</f>
        <v>2022006973.arwind@pt.sharda.ac.in</v>
      </c>
      <c r="L120" s="17" t="str">
        <f>VLOOKUP(D120,[3]Sheet1!E:K,6,FALSE)</f>
        <v>7294102434</v>
      </c>
      <c r="M120" s="17" t="s">
        <v>15</v>
      </c>
      <c r="O120" t="e">
        <f>VLOOKUP(C120,#REF!,12,FALSE)</f>
        <v>#REF!</v>
      </c>
    </row>
    <row r="121" spans="1:15">
      <c r="A121" s="17">
        <v>120</v>
      </c>
      <c r="B121" s="17" t="s">
        <v>1058</v>
      </c>
      <c r="C121" s="17">
        <v>2022007308</v>
      </c>
      <c r="D121" s="17">
        <v>2201010841</v>
      </c>
      <c r="E121" s="17" t="s">
        <v>1803</v>
      </c>
      <c r="F121" s="17" t="e">
        <f>VLOOKUP('2501_MIS '!C121,'[1]Fast Track '!B:K,10,FALSE)</f>
        <v>#N/A</v>
      </c>
      <c r="G121" s="17" t="str">
        <f>VLOOKUP(C121,[2]Sheet7!A:D,4,FALSE)</f>
        <v>Promoted</v>
      </c>
      <c r="H121" s="45" t="s">
        <v>3644</v>
      </c>
      <c r="I121" s="26" t="s">
        <v>3650</v>
      </c>
      <c r="J121" s="17" t="s">
        <v>1059</v>
      </c>
      <c r="K121" s="17" t="str">
        <f>VLOOKUP(C121,[3]Sheet1!D:J,6,FALSE)</f>
        <v>2022007308.kaushalkishore@pt.sharda.ac.in</v>
      </c>
      <c r="L121" s="17" t="str">
        <f>VLOOKUP(D121,[3]Sheet1!E:K,6,FALSE)</f>
        <v>9310027574</v>
      </c>
      <c r="M121" s="17" t="s">
        <v>15</v>
      </c>
      <c r="O121" t="e">
        <f>VLOOKUP(C121,#REF!,12,FALSE)</f>
        <v>#REF!</v>
      </c>
    </row>
    <row r="122" spans="1:15">
      <c r="A122" s="17">
        <v>121</v>
      </c>
      <c r="B122" s="17" t="s">
        <v>1060</v>
      </c>
      <c r="C122" s="17">
        <v>2022008336</v>
      </c>
      <c r="D122" s="17">
        <v>2201010867</v>
      </c>
      <c r="E122" s="17" t="s">
        <v>1803</v>
      </c>
      <c r="F122" s="17" t="e">
        <f>VLOOKUP('2501_MIS '!C122,'[1]Fast Track '!B:K,10,FALSE)</f>
        <v>#N/A</v>
      </c>
      <c r="G122" s="17" t="str">
        <f>VLOOKUP(C122,[2]Sheet7!A:D,4,FALSE)</f>
        <v>Promoted</v>
      </c>
      <c r="H122" s="45" t="s">
        <v>3644</v>
      </c>
      <c r="I122" s="26" t="s">
        <v>3650</v>
      </c>
      <c r="J122" s="17" t="s">
        <v>1061</v>
      </c>
      <c r="K122" s="17" t="str">
        <f>VLOOKUP(C122,[3]Sheet1!D:J,6,FALSE)</f>
        <v>2022008336.mahmoudam@pt.sharda.ac.in</v>
      </c>
      <c r="L122" s="17" t="str">
        <f>VLOOKUP(D122,[3]Sheet1!E:K,6,FALSE)</f>
        <v>0091 9958658295</v>
      </c>
      <c r="M122" s="17" t="s">
        <v>15</v>
      </c>
      <c r="O122" t="e">
        <f>VLOOKUP(C122,#REF!,12,FALSE)</f>
        <v>#REF!</v>
      </c>
    </row>
    <row r="123" spans="1:15">
      <c r="A123" s="17">
        <v>122</v>
      </c>
      <c r="B123" s="17" t="s">
        <v>1076</v>
      </c>
      <c r="C123" s="17">
        <v>2022402175</v>
      </c>
      <c r="D123" s="17">
        <v>2201010871</v>
      </c>
      <c r="E123" s="17" t="s">
        <v>1803</v>
      </c>
      <c r="F123" s="17" t="e">
        <f>VLOOKUP('2501_MIS '!C123,'[1]Fast Track '!B:K,10,FALSE)</f>
        <v>#N/A</v>
      </c>
      <c r="G123" s="17" t="str">
        <f>VLOOKUP(C123,[2]Sheet7!A:D,4,FALSE)</f>
        <v>Promoted</v>
      </c>
      <c r="H123" s="45" t="s">
        <v>3644</v>
      </c>
      <c r="I123" s="26" t="s">
        <v>3650</v>
      </c>
      <c r="J123" s="17" t="s">
        <v>1077</v>
      </c>
      <c r="K123" s="17" t="str">
        <f>VLOOKUP(C123,[3]Sheet1!D:J,6,FALSE)</f>
        <v>2022402175.sandeep@pt.sharda.ac.in</v>
      </c>
      <c r="L123" s="17" t="str">
        <f>VLOOKUP(D123,[3]Sheet1!E:K,6,FALSE)</f>
        <v>9125623998</v>
      </c>
      <c r="M123" s="17" t="s">
        <v>15</v>
      </c>
      <c r="O123" t="e">
        <f>VLOOKUP(C123,#REF!,12,FALSE)</f>
        <v>#REF!</v>
      </c>
    </row>
    <row r="124" spans="1:15">
      <c r="A124" s="17">
        <v>123</v>
      </c>
      <c r="B124" s="17" t="s">
        <v>1120</v>
      </c>
      <c r="C124" s="17">
        <v>2022615611</v>
      </c>
      <c r="D124" s="17">
        <v>2201010902</v>
      </c>
      <c r="E124" s="17" t="s">
        <v>1803</v>
      </c>
      <c r="F124" s="17" t="e">
        <f>VLOOKUP('2501_MIS '!C124,'[1]Fast Track '!B:K,10,FALSE)</f>
        <v>#N/A</v>
      </c>
      <c r="G124" s="17" t="str">
        <f>VLOOKUP(C124,[2]Sheet7!A:D,4,FALSE)</f>
        <v>Promoted</v>
      </c>
      <c r="H124" s="45" t="s">
        <v>3644</v>
      </c>
      <c r="I124" s="26" t="s">
        <v>3650</v>
      </c>
      <c r="J124" s="17" t="s">
        <v>1121</v>
      </c>
      <c r="K124" s="17" t="str">
        <f>VLOOKUP(C124,[3]Sheet1!D:J,6,FALSE)</f>
        <v>2022615611.syedashiq@pt.sharda.ac.in</v>
      </c>
      <c r="L124" s="17" t="str">
        <f>VLOOKUP(D124,[3]Sheet1!E:K,6,FALSE)</f>
        <v>7006541442</v>
      </c>
      <c r="M124" s="17" t="s">
        <v>15</v>
      </c>
      <c r="O124" t="e">
        <f>VLOOKUP(C124,#REF!,12,FALSE)</f>
        <v>#REF!</v>
      </c>
    </row>
    <row r="125" spans="1:15">
      <c r="A125" s="17">
        <v>124</v>
      </c>
      <c r="B125" s="17" t="s">
        <v>1122</v>
      </c>
      <c r="C125" s="17">
        <v>2022624448</v>
      </c>
      <c r="D125" s="17">
        <v>2201010907</v>
      </c>
      <c r="E125" s="17" t="s">
        <v>1803</v>
      </c>
      <c r="F125" s="17" t="e">
        <f>VLOOKUP('2501_MIS '!C125,'[1]Fast Track '!B:K,10,FALSE)</f>
        <v>#N/A</v>
      </c>
      <c r="G125" s="17" t="str">
        <f>VLOOKUP(C125,[2]Sheet7!A:D,4,FALSE)</f>
        <v>Promoted</v>
      </c>
      <c r="H125" s="45" t="s">
        <v>3644</v>
      </c>
      <c r="I125" s="26" t="s">
        <v>3650</v>
      </c>
      <c r="J125" s="17" t="s">
        <v>1123</v>
      </c>
      <c r="K125" s="17" t="str">
        <f>VLOOKUP(C125,[3]Sheet1!D:J,6,FALSE)</f>
        <v>2022624448.gorelal@pt.sharda.ac.in</v>
      </c>
      <c r="L125" s="17" t="str">
        <f>VLOOKUP(D125,[3]Sheet1!E:K,6,FALSE)</f>
        <v>9693543744</v>
      </c>
      <c r="M125" s="17" t="s">
        <v>15</v>
      </c>
      <c r="O125" t="e">
        <f>VLOOKUP(C125,#REF!,12,FALSE)</f>
        <v>#REF!</v>
      </c>
    </row>
    <row r="126" spans="1:15">
      <c r="A126" s="17">
        <v>125</v>
      </c>
      <c r="B126" s="17" t="s">
        <v>1126</v>
      </c>
      <c r="C126" s="17">
        <v>2022831961</v>
      </c>
      <c r="D126" s="17">
        <v>2201010909</v>
      </c>
      <c r="E126" s="17" t="s">
        <v>1803</v>
      </c>
      <c r="F126" s="17" t="e">
        <f>VLOOKUP('2501_MIS '!C126,'[1]Fast Track '!B:K,10,FALSE)</f>
        <v>#N/A</v>
      </c>
      <c r="G126" s="17" t="str">
        <f>VLOOKUP(C126,[2]Sheet7!A:D,4,FALSE)</f>
        <v>Promoted</v>
      </c>
      <c r="H126" s="45" t="s">
        <v>3644</v>
      </c>
      <c r="I126" s="26" t="s">
        <v>3650</v>
      </c>
      <c r="J126" s="17" t="s">
        <v>1127</v>
      </c>
      <c r="K126" s="17" t="str">
        <f>VLOOKUP(C126,[3]Sheet1!D:J,6,FALSE)</f>
        <v>2022831961.alokbrata@pt.sharda.ac.in</v>
      </c>
      <c r="L126" s="17" t="str">
        <f>VLOOKUP(D126,[3]Sheet1!E:K,6,FALSE)</f>
        <v>91 9990596179</v>
      </c>
      <c r="M126" s="17" t="s">
        <v>15</v>
      </c>
      <c r="O126" t="e">
        <f>VLOOKUP(C126,#REF!,12,FALSE)</f>
        <v>#REF!</v>
      </c>
    </row>
    <row r="127" spans="1:15">
      <c r="A127" s="17">
        <v>126</v>
      </c>
      <c r="B127" s="17" t="s">
        <v>771</v>
      </c>
      <c r="C127" s="17">
        <v>2022836161</v>
      </c>
      <c r="D127" s="17">
        <v>2201010911</v>
      </c>
      <c r="E127" s="17" t="s">
        <v>1803</v>
      </c>
      <c r="F127" s="17" t="e">
        <f>VLOOKUP('2501_MIS '!C127,'[1]Fast Track '!B:K,10,FALSE)</f>
        <v>#N/A</v>
      </c>
      <c r="G127" s="17" t="str">
        <f>VLOOKUP(C127,[2]Sheet7!A:D,4,FALSE)</f>
        <v>Promoted</v>
      </c>
      <c r="H127" s="45" t="s">
        <v>3644</v>
      </c>
      <c r="I127" s="26" t="s">
        <v>3650</v>
      </c>
      <c r="J127" s="17" t="s">
        <v>772</v>
      </c>
      <c r="K127" s="17" t="str">
        <f>VLOOKUP(C127,[3]Sheet1!D:J,6,FALSE)</f>
        <v>2022836161.apurba@pt.sharda.ac.in</v>
      </c>
      <c r="L127" s="17" t="str">
        <f>VLOOKUP(D127,[3]Sheet1!E:K,6,FALSE)</f>
        <v>91 9674775066</v>
      </c>
      <c r="M127" s="17" t="s">
        <v>15</v>
      </c>
      <c r="O127" t="e">
        <f>VLOOKUP(C127,#REF!,12,FALSE)</f>
        <v>#REF!</v>
      </c>
    </row>
    <row r="128" spans="1:15">
      <c r="A128" s="17">
        <v>127</v>
      </c>
      <c r="B128" s="17" t="s">
        <v>793</v>
      </c>
      <c r="C128" s="17">
        <v>2021361239</v>
      </c>
      <c r="D128" s="17">
        <v>210101480</v>
      </c>
      <c r="E128" s="17" t="s">
        <v>1803</v>
      </c>
      <c r="F128" s="17" t="e">
        <f>VLOOKUP('2501_MIS '!C128,'[1]Fast Track '!B:K,10,FALSE)</f>
        <v>#N/A</v>
      </c>
      <c r="G128" s="17" t="str">
        <f>VLOOKUP(C128,[2]Sheet7!A:D,4,FALSE)</f>
        <v>Not Promoted</v>
      </c>
      <c r="H128" s="45" t="s">
        <v>3644</v>
      </c>
      <c r="I128" s="26" t="s">
        <v>3650</v>
      </c>
      <c r="J128" s="17" t="s">
        <v>794</v>
      </c>
      <c r="K128" s="17" t="str">
        <f>VLOOKUP(C128,[3]Sheet1!D:J,6,FALSE)</f>
        <v>2021361239.virendra@pt.sharda.ac.in</v>
      </c>
      <c r="L128" s="17" t="str">
        <f>VLOOKUP(C128,[3]Sheet1!D:J,7,FALSE)</f>
        <v>8299431338</v>
      </c>
      <c r="M128" s="17" t="s">
        <v>15</v>
      </c>
      <c r="O128" t="e">
        <f>VLOOKUP(C128,#REF!,12,FALSE)</f>
        <v>#REF!</v>
      </c>
    </row>
    <row r="129" spans="1:15">
      <c r="A129" s="17">
        <v>128</v>
      </c>
      <c r="B129" s="17" t="s">
        <v>333</v>
      </c>
      <c r="C129" s="17">
        <v>2022480934</v>
      </c>
      <c r="D129" s="17">
        <v>2201010119</v>
      </c>
      <c r="E129" s="17" t="s">
        <v>1804</v>
      </c>
      <c r="F129" s="17" t="e">
        <f>VLOOKUP('2501_MIS '!C129,'[1]Fast Track '!B:K,10,FALSE)</f>
        <v>#N/A</v>
      </c>
      <c r="G129" s="17" t="str">
        <f>VLOOKUP(C129,[2]Sheet7!A:D,4,FALSE)</f>
        <v>Promoted</v>
      </c>
      <c r="H129" s="45" t="s">
        <v>3645</v>
      </c>
      <c r="I129" s="26" t="s">
        <v>3678</v>
      </c>
      <c r="J129" s="17" t="s">
        <v>334</v>
      </c>
      <c r="K129" s="17" t="str">
        <f>VLOOKUP(C129,[3]Sheet1!D:J,6,FALSE)</f>
        <v>2022480934.sanjivkumar@pt.sharda.ac.in</v>
      </c>
      <c r="L129" s="17" t="str">
        <f>VLOOKUP(D129,[3]Sheet1!E:K,6,FALSE)</f>
        <v>9412810713</v>
      </c>
      <c r="M129" s="17" t="s">
        <v>15</v>
      </c>
      <c r="O129" t="e">
        <f>VLOOKUP(C129,#REF!,12,FALSE)</f>
        <v>#REF!</v>
      </c>
    </row>
    <row r="130" spans="1:15">
      <c r="A130" s="17">
        <v>129</v>
      </c>
      <c r="B130" s="17" t="s">
        <v>313</v>
      </c>
      <c r="C130" s="17">
        <v>2022441875</v>
      </c>
      <c r="D130" s="17">
        <v>2201010284</v>
      </c>
      <c r="E130" s="17" t="s">
        <v>1804</v>
      </c>
      <c r="F130" s="17" t="e">
        <f>VLOOKUP('2501_MIS '!C130,'[1]Fast Track '!B:K,10,FALSE)</f>
        <v>#N/A</v>
      </c>
      <c r="G130" s="17" t="str">
        <f>VLOOKUP(C130,[2]Sheet7!A:D,4,FALSE)</f>
        <v>Promoted</v>
      </c>
      <c r="H130" s="45" t="s">
        <v>3645</v>
      </c>
      <c r="I130" s="26" t="s">
        <v>3678</v>
      </c>
      <c r="J130" s="17" t="s">
        <v>314</v>
      </c>
      <c r="K130" s="17" t="str">
        <f>VLOOKUP(C130,[3]Sheet1!D:J,6,FALSE)</f>
        <v>2022441875.rajesh@pt.sharda.ac.in</v>
      </c>
      <c r="L130" s="17" t="str">
        <f>VLOOKUP(D130,[3]Sheet1!E:K,6,FALSE)</f>
        <v>8766227298</v>
      </c>
      <c r="M130" s="17" t="s">
        <v>15</v>
      </c>
      <c r="O130" t="e">
        <f>VLOOKUP(C130,#REF!,12,FALSE)</f>
        <v>#REF!</v>
      </c>
    </row>
    <row r="131" spans="1:15">
      <c r="A131" s="17">
        <v>130</v>
      </c>
      <c r="B131" s="17" t="s">
        <v>369</v>
      </c>
      <c r="C131" s="17">
        <v>2022815775</v>
      </c>
      <c r="D131" s="17">
        <v>2201010416</v>
      </c>
      <c r="E131" s="17" t="s">
        <v>1804</v>
      </c>
      <c r="F131" s="17" t="e">
        <f>VLOOKUP('2501_MIS '!C131,'[1]Fast Track '!B:K,10,FALSE)</f>
        <v>#N/A</v>
      </c>
      <c r="G131" s="17" t="str">
        <f>VLOOKUP(C131,[2]Sheet7!A:D,4,FALSE)</f>
        <v>Promoted</v>
      </c>
      <c r="H131" s="45" t="s">
        <v>3645</v>
      </c>
      <c r="I131" s="26" t="s">
        <v>3678</v>
      </c>
      <c r="J131" s="17" t="s">
        <v>370</v>
      </c>
      <c r="K131" s="17" t="str">
        <f>VLOOKUP(C131,[3]Sheet1!D:J,6,FALSE)</f>
        <v>2022815775.haziqsayeed@pt.sharda.ac.in</v>
      </c>
      <c r="L131" s="17" t="str">
        <f>VLOOKUP(D131,[3]Sheet1!E:K,6,FALSE)</f>
        <v>9773621064</v>
      </c>
      <c r="M131" s="17" t="s">
        <v>15</v>
      </c>
      <c r="O131" t="e">
        <f>VLOOKUP(C131,#REF!,12,FALSE)</f>
        <v>#REF!</v>
      </c>
    </row>
    <row r="132" spans="1:15">
      <c r="A132" s="17">
        <v>131</v>
      </c>
      <c r="B132" s="17" t="s">
        <v>325</v>
      </c>
      <c r="C132" s="17">
        <v>2022472932</v>
      </c>
      <c r="D132" s="17">
        <v>2201010477</v>
      </c>
      <c r="E132" s="17" t="s">
        <v>1804</v>
      </c>
      <c r="F132" s="17" t="e">
        <f>VLOOKUP('2501_MIS '!C132,'[1]Fast Track '!B:K,10,FALSE)</f>
        <v>#N/A</v>
      </c>
      <c r="G132" s="17" t="str">
        <f>VLOOKUP(C132,[2]Sheet7!A:D,4,FALSE)</f>
        <v>Promoted</v>
      </c>
      <c r="H132" s="45" t="s">
        <v>3645</v>
      </c>
      <c r="I132" s="26" t="s">
        <v>3678</v>
      </c>
      <c r="J132" s="17" t="s">
        <v>326</v>
      </c>
      <c r="K132" s="17" t="str">
        <f>VLOOKUP(C132,[3]Sheet1!D:J,6,FALSE)</f>
        <v>2022472932.ravinder@pt.sharda.ac.in</v>
      </c>
      <c r="L132" s="17" t="str">
        <f>VLOOKUP(D132,[3]Sheet1!E:K,6,FALSE)</f>
        <v>9310501448</v>
      </c>
      <c r="M132" s="17" t="s">
        <v>15</v>
      </c>
      <c r="O132" t="e">
        <f>VLOOKUP(C132,#REF!,12,FALSE)</f>
        <v>#REF!</v>
      </c>
    </row>
    <row r="133" spans="1:15">
      <c r="A133" s="17">
        <v>132</v>
      </c>
      <c r="B133" s="17" t="s">
        <v>298</v>
      </c>
      <c r="C133" s="17">
        <v>2022306733</v>
      </c>
      <c r="D133" s="17">
        <v>2201010564</v>
      </c>
      <c r="E133" s="17" t="s">
        <v>1804</v>
      </c>
      <c r="F133" s="17" t="e">
        <f>VLOOKUP('2501_MIS '!C133,'[1]Fast Track '!B:K,10,FALSE)</f>
        <v>#N/A</v>
      </c>
      <c r="G133" s="17" t="str">
        <f>VLOOKUP(C133,[2]Sheet7!A:D,4,FALSE)</f>
        <v>Promoted</v>
      </c>
      <c r="H133" s="45" t="s">
        <v>3645</v>
      </c>
      <c r="I133" s="26" t="s">
        <v>3678</v>
      </c>
      <c r="J133" s="17" t="s">
        <v>299</v>
      </c>
      <c r="K133" s="17" t="str">
        <f>VLOOKUP(C133,[3]Sheet1!D:J,6,FALSE)</f>
        <v>2022306733.tasaduqahmad@pt.sharda.ac.in</v>
      </c>
      <c r="L133" s="17" t="str">
        <f>VLOOKUP(D133,[3]Sheet1!E:K,6,FALSE)</f>
        <v>9149764797</v>
      </c>
      <c r="M133" s="17" t="s">
        <v>15</v>
      </c>
      <c r="O133" t="e">
        <f>VLOOKUP(C133,#REF!,12,FALSE)</f>
        <v>#REF!</v>
      </c>
    </row>
    <row r="134" spans="1:15">
      <c r="A134" s="17">
        <v>133</v>
      </c>
      <c r="B134" s="17" t="s">
        <v>259</v>
      </c>
      <c r="C134" s="17">
        <v>2022437807</v>
      </c>
      <c r="D134" s="17">
        <v>2201010669</v>
      </c>
      <c r="E134" s="17" t="s">
        <v>1804</v>
      </c>
      <c r="F134" s="17" t="e">
        <f>VLOOKUP('2501_MIS '!C134,'[1]Fast Track '!B:K,10,FALSE)</f>
        <v>#N/A</v>
      </c>
      <c r="G134" s="17" t="str">
        <f>VLOOKUP(C134,[2]Sheet7!A:D,4,FALSE)</f>
        <v>Promoted</v>
      </c>
      <c r="H134" s="45" t="s">
        <v>3645</v>
      </c>
      <c r="I134" s="26" t="s">
        <v>3678</v>
      </c>
      <c r="J134" s="17" t="s">
        <v>312</v>
      </c>
      <c r="K134" s="17" t="str">
        <f>VLOOKUP(C134,[3]Sheet1!D:J,6,FALSE)</f>
        <v>2022437807.arvind@pt.sharda.ac.in</v>
      </c>
      <c r="L134" s="17" t="str">
        <f>VLOOKUP(D134,[3]Sheet1!E:K,6,FALSE)</f>
        <v>8742919690</v>
      </c>
      <c r="M134" s="17" t="s">
        <v>15</v>
      </c>
      <c r="O134" t="e">
        <f>VLOOKUP(C134,#REF!,12,FALSE)</f>
        <v>#REF!</v>
      </c>
    </row>
    <row r="135" spans="1:15">
      <c r="A135" s="17">
        <v>134</v>
      </c>
      <c r="B135" s="17" t="s">
        <v>290</v>
      </c>
      <c r="C135" s="17">
        <v>2022005992</v>
      </c>
      <c r="D135" s="17">
        <v>2201010733</v>
      </c>
      <c r="E135" s="17" t="s">
        <v>1804</v>
      </c>
      <c r="F135" s="17" t="e">
        <f>VLOOKUP('2501_MIS '!C135,'[1]Fast Track '!B:K,10,FALSE)</f>
        <v>#N/A</v>
      </c>
      <c r="G135" s="17" t="str">
        <f>VLOOKUP(C135,[2]Sheet7!A:D,4,FALSE)</f>
        <v>Promoted</v>
      </c>
      <c r="H135" s="45" t="s">
        <v>3645</v>
      </c>
      <c r="I135" s="26" t="s">
        <v>3678</v>
      </c>
      <c r="J135" s="17" t="s">
        <v>291</v>
      </c>
      <c r="K135" s="17" t="str">
        <f>VLOOKUP(C135,[3]Sheet1!D:J,6,FALSE)</f>
        <v>2022005992.harish@pt.sharda.ac.in</v>
      </c>
      <c r="L135" s="17" t="str">
        <f>VLOOKUP(D135,[3]Sheet1!E:K,6,FALSE)</f>
        <v>9318402815</v>
      </c>
      <c r="M135" s="17" t="s">
        <v>15</v>
      </c>
      <c r="O135" t="e">
        <f>VLOOKUP(C135,#REF!,12,FALSE)</f>
        <v>#REF!</v>
      </c>
    </row>
    <row r="136" spans="1:15">
      <c r="A136" s="17">
        <v>135</v>
      </c>
      <c r="B136" s="17" t="s">
        <v>365</v>
      </c>
      <c r="C136" s="17">
        <v>2022608746</v>
      </c>
      <c r="D136" s="17">
        <v>2201010898</v>
      </c>
      <c r="E136" s="17" t="s">
        <v>1804</v>
      </c>
      <c r="F136" s="17" t="e">
        <f>VLOOKUP('2501_MIS '!C136,'[1]Fast Track '!B:K,10,FALSE)</f>
        <v>#N/A</v>
      </c>
      <c r="G136" s="17" t="str">
        <f>VLOOKUP(C136,[2]Sheet7!A:D,4,FALSE)</f>
        <v>Promoted</v>
      </c>
      <c r="H136" s="45" t="s">
        <v>3645</v>
      </c>
      <c r="I136" s="26" t="s">
        <v>3678</v>
      </c>
      <c r="J136" s="17" t="s">
        <v>366</v>
      </c>
      <c r="K136" s="17" t="str">
        <f>VLOOKUP(C136,[3]Sheet1!D:J,6,FALSE)</f>
        <v>2022608746.sachin@pt.sharda.ac.in</v>
      </c>
      <c r="L136" s="17" t="str">
        <f>VLOOKUP(D136,[3]Sheet1!E:K,6,FALSE)</f>
        <v>9068356626</v>
      </c>
      <c r="M136" s="17" t="s">
        <v>15</v>
      </c>
      <c r="O136" t="e">
        <f>VLOOKUP(C136,#REF!,12,FALSE)</f>
        <v>#REF!</v>
      </c>
    </row>
    <row r="137" spans="1:15">
      <c r="A137" s="17">
        <v>136</v>
      </c>
      <c r="B137" s="17" t="s">
        <v>434</v>
      </c>
      <c r="C137" s="17">
        <v>2022410342</v>
      </c>
      <c r="D137" s="17">
        <v>2201010039</v>
      </c>
      <c r="E137" s="17" t="s">
        <v>1804</v>
      </c>
      <c r="F137" s="17" t="e">
        <f>VLOOKUP('2501_MIS '!C137,'[1]Fast Track '!B:K,10,FALSE)</f>
        <v>#N/A</v>
      </c>
      <c r="G137" s="17" t="str">
        <f>VLOOKUP(C137,[2]Sheet7!A:D,4,FALSE)</f>
        <v>Promoted</v>
      </c>
      <c r="H137" s="45" t="s">
        <v>3645</v>
      </c>
      <c r="I137" s="26" t="s">
        <v>3678</v>
      </c>
      <c r="J137" s="17" t="s">
        <v>435</v>
      </c>
      <c r="K137" s="17" t="str">
        <f>VLOOKUP(C137,[3]Sheet1!D:J,6,FALSE)</f>
        <v>2022410342.shriprakash@pt.sharda.ac.in</v>
      </c>
      <c r="L137" s="17" t="str">
        <f>VLOOKUP(D137,[3]Sheet1!E:K,6,FALSE)</f>
        <v>9122841000</v>
      </c>
      <c r="M137" s="17" t="s">
        <v>15</v>
      </c>
      <c r="O137" t="e">
        <f>VLOOKUP(C137,#REF!,12,FALSE)</f>
        <v>#REF!</v>
      </c>
    </row>
    <row r="138" spans="1:15">
      <c r="A138" s="17">
        <v>137</v>
      </c>
      <c r="B138" s="17" t="s">
        <v>501</v>
      </c>
      <c r="C138" s="17">
        <v>2022544781</v>
      </c>
      <c r="D138" s="17">
        <v>2201010131</v>
      </c>
      <c r="E138" s="17" t="s">
        <v>1804</v>
      </c>
      <c r="F138" s="17" t="e">
        <f>VLOOKUP('2501_MIS '!C138,'[1]Fast Track '!B:K,10,FALSE)</f>
        <v>#N/A</v>
      </c>
      <c r="G138" s="17" t="str">
        <f>VLOOKUP(C138,[2]Sheet7!A:D,4,FALSE)</f>
        <v>Promoted</v>
      </c>
      <c r="H138" s="45" t="s">
        <v>3645</v>
      </c>
      <c r="I138" s="26" t="s">
        <v>3678</v>
      </c>
      <c r="J138" s="17" t="s">
        <v>502</v>
      </c>
      <c r="K138" s="17" t="str">
        <f>VLOOKUP(C138,[3]Sheet1!D:J,6,FALSE)</f>
        <v>2022544781.chandrashekhar@pt.sharda.ac.in</v>
      </c>
      <c r="L138" s="17" t="str">
        <f>VLOOKUP(D138,[3]Sheet1!E:K,6,FALSE)</f>
        <v>9204633508</v>
      </c>
      <c r="M138" s="17" t="s">
        <v>15</v>
      </c>
      <c r="O138" t="e">
        <f>VLOOKUP(C138,#REF!,12,FALSE)</f>
        <v>#REF!</v>
      </c>
    </row>
    <row r="139" spans="1:15">
      <c r="A139" s="17">
        <v>138</v>
      </c>
      <c r="B139" s="17" t="s">
        <v>481</v>
      </c>
      <c r="C139" s="17">
        <v>2022517877</v>
      </c>
      <c r="D139" s="17">
        <v>2201010401</v>
      </c>
      <c r="E139" s="17" t="s">
        <v>1804</v>
      </c>
      <c r="F139" s="17" t="e">
        <f>VLOOKUP('2501_MIS '!C139,'[1]Fast Track '!B:K,10,FALSE)</f>
        <v>#N/A</v>
      </c>
      <c r="G139" s="17" t="str">
        <f>VLOOKUP(C139,[2]Sheet7!A:D,4,FALSE)</f>
        <v>Promoted</v>
      </c>
      <c r="H139" s="45" t="s">
        <v>3645</v>
      </c>
      <c r="I139" s="26" t="s">
        <v>3678</v>
      </c>
      <c r="J139" s="17" t="s">
        <v>482</v>
      </c>
      <c r="K139" s="17" t="str">
        <f>VLOOKUP(C139,[3]Sheet1!D:J,6,FALSE)</f>
        <v>2022517877.mehboob@pt.sharda.ac.in</v>
      </c>
      <c r="L139" s="17" t="str">
        <f>VLOOKUP(D139,[3]Sheet1!E:K,6,FALSE)</f>
        <v>8218268108</v>
      </c>
      <c r="M139" s="17" t="s">
        <v>15</v>
      </c>
      <c r="O139" t="e">
        <f>VLOOKUP(C139,#REF!,12,FALSE)</f>
        <v>#REF!</v>
      </c>
    </row>
    <row r="140" spans="1:15">
      <c r="A140" s="17">
        <v>139</v>
      </c>
      <c r="B140" s="17" t="s">
        <v>276</v>
      </c>
      <c r="C140" s="17">
        <v>2022004737</v>
      </c>
      <c r="D140" s="17">
        <v>2201010594</v>
      </c>
      <c r="E140" s="17" t="s">
        <v>1804</v>
      </c>
      <c r="F140" s="17" t="e">
        <f>VLOOKUP('2501_MIS '!C140,'[1]Fast Track '!B:K,10,FALSE)</f>
        <v>#N/A</v>
      </c>
      <c r="G140" s="17" t="str">
        <f>VLOOKUP(C140,[2]Sheet7!A:D,4,FALSE)</f>
        <v>Promoted</v>
      </c>
      <c r="H140" s="45" t="s">
        <v>3645</v>
      </c>
      <c r="I140" s="26" t="s">
        <v>3678</v>
      </c>
      <c r="J140" s="17" t="s">
        <v>277</v>
      </c>
      <c r="K140" s="17" t="str">
        <f>VLOOKUP(C140,[3]Sheet1!D:J,6,FALSE)</f>
        <v>2022004737.sudhir@pt.sharda.ac.in</v>
      </c>
      <c r="L140" s="17" t="str">
        <f>VLOOKUP(D140,[3]Sheet1!E:K,6,FALSE)</f>
        <v>8700933859</v>
      </c>
      <c r="M140" s="17" t="s">
        <v>15</v>
      </c>
      <c r="O140" t="e">
        <f>VLOOKUP(C140,#REF!,12,FALSE)</f>
        <v>#REF!</v>
      </c>
    </row>
    <row r="141" spans="1:15">
      <c r="A141" s="17">
        <v>140</v>
      </c>
      <c r="B141" s="17" t="s">
        <v>456</v>
      </c>
      <c r="C141" s="17">
        <v>2022474990</v>
      </c>
      <c r="D141" s="17">
        <v>2201010553</v>
      </c>
      <c r="E141" s="17" t="s">
        <v>1804</v>
      </c>
      <c r="F141" s="17" t="e">
        <f>VLOOKUP('2501_MIS '!C141,'[1]Fast Track '!B:K,10,FALSE)</f>
        <v>#N/A</v>
      </c>
      <c r="G141" s="17" t="str">
        <f>VLOOKUP(C141,[2]Sheet7!A:D,4,FALSE)</f>
        <v>Promoted</v>
      </c>
      <c r="H141" s="45" t="s">
        <v>3645</v>
      </c>
      <c r="I141" s="26" t="s">
        <v>3678</v>
      </c>
      <c r="J141" s="17" t="s">
        <v>457</v>
      </c>
      <c r="K141" s="17" t="str">
        <f>VLOOKUP(C141,[3]Sheet1!D:J,6,FALSE)</f>
        <v>2022474990.manish@pt.sharda.ac.in</v>
      </c>
      <c r="L141" s="17" t="str">
        <f>VLOOKUP(D141,[3]Sheet1!E:K,6,FALSE)</f>
        <v>9760197197</v>
      </c>
      <c r="M141" s="17" t="s">
        <v>15</v>
      </c>
      <c r="O141" t="e">
        <f>VLOOKUP(C141,#REF!,12,FALSE)</f>
        <v>#REF!</v>
      </c>
    </row>
    <row r="142" spans="1:15">
      <c r="A142" s="17">
        <v>141</v>
      </c>
      <c r="B142" s="17" t="s">
        <v>444</v>
      </c>
      <c r="C142" s="17">
        <v>2022448095</v>
      </c>
      <c r="D142" s="17">
        <v>2201010575</v>
      </c>
      <c r="E142" s="17" t="s">
        <v>1804</v>
      </c>
      <c r="F142" s="17" t="e">
        <f>VLOOKUP('2501_MIS '!C142,'[1]Fast Track '!B:K,10,FALSE)</f>
        <v>#N/A</v>
      </c>
      <c r="G142" s="17" t="str">
        <f>VLOOKUP(C142,[2]Sheet7!A:D,4,FALSE)</f>
        <v>Promoted</v>
      </c>
      <c r="H142" s="45" t="s">
        <v>3645</v>
      </c>
      <c r="I142" s="26" t="s">
        <v>3678</v>
      </c>
      <c r="J142" s="17" t="s">
        <v>445</v>
      </c>
      <c r="K142" s="17" t="str">
        <f>VLOOKUP(C142,[3]Sheet1!D:J,6,FALSE)</f>
        <v>2022448095.rameshkumar@pt.sharda.ac.in</v>
      </c>
      <c r="L142" s="17" t="str">
        <f>VLOOKUP(D142,[3]Sheet1!E:K,6,FALSE)</f>
        <v>9120743440</v>
      </c>
      <c r="M142" s="17" t="s">
        <v>15</v>
      </c>
      <c r="O142" t="e">
        <f>VLOOKUP(C142,#REF!,12,FALSE)</f>
        <v>#REF!</v>
      </c>
    </row>
    <row r="143" spans="1:15">
      <c r="A143" s="17">
        <v>142</v>
      </c>
      <c r="B143" s="17" t="s">
        <v>489</v>
      </c>
      <c r="C143" s="17">
        <v>2022526985</v>
      </c>
      <c r="D143" s="17">
        <v>2201010581</v>
      </c>
      <c r="E143" s="17" t="s">
        <v>1804</v>
      </c>
      <c r="F143" s="17" t="e">
        <f>VLOOKUP('2501_MIS '!C143,'[1]Fast Track '!B:K,10,FALSE)</f>
        <v>#N/A</v>
      </c>
      <c r="G143" s="17" t="str">
        <f>VLOOKUP(C143,[2]Sheet7!A:D,4,FALSE)</f>
        <v>Promoted</v>
      </c>
      <c r="H143" s="45" t="s">
        <v>3645</v>
      </c>
      <c r="I143" s="26" t="s">
        <v>3678</v>
      </c>
      <c r="J143" s="17" t="s">
        <v>490</v>
      </c>
      <c r="K143" s="17" t="str">
        <f>VLOOKUP(C143,[3]Sheet1!D:J,6,FALSE)</f>
        <v>2022526985.rajeshkumar@pt.sharda.ac.in</v>
      </c>
      <c r="L143" s="17" t="str">
        <f>VLOOKUP(D143,[3]Sheet1!E:K,6,FALSE)</f>
        <v>9569076557</v>
      </c>
      <c r="M143" s="17" t="s">
        <v>15</v>
      </c>
      <c r="O143" t="e">
        <f>VLOOKUP(C143,#REF!,12,FALSE)</f>
        <v>#REF!</v>
      </c>
    </row>
    <row r="144" spans="1:15">
      <c r="A144" s="17">
        <v>143</v>
      </c>
      <c r="B144" s="17" t="s">
        <v>406</v>
      </c>
      <c r="C144" s="17">
        <v>2022004280</v>
      </c>
      <c r="D144" s="17">
        <v>2201010591</v>
      </c>
      <c r="E144" s="17" t="s">
        <v>1804</v>
      </c>
      <c r="F144" s="17" t="e">
        <f>VLOOKUP('2501_MIS '!C144,'[1]Fast Track '!B:K,10,FALSE)</f>
        <v>#N/A</v>
      </c>
      <c r="G144" s="17" t="str">
        <f>VLOOKUP(C144,[2]Sheet7!A:D,4,FALSE)</f>
        <v>Promoted</v>
      </c>
      <c r="H144" s="45" t="s">
        <v>3645</v>
      </c>
      <c r="I144" s="26" t="s">
        <v>3678</v>
      </c>
      <c r="J144" s="17" t="s">
        <v>407</v>
      </c>
      <c r="K144" s="17" t="str">
        <f>VLOOKUP(C144,[3]Sheet1!D:J,6,FALSE)</f>
        <v>2022004280.deepak@pt.sharda.ac.in</v>
      </c>
      <c r="L144" s="17" t="str">
        <f>VLOOKUP(D144,[3]Sheet1!E:K,6,FALSE)</f>
        <v>9878949921</v>
      </c>
      <c r="M144" s="17" t="s">
        <v>15</v>
      </c>
      <c r="O144" t="e">
        <f>VLOOKUP(C144,#REF!,12,FALSE)</f>
        <v>#REF!</v>
      </c>
    </row>
    <row r="145" spans="1:15">
      <c r="A145" s="17">
        <v>144</v>
      </c>
      <c r="B145" s="17" t="s">
        <v>272</v>
      </c>
      <c r="C145" s="17">
        <v>2022004675</v>
      </c>
      <c r="D145" s="17">
        <v>2201010596</v>
      </c>
      <c r="E145" s="17" t="s">
        <v>1804</v>
      </c>
      <c r="F145" s="17" t="e">
        <f>VLOOKUP('2501_MIS '!C145,'[1]Fast Track '!B:K,10,FALSE)</f>
        <v>#N/A</v>
      </c>
      <c r="G145" s="17" t="str">
        <f>VLOOKUP(C145,[2]Sheet7!A:D,4,FALSE)</f>
        <v>Promoted</v>
      </c>
      <c r="H145" s="45" t="s">
        <v>3645</v>
      </c>
      <c r="I145" s="26" t="s">
        <v>3678</v>
      </c>
      <c r="J145" s="17" t="s">
        <v>273</v>
      </c>
      <c r="K145" s="17" t="str">
        <f>VLOOKUP(C145,[3]Sheet1!D:J,6,FALSE)</f>
        <v>2022004675.manish@pt.sharda.ac.in</v>
      </c>
      <c r="L145" s="17" t="str">
        <f>VLOOKUP(D145,[3]Sheet1!E:K,6,FALSE)</f>
        <v>9199424192</v>
      </c>
      <c r="M145" s="17" t="s">
        <v>15</v>
      </c>
      <c r="O145" t="e">
        <f>VLOOKUP(C145,#REF!,12,FALSE)</f>
        <v>#REF!</v>
      </c>
    </row>
    <row r="146" spans="1:15">
      <c r="A146" s="17">
        <v>145</v>
      </c>
      <c r="B146" s="17" t="s">
        <v>416</v>
      </c>
      <c r="C146" s="17">
        <v>2022007543</v>
      </c>
      <c r="D146" s="17">
        <v>2201010851</v>
      </c>
      <c r="E146" s="17" t="s">
        <v>1804</v>
      </c>
      <c r="F146" s="17" t="e">
        <f>VLOOKUP('2501_MIS '!C146,'[1]Fast Track '!B:K,10,FALSE)</f>
        <v>#N/A</v>
      </c>
      <c r="G146" s="17" t="str">
        <f>VLOOKUP(C146,[2]Sheet7!A:D,4,FALSE)</f>
        <v>Promoted</v>
      </c>
      <c r="H146" s="45" t="s">
        <v>3645</v>
      </c>
      <c r="I146" s="26" t="s">
        <v>3678</v>
      </c>
      <c r="J146" s="17" t="s">
        <v>417</v>
      </c>
      <c r="K146" s="17" t="str">
        <f>VLOOKUP(C146,[3]Sheet1!D:J,6,FALSE)</f>
        <v>2022007543.rajesh@pt.sharda.ac.in</v>
      </c>
      <c r="L146" s="17" t="str">
        <f>VLOOKUP(D146,[3]Sheet1!E:K,6,FALSE)</f>
        <v>9625563966</v>
      </c>
      <c r="M146" s="17" t="s">
        <v>15</v>
      </c>
      <c r="O146" t="e">
        <f>VLOOKUP(C146,#REF!,12,FALSE)</f>
        <v>#REF!</v>
      </c>
    </row>
    <row r="147" spans="1:15">
      <c r="A147" s="17">
        <v>146</v>
      </c>
      <c r="B147" s="17" t="s">
        <v>577</v>
      </c>
      <c r="C147" s="17">
        <v>2022433132</v>
      </c>
      <c r="D147" s="17">
        <v>2201010015</v>
      </c>
      <c r="E147" s="17" t="s">
        <v>1804</v>
      </c>
      <c r="F147" s="17" t="e">
        <f>VLOOKUP('2501_MIS '!C147,'[1]Fast Track '!B:K,10,FALSE)</f>
        <v>#N/A</v>
      </c>
      <c r="G147" s="17" t="str">
        <f>VLOOKUP(C147,[2]Sheet7!A:D,4,FALSE)</f>
        <v>Promoted</v>
      </c>
      <c r="H147" s="45" t="s">
        <v>3645</v>
      </c>
      <c r="I147" s="26" t="s">
        <v>3678</v>
      </c>
      <c r="J147" s="17" t="s">
        <v>578</v>
      </c>
      <c r="K147" s="17" t="str">
        <f>VLOOKUP(C147,[3]Sheet1!D:J,6,FALSE)</f>
        <v>2022433132.amal@pt.sharda.ac.in</v>
      </c>
      <c r="L147" s="17" t="str">
        <f>VLOOKUP(D147,[3]Sheet1!E:K,6,FALSE)</f>
        <v>9026662038</v>
      </c>
      <c r="M147" s="17" t="s">
        <v>15</v>
      </c>
      <c r="O147" t="e">
        <f>VLOOKUP(C147,#REF!,12,FALSE)</f>
        <v>#REF!</v>
      </c>
    </row>
    <row r="148" spans="1:15">
      <c r="A148" s="17">
        <v>147</v>
      </c>
      <c r="B148" s="17" t="s">
        <v>610</v>
      </c>
      <c r="C148" s="17">
        <v>2022516167</v>
      </c>
      <c r="D148" s="17">
        <v>2201010073</v>
      </c>
      <c r="E148" s="17" t="s">
        <v>1804</v>
      </c>
      <c r="F148" s="17" t="e">
        <f>VLOOKUP('2501_MIS '!C148,'[1]Fast Track '!B:K,10,FALSE)</f>
        <v>#N/A</v>
      </c>
      <c r="G148" s="17" t="str">
        <f>VLOOKUP(C148,[2]Sheet7!A:D,4,FALSE)</f>
        <v>Promoted</v>
      </c>
      <c r="H148" s="45" t="s">
        <v>3645</v>
      </c>
      <c r="I148" s="26" t="s">
        <v>3678</v>
      </c>
      <c r="J148" s="17" t="s">
        <v>611</v>
      </c>
      <c r="K148" s="17" t="str">
        <f>VLOOKUP(C148,[3]Sheet1!D:J,6,FALSE)</f>
        <v>2022516167.dharmendra@pt.sharda.ac.in</v>
      </c>
      <c r="L148" s="17" t="str">
        <f>VLOOKUP(D148,[3]Sheet1!E:K,6,FALSE)</f>
        <v>6395490110</v>
      </c>
      <c r="M148" s="17" t="s">
        <v>15</v>
      </c>
      <c r="O148" t="e">
        <f>VLOOKUP(C148,#REF!,12,FALSE)</f>
        <v>#REF!</v>
      </c>
    </row>
    <row r="149" spans="1:15">
      <c r="A149" s="17">
        <v>148</v>
      </c>
      <c r="B149" s="17" t="s">
        <v>618</v>
      </c>
      <c r="C149" s="17">
        <v>2022530377</v>
      </c>
      <c r="D149" s="17">
        <v>2201010273</v>
      </c>
      <c r="E149" s="17" t="s">
        <v>1804</v>
      </c>
      <c r="F149" s="17" t="e">
        <f>VLOOKUP('2501_MIS '!C149,'[1]Fast Track '!B:K,10,FALSE)</f>
        <v>#N/A</v>
      </c>
      <c r="G149" s="17" t="str">
        <f>VLOOKUP(C149,[2]Sheet7!A:D,4,FALSE)</f>
        <v>Promoted</v>
      </c>
      <c r="H149" s="45" t="s">
        <v>3645</v>
      </c>
      <c r="I149" s="26" t="s">
        <v>3678</v>
      </c>
      <c r="J149" s="17" t="s">
        <v>619</v>
      </c>
      <c r="K149" s="17" t="str">
        <f>VLOOKUP(C149,[3]Sheet1!D:J,6,FALSE)</f>
        <v>2022530377.harishankar@pt.sharda.ac.in</v>
      </c>
      <c r="L149" s="17" t="str">
        <f>VLOOKUP(D149,[3]Sheet1!E:K,6,FALSE)</f>
        <v>7668900069</v>
      </c>
      <c r="M149" s="17" t="s">
        <v>15</v>
      </c>
      <c r="O149" t="e">
        <f>VLOOKUP(C149,#REF!,12,FALSE)</f>
        <v>#REF!</v>
      </c>
    </row>
    <row r="150" spans="1:15">
      <c r="A150" s="17">
        <v>149</v>
      </c>
      <c r="B150" s="17" t="s">
        <v>583</v>
      </c>
      <c r="C150" s="17">
        <v>2022455176</v>
      </c>
      <c r="D150" s="17">
        <v>2201010326</v>
      </c>
      <c r="E150" s="17" t="s">
        <v>1804</v>
      </c>
      <c r="F150" s="17" t="e">
        <f>VLOOKUP('2501_MIS '!C150,'[1]Fast Track '!B:K,10,FALSE)</f>
        <v>#N/A</v>
      </c>
      <c r="G150" s="17" t="str">
        <f>VLOOKUP(C150,[2]Sheet7!A:D,4,FALSE)</f>
        <v>Promoted</v>
      </c>
      <c r="H150" s="45" t="s">
        <v>3645</v>
      </c>
      <c r="I150" s="26" t="s">
        <v>3678</v>
      </c>
      <c r="J150" s="17" t="s">
        <v>584</v>
      </c>
      <c r="K150" s="17" t="str">
        <f>VLOOKUP(C150,[3]Sheet1!D:J,6,FALSE)</f>
        <v>2022455176.manish@pt.sharda.ac.in</v>
      </c>
      <c r="L150" s="17" t="str">
        <f>VLOOKUP(D150,[3]Sheet1!E:K,6,FALSE)</f>
        <v>7838835281</v>
      </c>
      <c r="M150" s="17" t="s">
        <v>15</v>
      </c>
      <c r="O150" t="e">
        <f>VLOOKUP(C150,#REF!,12,FALSE)</f>
        <v>#REF!</v>
      </c>
    </row>
    <row r="151" spans="1:15">
      <c r="A151" s="17">
        <v>150</v>
      </c>
      <c r="B151" s="17" t="s">
        <v>612</v>
      </c>
      <c r="C151" s="17">
        <v>2022516793</v>
      </c>
      <c r="D151" s="17">
        <v>2201010377</v>
      </c>
      <c r="E151" s="17" t="s">
        <v>1804</v>
      </c>
      <c r="F151" s="17" t="e">
        <f>VLOOKUP('2501_MIS '!C151,'[1]Fast Track '!B:K,10,FALSE)</f>
        <v>#N/A</v>
      </c>
      <c r="G151" s="17" t="str">
        <f>VLOOKUP(C151,[2]Sheet7!A:D,4,FALSE)</f>
        <v>Promoted</v>
      </c>
      <c r="H151" s="45" t="s">
        <v>3645</v>
      </c>
      <c r="I151" s="26" t="s">
        <v>3678</v>
      </c>
      <c r="J151" s="17" t="s">
        <v>613</v>
      </c>
      <c r="K151" s="17" t="str">
        <f>VLOOKUP(C151,[3]Sheet1!D:J,6,FALSE)</f>
        <v>2022516793.pannalal@pt.sharda.ac.in</v>
      </c>
      <c r="L151" s="17" t="str">
        <f>VLOOKUP(D151,[3]Sheet1!E:K,6,FALSE)</f>
        <v>9198829393</v>
      </c>
      <c r="M151" s="17" t="s">
        <v>15</v>
      </c>
      <c r="O151" t="e">
        <f>VLOOKUP(C151,#REF!,12,FALSE)</f>
        <v>#REF!</v>
      </c>
    </row>
    <row r="152" spans="1:15">
      <c r="A152" s="17">
        <v>151</v>
      </c>
      <c r="B152" s="17" t="s">
        <v>575</v>
      </c>
      <c r="C152" s="17">
        <v>2022428593</v>
      </c>
      <c r="D152" s="17">
        <v>2201010571</v>
      </c>
      <c r="E152" s="17" t="s">
        <v>1804</v>
      </c>
      <c r="F152" s="17" t="e">
        <f>VLOOKUP('2501_MIS '!C152,'[1]Fast Track '!B:K,10,FALSE)</f>
        <v>#N/A</v>
      </c>
      <c r="G152" s="17" t="str">
        <f>VLOOKUP(C152,[2]Sheet7!A:D,4,FALSE)</f>
        <v>Promoted</v>
      </c>
      <c r="H152" s="45" t="s">
        <v>3645</v>
      </c>
      <c r="I152" s="26" t="s">
        <v>3678</v>
      </c>
      <c r="J152" s="17" t="s">
        <v>576</v>
      </c>
      <c r="K152" s="17" t="str">
        <f>VLOOKUP(C152,[3]Sheet1!D:J,6,FALSE)</f>
        <v>2022428593.dwipanjal@pt.sharda.ac.in</v>
      </c>
      <c r="L152" s="17" t="str">
        <f>VLOOKUP(D152,[3]Sheet1!E:K,6,FALSE)</f>
        <v>8011998716</v>
      </c>
      <c r="M152" s="17" t="s">
        <v>15</v>
      </c>
      <c r="O152" t="e">
        <f>VLOOKUP(C152,#REF!,12,FALSE)</f>
        <v>#REF!</v>
      </c>
    </row>
    <row r="153" spans="1:15">
      <c r="A153" s="17">
        <v>152</v>
      </c>
      <c r="B153" s="17" t="s">
        <v>637</v>
      </c>
      <c r="C153" s="17">
        <v>2022811446</v>
      </c>
      <c r="D153" s="17">
        <v>2201010600</v>
      </c>
      <c r="E153" s="17" t="s">
        <v>1804</v>
      </c>
      <c r="F153" s="17" t="e">
        <f>VLOOKUP('2501_MIS '!C153,'[1]Fast Track '!B:K,10,FALSE)</f>
        <v>#N/A</v>
      </c>
      <c r="G153" s="17" t="str">
        <f>VLOOKUP(C153,[2]Sheet7!A:D,4,FALSE)</f>
        <v>Promoted</v>
      </c>
      <c r="H153" s="45" t="s">
        <v>3645</v>
      </c>
      <c r="I153" s="26" t="s">
        <v>3678</v>
      </c>
      <c r="J153" s="17" t="s">
        <v>638</v>
      </c>
      <c r="K153" s="17" t="str">
        <f>VLOOKUP(C153,[3]Sheet1!D:J,6,FALSE)</f>
        <v>2022811446.devender@pt.sharda.ac.in</v>
      </c>
      <c r="L153" s="17" t="str">
        <f>VLOOKUP(D153,[3]Sheet1!E:K,6,FALSE)</f>
        <v>9064547302</v>
      </c>
      <c r="M153" s="17" t="s">
        <v>15</v>
      </c>
      <c r="O153" t="e">
        <f>VLOOKUP(C153,#REF!,12,FALSE)</f>
        <v>#REF!</v>
      </c>
    </row>
    <row r="154" spans="1:15">
      <c r="A154" s="17">
        <v>153</v>
      </c>
      <c r="B154" s="17" t="s">
        <v>645</v>
      </c>
      <c r="C154" s="17">
        <v>2022006609</v>
      </c>
      <c r="D154" s="17">
        <v>2201010606</v>
      </c>
      <c r="E154" s="17" t="s">
        <v>1804</v>
      </c>
      <c r="F154" s="17" t="e">
        <f>VLOOKUP('2501_MIS '!C154,'[1]Fast Track '!B:K,10,FALSE)</f>
        <v>#N/A</v>
      </c>
      <c r="G154" s="17" t="str">
        <f>VLOOKUP(C154,[2]Sheet7!A:D,4,FALSE)</f>
        <v>Promoted</v>
      </c>
      <c r="H154" s="45" t="s">
        <v>3645</v>
      </c>
      <c r="I154" s="26" t="s">
        <v>3678</v>
      </c>
      <c r="J154" s="17" t="s">
        <v>646</v>
      </c>
      <c r="K154" s="17" t="str">
        <f>VLOOKUP(C154,[3]Sheet1!D:J,6,FALSE)</f>
        <v>2022006609.ramesh@pt.sharda.ac.in</v>
      </c>
      <c r="L154" s="17" t="str">
        <f>VLOOKUP(D154,[3]Sheet1!E:K,6,FALSE)</f>
        <v>8009622418</v>
      </c>
      <c r="M154" s="17" t="s">
        <v>15</v>
      </c>
      <c r="O154" t="e">
        <f>VLOOKUP(C154,#REF!,12,FALSE)</f>
        <v>#REF!</v>
      </c>
    </row>
    <row r="155" spans="1:15">
      <c r="A155" s="17">
        <v>154</v>
      </c>
      <c r="B155" s="17" t="s">
        <v>602</v>
      </c>
      <c r="C155" s="17">
        <v>2022508269</v>
      </c>
      <c r="D155" s="17">
        <v>2201010687</v>
      </c>
      <c r="E155" s="17" t="s">
        <v>1804</v>
      </c>
      <c r="F155" s="17" t="e">
        <f>VLOOKUP('2501_MIS '!C155,'[1]Fast Track '!B:K,10,FALSE)</f>
        <v>#N/A</v>
      </c>
      <c r="G155" s="17" t="str">
        <f>VLOOKUP(C155,[2]Sheet7!A:D,4,FALSE)</f>
        <v>Promoted</v>
      </c>
      <c r="H155" s="45" t="s">
        <v>3645</v>
      </c>
      <c r="I155" s="26" t="s">
        <v>3678</v>
      </c>
      <c r="J155" s="17" t="s">
        <v>603</v>
      </c>
      <c r="K155" s="17" t="str">
        <f>VLOOKUP(C155,[3]Sheet1!D:J,6,FALSE)</f>
        <v>2022508269.alok@pt.sharda.ac.in</v>
      </c>
      <c r="L155" s="17" t="str">
        <f>VLOOKUP(D155,[3]Sheet1!E:K,6,FALSE)</f>
        <v>8115622991</v>
      </c>
      <c r="M155" s="17" t="s">
        <v>15</v>
      </c>
      <c r="O155" t="e">
        <f>VLOOKUP(C155,#REF!,12,FALSE)</f>
        <v>#REF!</v>
      </c>
    </row>
    <row r="156" spans="1:15">
      <c r="A156" s="17">
        <v>155</v>
      </c>
      <c r="B156" s="17" t="s">
        <v>592</v>
      </c>
      <c r="C156" s="17">
        <v>2022503088</v>
      </c>
      <c r="D156" s="17">
        <v>2201010716</v>
      </c>
      <c r="E156" s="17" t="s">
        <v>1804</v>
      </c>
      <c r="F156" s="17" t="e">
        <f>VLOOKUP('2501_MIS '!C156,'[1]Fast Track '!B:K,10,FALSE)</f>
        <v>#N/A</v>
      </c>
      <c r="G156" s="17" t="str">
        <f>VLOOKUP(C156,[2]Sheet7!A:D,4,FALSE)</f>
        <v>Promoted</v>
      </c>
      <c r="H156" s="45" t="s">
        <v>3645</v>
      </c>
      <c r="I156" s="26" t="s">
        <v>3678</v>
      </c>
      <c r="J156" s="17" t="s">
        <v>593</v>
      </c>
      <c r="K156" s="17" t="str">
        <f>VLOOKUP(C156,[3]Sheet1!D:J,6,FALSE)</f>
        <v>2022503088.patwardhan@pt.sharda.ac.in</v>
      </c>
      <c r="L156" s="17" t="str">
        <f>VLOOKUP(D156,[3]Sheet1!E:K,6,FALSE)</f>
        <v>9627522860</v>
      </c>
      <c r="M156" s="17" t="s">
        <v>15</v>
      </c>
      <c r="O156" t="e">
        <f>VLOOKUP(C156,#REF!,12,FALSE)</f>
        <v>#REF!</v>
      </c>
    </row>
    <row r="157" spans="1:15">
      <c r="A157" s="17">
        <v>156</v>
      </c>
      <c r="B157" s="17" t="s">
        <v>629</v>
      </c>
      <c r="C157" s="17">
        <v>2022554244</v>
      </c>
      <c r="D157" s="17">
        <v>2201010800</v>
      </c>
      <c r="E157" s="17" t="s">
        <v>1804</v>
      </c>
      <c r="F157" s="17" t="e">
        <f>VLOOKUP('2501_MIS '!C157,'[1]Fast Track '!B:K,10,FALSE)</f>
        <v>#N/A</v>
      </c>
      <c r="G157" s="17" t="str">
        <f>VLOOKUP(C157,[2]Sheet7!A:D,4,FALSE)</f>
        <v>Promoted</v>
      </c>
      <c r="H157" s="45" t="s">
        <v>3645</v>
      </c>
      <c r="I157" s="26" t="s">
        <v>3678</v>
      </c>
      <c r="J157" s="17" t="s">
        <v>630</v>
      </c>
      <c r="K157" s="17" t="str">
        <f>VLOOKUP(C157,[3]Sheet1!D:J,6,FALSE)</f>
        <v>2022554244.durgeshnarayan@pt.sharda.ac.in</v>
      </c>
      <c r="L157" s="17" t="str">
        <f>VLOOKUP(D157,[3]Sheet1!E:K,6,FALSE)</f>
        <v>8130176899</v>
      </c>
      <c r="M157" s="17" t="s">
        <v>15</v>
      </c>
      <c r="O157" t="e">
        <f>VLOOKUP(C157,#REF!,12,FALSE)</f>
        <v>#REF!</v>
      </c>
    </row>
    <row r="158" spans="1:15">
      <c r="A158" s="17">
        <v>157</v>
      </c>
      <c r="B158" s="17" t="s">
        <v>541</v>
      </c>
      <c r="C158" s="17">
        <v>2022003343</v>
      </c>
      <c r="D158" s="17">
        <v>2201010828</v>
      </c>
      <c r="E158" s="17" t="s">
        <v>1804</v>
      </c>
      <c r="F158" s="17" t="e">
        <f>VLOOKUP('2501_MIS '!C158,'[1]Fast Track '!B:K,10,FALSE)</f>
        <v>#N/A</v>
      </c>
      <c r="G158" s="17" t="str">
        <f>VLOOKUP(C158,[2]Sheet7!A:D,4,FALSE)</f>
        <v>Promoted</v>
      </c>
      <c r="H158" s="45" t="s">
        <v>3645</v>
      </c>
      <c r="I158" s="26" t="s">
        <v>3678</v>
      </c>
      <c r="J158" s="17" t="s">
        <v>542</v>
      </c>
      <c r="K158" s="17" t="str">
        <f>VLOOKUP(C158,[3]Sheet1!D:J,6,FALSE)</f>
        <v>2022003343.riyaz@pt.sharda.ac.in</v>
      </c>
      <c r="L158" s="17" t="str">
        <f>VLOOKUP(D158,[3]Sheet1!E:K,6,FALSE)</f>
        <v>8082951516</v>
      </c>
      <c r="M158" s="17" t="s">
        <v>15</v>
      </c>
      <c r="O158" t="e">
        <f>VLOOKUP(C158,#REF!,12,FALSE)</f>
        <v>#REF!</v>
      </c>
    </row>
    <row r="159" spans="1:15">
      <c r="A159" s="17">
        <v>158</v>
      </c>
      <c r="B159" s="17" t="s">
        <v>652</v>
      </c>
      <c r="C159" s="17">
        <v>2022561995</v>
      </c>
      <c r="D159" s="17">
        <v>2201010300</v>
      </c>
      <c r="E159" s="17" t="s">
        <v>1804</v>
      </c>
      <c r="F159" s="17" t="e">
        <f>VLOOKUP('2501_MIS '!C159,'[1]Fast Track '!B:K,10,FALSE)</f>
        <v>#N/A</v>
      </c>
      <c r="G159" s="17" t="str">
        <f>VLOOKUP(C159,[2]Sheet7!A:D,4,FALSE)</f>
        <v>Promoted</v>
      </c>
      <c r="H159" s="45" t="s">
        <v>3645</v>
      </c>
      <c r="I159" s="26" t="s">
        <v>3678</v>
      </c>
      <c r="J159" s="17" t="s">
        <v>653</v>
      </c>
      <c r="K159" s="17" t="str">
        <f>VLOOKUP(C159,[3]Sheet1!D:J,6,FALSE)</f>
        <v>2022561995.gurmeet@pt.sharda.ac.in</v>
      </c>
      <c r="L159" s="17" t="str">
        <f>VLOOKUP(D159,[3]Sheet1!E:K,6,FALSE)</f>
        <v>9818398438</v>
      </c>
      <c r="M159" s="17" t="s">
        <v>15</v>
      </c>
      <c r="O159" t="e">
        <f>VLOOKUP(C159,#REF!,12,FALSE)</f>
        <v>#REF!</v>
      </c>
    </row>
    <row r="160" spans="1:15">
      <c r="A160" s="17">
        <v>159</v>
      </c>
      <c r="B160" s="17" t="s">
        <v>753</v>
      </c>
      <c r="C160" s="17">
        <v>2022836012</v>
      </c>
      <c r="D160" s="17">
        <v>2201010405</v>
      </c>
      <c r="E160" s="17" t="s">
        <v>1804</v>
      </c>
      <c r="F160" s="17" t="e">
        <f>VLOOKUP('2501_MIS '!C160,'[1]Fast Track '!B:K,10,FALSE)</f>
        <v>#N/A</v>
      </c>
      <c r="G160" s="17" t="str">
        <f>VLOOKUP(C160,[2]Sheet7!A:D,4,FALSE)</f>
        <v>Promoted</v>
      </c>
      <c r="H160" s="45" t="s">
        <v>3645</v>
      </c>
      <c r="I160" s="26" t="s">
        <v>3678</v>
      </c>
      <c r="J160" s="17" t="s">
        <v>754</v>
      </c>
      <c r="K160" s="17" t="str">
        <f>VLOOKUP(C160,[3]Sheet1!D:J,6,FALSE)</f>
        <v>2022836012.arunkumar@pt.sharda.ac.in</v>
      </c>
      <c r="L160" s="17" t="str">
        <f>VLOOKUP(D160,[3]Sheet1!E:K,6,FALSE)</f>
        <v>91 9279072980</v>
      </c>
      <c r="M160" s="17" t="s">
        <v>15</v>
      </c>
      <c r="O160" t="e">
        <f>VLOOKUP(C160,#REF!,12,FALSE)</f>
        <v>#REF!</v>
      </c>
    </row>
    <row r="161" spans="1:15">
      <c r="A161" s="17">
        <v>160</v>
      </c>
      <c r="B161" s="17" t="s">
        <v>747</v>
      </c>
      <c r="C161" s="17">
        <v>2022832236</v>
      </c>
      <c r="D161" s="17">
        <v>2201010443</v>
      </c>
      <c r="E161" s="17" t="s">
        <v>1804</v>
      </c>
      <c r="F161" s="17" t="e">
        <f>VLOOKUP('2501_MIS '!C161,'[1]Fast Track '!B:K,10,FALSE)</f>
        <v>#N/A</v>
      </c>
      <c r="G161" s="17" t="str">
        <f>VLOOKUP(C161,[2]Sheet7!A:D,4,FALSE)</f>
        <v>Promoted</v>
      </c>
      <c r="H161" s="45" t="s">
        <v>3645</v>
      </c>
      <c r="I161" s="26" t="s">
        <v>3678</v>
      </c>
      <c r="J161" s="17" t="s">
        <v>748</v>
      </c>
      <c r="K161" s="17" t="str">
        <f>VLOOKUP(C161,[3]Sheet1!D:J,6,FALSE)</f>
        <v>2022832236.binaykumar@pt.sharda.ac.in</v>
      </c>
      <c r="L161" s="17" t="str">
        <f>VLOOKUP(D161,[3]Sheet1!E:K,6,FALSE)</f>
        <v>91 8384044469</v>
      </c>
      <c r="M161" s="17" t="s">
        <v>15</v>
      </c>
      <c r="O161" t="e">
        <f>VLOOKUP(C161,#REF!,12,FALSE)</f>
        <v>#REF!</v>
      </c>
    </row>
    <row r="162" spans="1:15">
      <c r="A162" s="17">
        <v>161</v>
      </c>
      <c r="B162" s="17" t="s">
        <v>650</v>
      </c>
      <c r="C162" s="17">
        <v>2022528691</v>
      </c>
      <c r="D162" s="17">
        <v>2201010547</v>
      </c>
      <c r="E162" s="17" t="s">
        <v>1804</v>
      </c>
      <c r="F162" s="17" t="e">
        <f>VLOOKUP('2501_MIS '!C162,'[1]Fast Track '!B:K,10,FALSE)</f>
        <v>#N/A</v>
      </c>
      <c r="G162" s="17" t="str">
        <f>VLOOKUP(C162,[2]Sheet7!A:D,4,FALSE)</f>
        <v>Promoted</v>
      </c>
      <c r="H162" s="45" t="s">
        <v>3644</v>
      </c>
      <c r="I162" s="26" t="s">
        <v>3651</v>
      </c>
      <c r="J162" s="17" t="s">
        <v>651</v>
      </c>
      <c r="K162" s="17" t="str">
        <f>VLOOKUP(C162,[3]Sheet1!D:J,6,FALSE)</f>
        <v>2022528691.virendrapratap@pt.sharda.ac.in</v>
      </c>
      <c r="L162" s="17" t="str">
        <f>VLOOKUP(D162,[3]Sheet1!E:K,6,FALSE)</f>
        <v>7991355789</v>
      </c>
      <c r="M162" s="17" t="s">
        <v>15</v>
      </c>
      <c r="O162" t="e">
        <f>VLOOKUP(C162,#REF!,12,FALSE)</f>
        <v>#REF!</v>
      </c>
    </row>
    <row r="163" spans="1:15">
      <c r="A163" s="17">
        <v>162</v>
      </c>
      <c r="B163" s="17" t="s">
        <v>645</v>
      </c>
      <c r="C163" s="17">
        <v>2022582528</v>
      </c>
      <c r="D163" s="17">
        <v>2201010608</v>
      </c>
      <c r="E163" s="17" t="s">
        <v>1804</v>
      </c>
      <c r="F163" s="17" t="e">
        <f>VLOOKUP('2501_MIS '!C163,'[1]Fast Track '!B:K,10,FALSE)</f>
        <v>#N/A</v>
      </c>
      <c r="G163" s="17" t="str">
        <f>VLOOKUP(C163,[2]Sheet7!A:D,4,FALSE)</f>
        <v>Promoted</v>
      </c>
      <c r="H163" s="45" t="s">
        <v>3644</v>
      </c>
      <c r="I163" s="26" t="s">
        <v>3651</v>
      </c>
      <c r="J163" s="17" t="s">
        <v>767</v>
      </c>
      <c r="K163" s="17" t="str">
        <f>VLOOKUP(C163,[3]Sheet1!D:J,6,FALSE)</f>
        <v>2022582528.santosh@pt.sharda.ac.in</v>
      </c>
      <c r="L163" s="17" t="str">
        <f>VLOOKUP(D163,[3]Sheet1!E:K,6,FALSE)</f>
        <v>6204202216</v>
      </c>
      <c r="M163" s="17" t="s">
        <v>15</v>
      </c>
      <c r="O163" t="e">
        <f>VLOOKUP(C163,#REF!,12,FALSE)</f>
        <v>#REF!</v>
      </c>
    </row>
    <row r="164" spans="1:15">
      <c r="A164" s="17">
        <v>163</v>
      </c>
      <c r="B164" s="17" t="s">
        <v>720</v>
      </c>
      <c r="C164" s="17">
        <v>2022501073</v>
      </c>
      <c r="D164" s="17">
        <v>2201010650</v>
      </c>
      <c r="E164" s="17" t="s">
        <v>1804</v>
      </c>
      <c r="F164" s="17" t="e">
        <f>VLOOKUP('2501_MIS '!C164,'[1]Fast Track '!B:K,10,FALSE)</f>
        <v>#N/A</v>
      </c>
      <c r="G164" s="17" t="str">
        <f>VLOOKUP(C164,[2]Sheet7!A:D,4,FALSE)</f>
        <v>Promoted</v>
      </c>
      <c r="H164" s="45" t="s">
        <v>3644</v>
      </c>
      <c r="I164" s="26" t="s">
        <v>3651</v>
      </c>
      <c r="J164" s="17" t="s">
        <v>721</v>
      </c>
      <c r="K164" s="17" t="str">
        <f>VLOOKUP(C164,[3]Sheet1!D:J,6,FALSE)</f>
        <v>2022501073.rammoorat@pt.sharda.ac.in</v>
      </c>
      <c r="L164" s="17" t="str">
        <f>VLOOKUP(D164,[3]Sheet1!E:K,6,FALSE)</f>
        <v>6392812854</v>
      </c>
      <c r="M164" s="17" t="s">
        <v>15</v>
      </c>
      <c r="O164" t="e">
        <f>VLOOKUP(C164,#REF!,12,FALSE)</f>
        <v>#REF!</v>
      </c>
    </row>
    <row r="165" spans="1:15">
      <c r="A165" s="17">
        <v>164</v>
      </c>
      <c r="B165" s="17" t="s">
        <v>765</v>
      </c>
      <c r="C165" s="17">
        <v>2022511567</v>
      </c>
      <c r="D165" s="17">
        <v>2201010701</v>
      </c>
      <c r="E165" s="17" t="s">
        <v>1804</v>
      </c>
      <c r="F165" s="17" t="e">
        <f>VLOOKUP('2501_MIS '!C165,'[1]Fast Track '!B:K,10,FALSE)</f>
        <v>#N/A</v>
      </c>
      <c r="G165" s="17" t="str">
        <f>VLOOKUP(C165,[2]Sheet7!A:D,4,FALSE)</f>
        <v>Promoted</v>
      </c>
      <c r="H165" s="32" t="s">
        <v>3644</v>
      </c>
      <c r="I165" s="26" t="s">
        <v>3651</v>
      </c>
      <c r="J165" s="17" t="s">
        <v>766</v>
      </c>
      <c r="K165" s="17" t="str">
        <f>VLOOKUP(C165,[3]Sheet1!D:J,6,FALSE)</f>
        <v>2022511567.paras@pt.sharda.ac.in</v>
      </c>
      <c r="L165" s="17" t="str">
        <f>VLOOKUP(D165,[3]Sheet1!E:K,6,FALSE)</f>
        <v>9304983303</v>
      </c>
      <c r="M165" s="17" t="s">
        <v>15</v>
      </c>
      <c r="O165" t="e">
        <f>VLOOKUP(C165,#REF!,12,FALSE)</f>
        <v>#REF!</v>
      </c>
    </row>
    <row r="166" spans="1:15">
      <c r="A166" s="17">
        <v>165</v>
      </c>
      <c r="B166" s="17" t="s">
        <v>375</v>
      </c>
      <c r="C166" s="17">
        <v>2022552668</v>
      </c>
      <c r="D166" s="17">
        <v>2201010794</v>
      </c>
      <c r="E166" s="17" t="s">
        <v>1804</v>
      </c>
      <c r="F166" s="17" t="e">
        <f>VLOOKUP('2501_MIS '!C166,'[1]Fast Track '!B:K,10,FALSE)</f>
        <v>#N/A</v>
      </c>
      <c r="G166" s="17" t="str">
        <f>VLOOKUP(C166,[2]Sheet7!A:D,4,FALSE)</f>
        <v>Promoted</v>
      </c>
      <c r="H166" s="45" t="s">
        <v>3644</v>
      </c>
      <c r="I166" s="26" t="s">
        <v>3651</v>
      </c>
      <c r="J166" s="17" t="s">
        <v>726</v>
      </c>
      <c r="K166" s="17" t="str">
        <f>VLOOKUP(C166,[3]Sheet1!D:J,6,FALSE)</f>
        <v>2022552668.pramodkumar@pt.sharda.ac.in</v>
      </c>
      <c r="L166" s="17" t="str">
        <f>VLOOKUP(D166,[3]Sheet1!E:K,6,FALSE)</f>
        <v>9334859848</v>
      </c>
      <c r="M166" s="17" t="s">
        <v>15</v>
      </c>
      <c r="O166" t="e">
        <f>VLOOKUP(C166,#REF!,12,FALSE)</f>
        <v>#REF!</v>
      </c>
    </row>
    <row r="167" spans="1:15">
      <c r="A167" s="17">
        <v>166</v>
      </c>
      <c r="B167" s="17" t="s">
        <v>699</v>
      </c>
      <c r="C167" s="17">
        <v>2022007786</v>
      </c>
      <c r="D167" s="17">
        <v>2201010863</v>
      </c>
      <c r="E167" s="17" t="s">
        <v>1804</v>
      </c>
      <c r="F167" s="17" t="e">
        <f>VLOOKUP('2501_MIS '!C167,'[1]Fast Track '!B:K,10,FALSE)</f>
        <v>#N/A</v>
      </c>
      <c r="G167" s="17" t="str">
        <f>VLOOKUP(C167,[2]Sheet7!A:D,4,FALSE)</f>
        <v>Promoted</v>
      </c>
      <c r="H167" s="45" t="s">
        <v>3644</v>
      </c>
      <c r="I167" s="26" t="s">
        <v>3651</v>
      </c>
      <c r="J167" s="17" t="s">
        <v>700</v>
      </c>
      <c r="K167" s="17" t="str">
        <f>VLOOKUP(C167,[3]Sheet1!D:J,6,FALSE)</f>
        <v>2022007786.rajesh@pt.sharda.ac.in</v>
      </c>
      <c r="L167" s="17" t="str">
        <f>VLOOKUP(D167,[3]Sheet1!E:K,6,FALSE)</f>
        <v>8178462808</v>
      </c>
      <c r="M167" s="17" t="s">
        <v>15</v>
      </c>
      <c r="O167" t="e">
        <f>VLOOKUP(C167,#REF!,12,FALSE)</f>
        <v>#REF!</v>
      </c>
    </row>
    <row r="168" spans="1:15">
      <c r="A168" s="17">
        <v>167</v>
      </c>
      <c r="B168" s="17" t="s">
        <v>618</v>
      </c>
      <c r="C168" s="17">
        <v>2022604034</v>
      </c>
      <c r="D168" s="17">
        <v>2201010895</v>
      </c>
      <c r="E168" s="17" t="s">
        <v>1804</v>
      </c>
      <c r="F168" s="17" t="e">
        <f>VLOOKUP('2501_MIS '!C168,'[1]Fast Track '!B:K,10,FALSE)</f>
        <v>#N/A</v>
      </c>
      <c r="G168" s="17" t="str">
        <f>VLOOKUP(C168,[2]Sheet7!A:D,4,FALSE)</f>
        <v>Promoted</v>
      </c>
      <c r="H168" s="45" t="s">
        <v>3644</v>
      </c>
      <c r="I168" s="26" t="s">
        <v>3651</v>
      </c>
      <c r="J168" s="17" t="s">
        <v>738</v>
      </c>
      <c r="K168" s="17" t="str">
        <f>VLOOKUP(C168,[3]Sheet1!D:J,6,FALSE)</f>
        <v>2022604034.manoj@pt.sharda.ac.in</v>
      </c>
      <c r="L168" s="17" t="str">
        <f>VLOOKUP(D168,[3]Sheet1!E:K,6,FALSE)</f>
        <v>9368580206</v>
      </c>
      <c r="M168" s="17" t="s">
        <v>15</v>
      </c>
      <c r="O168" t="e">
        <f>VLOOKUP(C168,#REF!,12,FALSE)</f>
        <v>#REF!</v>
      </c>
    </row>
    <row r="169" spans="1:15">
      <c r="A169" s="17">
        <v>168</v>
      </c>
      <c r="B169" s="17" t="s">
        <v>357</v>
      </c>
      <c r="C169" s="17">
        <v>2022509625</v>
      </c>
      <c r="D169" s="17">
        <v>2201010018</v>
      </c>
      <c r="E169" s="17" t="s">
        <v>1804</v>
      </c>
      <c r="F169" s="17" t="e">
        <f>VLOOKUP('2501_MIS '!C169,'[1]Fast Track '!B:K,10,FALSE)</f>
        <v>#N/A</v>
      </c>
      <c r="G169" s="17" t="str">
        <f>VLOOKUP(C169,[2]Sheet7!A:D,4,FALSE)</f>
        <v>Promoted</v>
      </c>
      <c r="H169" s="45" t="s">
        <v>3644</v>
      </c>
      <c r="I169" s="26" t="s">
        <v>3651</v>
      </c>
      <c r="J169" s="17" t="s">
        <v>358</v>
      </c>
      <c r="K169" s="17" t="str">
        <f>VLOOKUP(C169,[3]Sheet1!D:J,6,FALSE)</f>
        <v>2022509625.bhuwanchandra@pt.sharda.ac.in</v>
      </c>
      <c r="L169" s="17" t="str">
        <f>VLOOKUP(D169,[3]Sheet1!E:K,6,FALSE)</f>
        <v>9873301731</v>
      </c>
      <c r="M169" s="17" t="s">
        <v>15</v>
      </c>
      <c r="O169" t="e">
        <f>VLOOKUP(C169,#REF!,12,FALSE)</f>
        <v>#REF!</v>
      </c>
    </row>
    <row r="170" spans="1:15">
      <c r="A170" s="17">
        <v>169</v>
      </c>
      <c r="B170" s="17" t="s">
        <v>302</v>
      </c>
      <c r="C170" s="17">
        <v>2022344459</v>
      </c>
      <c r="D170" s="17">
        <v>2201010069</v>
      </c>
      <c r="E170" s="17" t="s">
        <v>1804</v>
      </c>
      <c r="F170" s="17" t="e">
        <f>VLOOKUP('2501_MIS '!C170,'[1]Fast Track '!B:K,10,FALSE)</f>
        <v>#N/A</v>
      </c>
      <c r="G170" s="17" t="str">
        <f>VLOOKUP(C170,[2]Sheet7!A:D,4,FALSE)</f>
        <v>Promoted</v>
      </c>
      <c r="H170" s="45" t="s">
        <v>3644</v>
      </c>
      <c r="I170" s="26" t="s">
        <v>3651</v>
      </c>
      <c r="J170" s="17" t="s">
        <v>303</v>
      </c>
      <c r="K170" s="17" t="str">
        <f>VLOOKUP(C170,[3]Sheet1!D:J,6,FALSE)</f>
        <v>2022344459.foraj@pt.sharda.ac.in</v>
      </c>
      <c r="L170" s="17" t="str">
        <f>VLOOKUP(D170,[3]Sheet1!E:K,6,FALSE)</f>
        <v>6002934584</v>
      </c>
      <c r="M170" s="17" t="s">
        <v>15</v>
      </c>
      <c r="O170" t="e">
        <f>VLOOKUP(C170,#REF!,12,FALSE)</f>
        <v>#REF!</v>
      </c>
    </row>
    <row r="171" spans="1:15">
      <c r="A171" s="17">
        <v>170</v>
      </c>
      <c r="B171" s="17" t="s">
        <v>349</v>
      </c>
      <c r="C171" s="17">
        <v>2022506074</v>
      </c>
      <c r="D171" s="17">
        <v>2201010150</v>
      </c>
      <c r="E171" s="17" t="s">
        <v>1804</v>
      </c>
      <c r="F171" s="17" t="e">
        <f>VLOOKUP('2501_MIS '!C171,'[1]Fast Track '!B:K,10,FALSE)</f>
        <v>#N/A</v>
      </c>
      <c r="G171" s="17" t="str">
        <f>VLOOKUP(C171,[2]Sheet7!A:D,4,FALSE)</f>
        <v>Promoted</v>
      </c>
      <c r="H171" s="45" t="s">
        <v>3644</v>
      </c>
      <c r="I171" s="26" t="s">
        <v>3651</v>
      </c>
      <c r="J171" s="17" t="s">
        <v>350</v>
      </c>
      <c r="K171" s="17" t="str">
        <f>VLOOKUP(C171,[3]Sheet1!D:J,6,FALSE)</f>
        <v>2022506074.rajeev@pt.sharda.ac.in</v>
      </c>
      <c r="L171" s="17" t="str">
        <f>VLOOKUP(D171,[3]Sheet1!E:K,6,FALSE)</f>
        <v>8595724282</v>
      </c>
      <c r="M171" s="17" t="s">
        <v>15</v>
      </c>
      <c r="O171" t="e">
        <f>VLOOKUP(C171,#REF!,12,FALSE)</f>
        <v>#REF!</v>
      </c>
    </row>
    <row r="172" spans="1:15">
      <c r="A172" s="17">
        <v>171</v>
      </c>
      <c r="B172" s="17" t="s">
        <v>270</v>
      </c>
      <c r="C172" s="17">
        <v>2022004442</v>
      </c>
      <c r="D172" s="17">
        <v>2201010379</v>
      </c>
      <c r="E172" s="17" t="s">
        <v>1804</v>
      </c>
      <c r="F172" s="17" t="e">
        <f>VLOOKUP('2501_MIS '!C172,'[1]Fast Track '!B:K,10,FALSE)</f>
        <v>#N/A</v>
      </c>
      <c r="G172" s="17" t="str">
        <f>VLOOKUP(C172,[2]Sheet7!A:D,4,FALSE)</f>
        <v>Promoted</v>
      </c>
      <c r="H172" s="45" t="s">
        <v>3644</v>
      </c>
      <c r="I172" s="26" t="s">
        <v>3651</v>
      </c>
      <c r="J172" s="17" t="s">
        <v>271</v>
      </c>
      <c r="K172" s="17" t="str">
        <f>VLOOKUP(C172,[3]Sheet1!D:J,6,FALSE)</f>
        <v>2022004442.ehtasham@pt.sharda.ac.in</v>
      </c>
      <c r="L172" s="17" t="str">
        <f>VLOOKUP(D172,[3]Sheet1!E:K,6,FALSE)</f>
        <v>9958225120</v>
      </c>
      <c r="M172" s="17" t="s">
        <v>15</v>
      </c>
      <c r="O172" t="e">
        <f>VLOOKUP(C172,#REF!,12,FALSE)</f>
        <v>#REF!</v>
      </c>
    </row>
    <row r="173" spans="1:15">
      <c r="A173" s="17">
        <v>172</v>
      </c>
      <c r="B173" s="17" t="s">
        <v>367</v>
      </c>
      <c r="C173" s="17">
        <v>2022807476</v>
      </c>
      <c r="D173" s="17">
        <v>2201010485</v>
      </c>
      <c r="E173" s="17" t="s">
        <v>1804</v>
      </c>
      <c r="F173" s="17" t="e">
        <f>VLOOKUP('2501_MIS '!C173,'[1]Fast Track '!B:K,10,FALSE)</f>
        <v>#N/A</v>
      </c>
      <c r="G173" s="17" t="str">
        <f>VLOOKUP(C173,[2]Sheet7!A:D,4,FALSE)</f>
        <v>Promoted</v>
      </c>
      <c r="H173" s="45" t="s">
        <v>3644</v>
      </c>
      <c r="I173" s="26" t="s">
        <v>3651</v>
      </c>
      <c r="J173" s="17" t="s">
        <v>368</v>
      </c>
      <c r="K173" s="17" t="str">
        <f>VLOOKUP(C173,[3]Sheet1!D:J,6,FALSE)</f>
        <v>2022807476.williams@pt.sharda.ac.in</v>
      </c>
      <c r="L173" s="17" t="str">
        <f>VLOOKUP(D173,[3]Sheet1!E:K,6,FALSE)</f>
        <v>8794720814</v>
      </c>
      <c r="M173" s="17" t="s">
        <v>15</v>
      </c>
      <c r="O173" t="e">
        <f>VLOOKUP(C173,#REF!,12,FALSE)</f>
        <v>#REF!</v>
      </c>
    </row>
    <row r="174" spans="1:15">
      <c r="A174" s="17">
        <v>173</v>
      </c>
      <c r="B174" s="17" t="s">
        <v>286</v>
      </c>
      <c r="C174" s="17">
        <v>2022005582</v>
      </c>
      <c r="D174" s="17">
        <v>2201010505</v>
      </c>
      <c r="E174" s="17" t="s">
        <v>1804</v>
      </c>
      <c r="F174" s="17" t="e">
        <f>VLOOKUP('2501_MIS '!C174,'[1]Fast Track '!B:K,10,FALSE)</f>
        <v>#N/A</v>
      </c>
      <c r="G174" s="17" t="str">
        <f>VLOOKUP(C174,[2]Sheet7!A:D,4,FALSE)</f>
        <v>Promoted</v>
      </c>
      <c r="H174" s="45" t="s">
        <v>3644</v>
      </c>
      <c r="I174" s="26" t="s">
        <v>3651</v>
      </c>
      <c r="J174" s="17" t="s">
        <v>287</v>
      </c>
      <c r="K174" s="17" t="str">
        <f>VLOOKUP(C174,[3]Sheet1!D:J,6,FALSE)</f>
        <v>2022005582.praveenkumar@pt.sharda.ac.in</v>
      </c>
      <c r="L174" s="17" t="str">
        <f>VLOOKUP(D174,[3]Sheet1!E:K,6,FALSE)</f>
        <v>8383846696</v>
      </c>
      <c r="M174" s="17" t="s">
        <v>15</v>
      </c>
      <c r="O174" t="e">
        <f>VLOOKUP(C174,#REF!,12,FALSE)</f>
        <v>#REF!</v>
      </c>
    </row>
    <row r="175" spans="1:15">
      <c r="A175" s="17">
        <v>174</v>
      </c>
      <c r="B175" s="17" t="s">
        <v>345</v>
      </c>
      <c r="C175" s="17">
        <v>2022502729</v>
      </c>
      <c r="D175" s="17">
        <v>2201010622</v>
      </c>
      <c r="E175" s="17" t="s">
        <v>1804</v>
      </c>
      <c r="F175" s="17" t="e">
        <f>VLOOKUP('2501_MIS '!C175,'[1]Fast Track '!B:K,10,FALSE)</f>
        <v>#N/A</v>
      </c>
      <c r="G175" s="17" t="str">
        <f>VLOOKUP(C175,[2]Sheet7!A:D,4,FALSE)</f>
        <v>Promoted</v>
      </c>
      <c r="H175" s="45" t="s">
        <v>3644</v>
      </c>
      <c r="I175" s="26" t="s">
        <v>3651</v>
      </c>
      <c r="J175" s="17" t="s">
        <v>346</v>
      </c>
      <c r="K175" s="17" t="str">
        <f>VLOOKUP(C175,[3]Sheet1!D:J,6,FALSE)</f>
        <v>2022502729.brijmohan@pt.sharda.ac.in</v>
      </c>
      <c r="L175" s="17" t="str">
        <f>VLOOKUP(D175,[3]Sheet1!E:K,6,FALSE)</f>
        <v>9334319291</v>
      </c>
      <c r="M175" s="17" t="s">
        <v>15</v>
      </c>
      <c r="O175" t="e">
        <f>VLOOKUP(C175,#REF!,12,FALSE)</f>
        <v>#REF!</v>
      </c>
    </row>
    <row r="176" spans="1:15">
      <c r="A176" s="17">
        <v>175</v>
      </c>
      <c r="B176" s="17" t="s">
        <v>304</v>
      </c>
      <c r="C176" s="17">
        <v>2022359008</v>
      </c>
      <c r="D176" s="17">
        <v>2201010586</v>
      </c>
      <c r="E176" s="17" t="s">
        <v>1804</v>
      </c>
      <c r="F176" s="17" t="e">
        <f>VLOOKUP('2501_MIS '!C176,'[1]Fast Track '!B:K,10,FALSE)</f>
        <v>#N/A</v>
      </c>
      <c r="G176" s="17" t="str">
        <f>VLOOKUP(C176,[2]Sheet7!A:D,4,FALSE)</f>
        <v>Promoted</v>
      </c>
      <c r="H176" s="32" t="s">
        <v>3644</v>
      </c>
      <c r="I176" s="26" t="s">
        <v>3651</v>
      </c>
      <c r="J176" s="17" t="s">
        <v>305</v>
      </c>
      <c r="K176" s="17" t="str">
        <f>VLOOKUP(C176,[3]Sheet1!D:J,6,FALSE)</f>
        <v>2022359008.atul@pt.sharda.ac.in</v>
      </c>
      <c r="L176" s="17" t="str">
        <f>VLOOKUP(D176,[3]Sheet1!E:K,6,FALSE)</f>
        <v>8218723077</v>
      </c>
      <c r="M176" s="17" t="s">
        <v>15</v>
      </c>
      <c r="O176" t="e">
        <f>VLOOKUP(C176,#REF!,12,FALSE)</f>
        <v>#REF!</v>
      </c>
    </row>
    <row r="177" spans="1:15">
      <c r="A177" s="17">
        <v>176</v>
      </c>
      <c r="B177" s="17" t="s">
        <v>329</v>
      </c>
      <c r="C177" s="17">
        <v>2022478479</v>
      </c>
      <c r="D177" s="17">
        <v>2201010602</v>
      </c>
      <c r="E177" s="17" t="s">
        <v>1804</v>
      </c>
      <c r="F177" s="17" t="e">
        <f>VLOOKUP('2501_MIS '!C177,'[1]Fast Track '!B:K,10,FALSE)</f>
        <v>#N/A</v>
      </c>
      <c r="G177" s="17" t="str">
        <f>VLOOKUP(C177,[2]Sheet7!A:D,4,FALSE)</f>
        <v>Promoted</v>
      </c>
      <c r="H177" s="45" t="s">
        <v>3644</v>
      </c>
      <c r="I177" s="26" t="s">
        <v>3651</v>
      </c>
      <c r="J177" s="17" t="s">
        <v>330</v>
      </c>
      <c r="K177" s="17" t="str">
        <f>VLOOKUP(C177,[3]Sheet1!D:J,6,FALSE)</f>
        <v>2022478479.satendra@pt.sharda.ac.in</v>
      </c>
      <c r="L177" s="17" t="str">
        <f>VLOOKUP(D177,[3]Sheet1!E:K,6,FALSE)</f>
        <v>9311867527</v>
      </c>
      <c r="M177" s="17" t="s">
        <v>15</v>
      </c>
      <c r="O177" t="e">
        <f>VLOOKUP(C177,#REF!,12,FALSE)</f>
        <v>#REF!</v>
      </c>
    </row>
    <row r="178" spans="1:15">
      <c r="A178" s="17">
        <v>177</v>
      </c>
      <c r="B178" s="17" t="s">
        <v>335</v>
      </c>
      <c r="C178" s="17">
        <v>2022481225</v>
      </c>
      <c r="D178" s="17">
        <v>2201010652</v>
      </c>
      <c r="E178" s="17" t="s">
        <v>1804</v>
      </c>
      <c r="F178" s="17" t="e">
        <f>VLOOKUP('2501_MIS '!C178,'[1]Fast Track '!B:K,10,FALSE)</f>
        <v>#N/A</v>
      </c>
      <c r="G178" s="17" t="str">
        <f>VLOOKUP(C178,[2]Sheet7!A:D,4,FALSE)</f>
        <v>Promoted</v>
      </c>
      <c r="H178" s="32" t="s">
        <v>3644</v>
      </c>
      <c r="I178" s="26" t="s">
        <v>3651</v>
      </c>
      <c r="J178" s="17" t="s">
        <v>336</v>
      </c>
      <c r="K178" s="17" t="str">
        <f>VLOOKUP(C178,[3]Sheet1!D:J,6,FALSE)</f>
        <v>2022481225.umeshkumar@pt.sharda.ac.in</v>
      </c>
      <c r="L178" s="17" t="str">
        <f>VLOOKUP(D178,[3]Sheet1!E:K,6,FALSE)</f>
        <v>8271470307</v>
      </c>
      <c r="M178" s="17" t="s">
        <v>15</v>
      </c>
      <c r="O178" t="e">
        <f>VLOOKUP(C178,#REF!,12,FALSE)</f>
        <v>#REF!</v>
      </c>
    </row>
    <row r="179" spans="1:15">
      <c r="A179" s="17">
        <v>178</v>
      </c>
      <c r="B179" s="17" t="s">
        <v>278</v>
      </c>
      <c r="C179" s="17">
        <v>2022004757</v>
      </c>
      <c r="D179" s="17">
        <v>2201010779</v>
      </c>
      <c r="E179" s="17" t="s">
        <v>1804</v>
      </c>
      <c r="F179" s="17" t="e">
        <f>VLOOKUP('2501_MIS '!C179,'[1]Fast Track '!B:K,10,FALSE)</f>
        <v>#N/A</v>
      </c>
      <c r="G179" s="17" t="str">
        <f>VLOOKUP(C179,[2]Sheet7!A:D,4,FALSE)</f>
        <v>Promoted</v>
      </c>
      <c r="H179" s="45" t="s">
        <v>3644</v>
      </c>
      <c r="I179" s="26" t="s">
        <v>3651</v>
      </c>
      <c r="J179" s="17" t="s">
        <v>279</v>
      </c>
      <c r="K179" s="17" t="str">
        <f>VLOOKUP(C179,[3]Sheet1!D:J,6,FALSE)</f>
        <v>2022004757.pramod@pt.sharda.ac.in</v>
      </c>
      <c r="L179" s="17" t="str">
        <f>VLOOKUP(D179,[3]Sheet1!E:K,6,FALSE)</f>
        <v>8210881736</v>
      </c>
      <c r="M179" s="17" t="s">
        <v>15</v>
      </c>
      <c r="O179" t="e">
        <f>VLOOKUP(C179,#REF!,12,FALSE)</f>
        <v>#REF!</v>
      </c>
    </row>
    <row r="180" spans="1:15">
      <c r="A180" s="17">
        <v>179</v>
      </c>
      <c r="B180" s="17" t="s">
        <v>768</v>
      </c>
      <c r="C180" s="17">
        <v>2022614550</v>
      </c>
      <c r="D180" s="17">
        <v>2201010901</v>
      </c>
      <c r="E180" s="17" t="s">
        <v>1804</v>
      </c>
      <c r="F180" s="17" t="e">
        <f>VLOOKUP('2501_MIS '!C180,'[1]Fast Track '!B:K,10,FALSE)</f>
        <v>#N/A</v>
      </c>
      <c r="G180" s="17" t="str">
        <f>VLOOKUP(C180,[2]Sheet7!A:D,4,FALSE)</f>
        <v>Promoted</v>
      </c>
      <c r="H180" s="45" t="s">
        <v>3644</v>
      </c>
      <c r="I180" s="26" t="s">
        <v>3651</v>
      </c>
      <c r="J180" s="17" t="s">
        <v>769</v>
      </c>
      <c r="K180" s="17" t="str">
        <f>VLOOKUP(C180,[3]Sheet1!D:J,6,FALSE)</f>
        <v>2022614550.raikindi@pt.sharda.ac.in</v>
      </c>
      <c r="L180" s="17" t="str">
        <f>VLOOKUP(D180,[3]Sheet1!E:K,6,FALSE)</f>
        <v>8639664896</v>
      </c>
      <c r="M180" s="17" t="s">
        <v>15</v>
      </c>
      <c r="O180" t="e">
        <f>VLOOKUP(C180,#REF!,12,FALSE)</f>
        <v>#REF!</v>
      </c>
    </row>
    <row r="181" spans="1:15">
      <c r="A181" s="17">
        <v>180</v>
      </c>
      <c r="B181" s="17" t="s">
        <v>308</v>
      </c>
      <c r="C181" s="17">
        <v>2022414495</v>
      </c>
      <c r="D181" s="17">
        <v>2201010682</v>
      </c>
      <c r="E181" s="17" t="s">
        <v>1804</v>
      </c>
      <c r="F181" s="17" t="e">
        <f>VLOOKUP('2501_MIS '!C181,'[1]Fast Track '!B:K,10,FALSE)</f>
        <v>#N/A</v>
      </c>
      <c r="G181" s="17" t="str">
        <f>VLOOKUP(C181,[2]Sheet7!A:D,4,FALSE)</f>
        <v>Promoted</v>
      </c>
      <c r="H181" s="45" t="s">
        <v>3644</v>
      </c>
      <c r="I181" s="26" t="s">
        <v>3651</v>
      </c>
      <c r="J181" s="17" t="s">
        <v>309</v>
      </c>
      <c r="K181" s="17" t="str">
        <f>VLOOKUP(C181,[3]Sheet1!D:J,6,FALSE)</f>
        <v>2022414495.anil@pt.sharda.ac.in</v>
      </c>
      <c r="L181" s="17" t="str">
        <f>VLOOKUP(D181,[3]Sheet1!E:K,6,FALSE)</f>
        <v>8929988090</v>
      </c>
      <c r="M181" s="17" t="s">
        <v>15</v>
      </c>
      <c r="O181" t="e">
        <f>VLOOKUP(C181,#REF!,12,FALSE)</f>
        <v>#REF!</v>
      </c>
    </row>
    <row r="182" spans="1:15">
      <c r="A182" s="17">
        <v>181</v>
      </c>
      <c r="B182" s="17" t="s">
        <v>460</v>
      </c>
      <c r="C182" s="17">
        <v>2022481431</v>
      </c>
      <c r="D182" s="17">
        <v>2201010213</v>
      </c>
      <c r="E182" s="17" t="s">
        <v>1804</v>
      </c>
      <c r="F182" s="17" t="e">
        <f>VLOOKUP('2501_MIS '!C182,'[1]Fast Track '!B:K,10,FALSE)</f>
        <v>#N/A</v>
      </c>
      <c r="G182" s="17" t="str">
        <f>VLOOKUP(C182,[2]Sheet7!A:D,4,FALSE)</f>
        <v>Promoted</v>
      </c>
      <c r="H182" s="32" t="s">
        <v>3644</v>
      </c>
      <c r="I182" s="26" t="s">
        <v>3651</v>
      </c>
      <c r="J182" s="17" t="s">
        <v>461</v>
      </c>
      <c r="K182" s="17" t="str">
        <f>VLOOKUP(C182,[3]Sheet1!D:J,6,FALSE)</f>
        <v>2022481431.ashish@pt.sharda.ac.in</v>
      </c>
      <c r="L182" s="17" t="str">
        <f>VLOOKUP(D182,[3]Sheet1!E:K,6,FALSE)</f>
        <v>8271442413</v>
      </c>
      <c r="M182" s="17" t="s">
        <v>15</v>
      </c>
      <c r="O182" t="e">
        <f>VLOOKUP(C182,#REF!,12,FALSE)</f>
        <v>#REF!</v>
      </c>
    </row>
    <row r="183" spans="1:15">
      <c r="A183" s="17">
        <v>182</v>
      </c>
      <c r="B183" s="17" t="s">
        <v>402</v>
      </c>
      <c r="C183" s="17">
        <v>2022003691</v>
      </c>
      <c r="D183" s="17">
        <v>2201010245</v>
      </c>
      <c r="E183" s="17" t="s">
        <v>1804</v>
      </c>
      <c r="F183" s="17" t="e">
        <f>VLOOKUP('2501_MIS '!C183,'[1]Fast Track '!B:K,10,FALSE)</f>
        <v>#N/A</v>
      </c>
      <c r="G183" s="17" t="str">
        <f>VLOOKUP(C183,[2]Sheet7!A:D,4,FALSE)</f>
        <v>Promoted</v>
      </c>
      <c r="H183" s="45" t="s">
        <v>3644</v>
      </c>
      <c r="I183" s="26" t="s">
        <v>3651</v>
      </c>
      <c r="J183" s="17" t="s">
        <v>403</v>
      </c>
      <c r="K183" s="17" t="str">
        <f>VLOOKUP(C183,[3]Sheet1!D:J,6,FALSE)</f>
        <v>2022003691.jitendra@pt.sharda.ac.in</v>
      </c>
      <c r="L183" s="17" t="str">
        <f>VLOOKUP(D183,[3]Sheet1!E:K,6,FALSE)</f>
        <v>9368976764</v>
      </c>
      <c r="M183" s="17" t="s">
        <v>15</v>
      </c>
      <c r="O183" t="e">
        <f>VLOOKUP(C183,#REF!,12,FALSE)</f>
        <v>#REF!</v>
      </c>
    </row>
    <row r="184" spans="1:15">
      <c r="A184" s="17">
        <v>183</v>
      </c>
      <c r="B184" s="17" t="s">
        <v>390</v>
      </c>
      <c r="C184" s="17">
        <v>2022567867</v>
      </c>
      <c r="D184" s="17">
        <v>2201010333</v>
      </c>
      <c r="E184" s="17" t="s">
        <v>1804</v>
      </c>
      <c r="F184" s="17" t="e">
        <f>VLOOKUP('2501_MIS '!C184,'[1]Fast Track '!B:K,10,FALSE)</f>
        <v>#N/A</v>
      </c>
      <c r="G184" s="17" t="str">
        <f>VLOOKUP(C184,[2]Sheet7!A:D,4,FALSE)</f>
        <v>Promoted</v>
      </c>
      <c r="H184" s="45" t="s">
        <v>3644</v>
      </c>
      <c r="I184" s="26" t="s">
        <v>3651</v>
      </c>
      <c r="J184" s="17" t="s">
        <v>391</v>
      </c>
      <c r="K184" s="17" t="str">
        <f>VLOOKUP(C184,[3]Sheet1!D:J,6,FALSE)</f>
        <v>2022567867.ajitkumar@pt.sharda.ac.in</v>
      </c>
      <c r="L184" s="17" t="str">
        <f>VLOOKUP(D184,[3]Sheet1!E:K,6,FALSE)</f>
        <v>9721049602</v>
      </c>
      <c r="M184" s="17" t="s">
        <v>15</v>
      </c>
      <c r="O184" t="e">
        <f>VLOOKUP(C184,#REF!,12,FALSE)</f>
        <v>#REF!</v>
      </c>
    </row>
    <row r="185" spans="1:15">
      <c r="A185" s="17">
        <v>184</v>
      </c>
      <c r="B185" s="17" t="s">
        <v>463</v>
      </c>
      <c r="C185" s="17">
        <v>2022484252</v>
      </c>
      <c r="D185" s="17">
        <v>2201010731</v>
      </c>
      <c r="E185" s="17" t="s">
        <v>1804</v>
      </c>
      <c r="F185" s="17" t="e">
        <f>VLOOKUP('2501_MIS '!C185,'[1]Fast Track '!B:K,10,FALSE)</f>
        <v>#N/A</v>
      </c>
      <c r="G185" s="17" t="str">
        <f>VLOOKUP(C185,[2]Sheet7!A:D,4,FALSE)</f>
        <v>Promoted</v>
      </c>
      <c r="H185" s="45" t="s">
        <v>3644</v>
      </c>
      <c r="I185" s="26" t="s">
        <v>3651</v>
      </c>
      <c r="J185" s="17" t="s">
        <v>464</v>
      </c>
      <c r="K185" s="17" t="str">
        <f>VLOOKUP(C185,[3]Sheet1!D:J,6,FALSE)</f>
        <v>2022484252.manoj@pt.sharda.ac.in</v>
      </c>
      <c r="L185" s="17" t="str">
        <f>VLOOKUP(D185,[3]Sheet1!E:K,6,FALSE)</f>
        <v>8210930523</v>
      </c>
      <c r="M185" s="17" t="s">
        <v>15</v>
      </c>
      <c r="O185" t="e">
        <f>VLOOKUP(C185,#REF!,12,FALSE)</f>
        <v>#REF!</v>
      </c>
    </row>
    <row r="186" spans="1:15">
      <c r="A186" s="17">
        <v>185</v>
      </c>
      <c r="B186" s="17" t="s">
        <v>392</v>
      </c>
      <c r="C186" s="17">
        <v>2022607404</v>
      </c>
      <c r="D186" s="17">
        <v>2201010896</v>
      </c>
      <c r="E186" s="17" t="s">
        <v>1804</v>
      </c>
      <c r="F186" s="17" t="e">
        <f>VLOOKUP('2501_MIS '!C186,'[1]Fast Track '!B:K,10,FALSE)</f>
        <v>#N/A</v>
      </c>
      <c r="G186" s="17" t="str">
        <f>VLOOKUP(C186,[2]Sheet7!A:D,4,FALSE)</f>
        <v>Promoted</v>
      </c>
      <c r="H186" s="32" t="s">
        <v>3644</v>
      </c>
      <c r="I186" s="26" t="s">
        <v>3651</v>
      </c>
      <c r="J186" s="17" t="s">
        <v>393</v>
      </c>
      <c r="K186" s="17" t="str">
        <f>VLOOKUP(C186,[3]Sheet1!D:J,6,FALSE)</f>
        <v>2022607404.kadugulaamulya@pt.sharda.ac.in</v>
      </c>
      <c r="L186" s="17" t="str">
        <f>VLOOKUP(D186,[3]Sheet1!E:K,6,FALSE)</f>
        <v>9958983309</v>
      </c>
      <c r="M186" s="17" t="s">
        <v>15</v>
      </c>
      <c r="O186" t="e">
        <f>VLOOKUP(C186,#REF!,12,FALSE)</f>
        <v>#REF!</v>
      </c>
    </row>
    <row r="187" spans="1:15">
      <c r="A187" s="17">
        <v>186</v>
      </c>
      <c r="B187" s="17" t="s">
        <v>776</v>
      </c>
      <c r="C187" s="17">
        <v>2023000910</v>
      </c>
      <c r="D187" s="17">
        <v>2301017001</v>
      </c>
      <c r="E187" s="17" t="s">
        <v>1804</v>
      </c>
      <c r="F187" s="17" t="e">
        <f>VLOOKUP('2501_MIS '!C187,'[1]Fast Track '!B:K,10,FALSE)</f>
        <v>#N/A</v>
      </c>
      <c r="G187" s="17" t="str">
        <f>VLOOKUP(C187,[2]Sheet7!A:D,4,FALSE)</f>
        <v>Promoted</v>
      </c>
      <c r="H187" s="45" t="s">
        <v>3644</v>
      </c>
      <c r="I187" s="26" t="s">
        <v>3651</v>
      </c>
      <c r="J187" s="17" t="s">
        <v>777</v>
      </c>
      <c r="K187" s="17" t="str">
        <f>VLOOKUP(C187,[3]Sheet1!D:J,6,FALSE)</f>
        <v>2023000910.ajay@pt.sharda.ac.in</v>
      </c>
      <c r="L187" s="17" t="str">
        <f>VLOOKUP(D187,[3]Sheet1!E:K,6,FALSE)</f>
        <v>9455644313</v>
      </c>
      <c r="M187" s="17" t="s">
        <v>15</v>
      </c>
      <c r="O187" t="e">
        <f>VLOOKUP(C187,#REF!,12,FALSE)</f>
        <v>#REF!</v>
      </c>
    </row>
    <row r="188" spans="1:15">
      <c r="A188" s="17">
        <v>187</v>
      </c>
      <c r="B188" s="17" t="s">
        <v>545</v>
      </c>
      <c r="C188" s="17">
        <v>2022005613</v>
      </c>
      <c r="D188" s="17">
        <v>2201010628</v>
      </c>
      <c r="E188" s="17" t="s">
        <v>1804</v>
      </c>
      <c r="F188" s="17" t="e">
        <f>VLOOKUP('2501_MIS '!C188,'[1]Fast Track '!B:K,10,FALSE)</f>
        <v>#N/A</v>
      </c>
      <c r="G188" s="17" t="str">
        <f>VLOOKUP(C188,[2]Sheet7!A:D,4,FALSE)</f>
        <v>Promoted</v>
      </c>
      <c r="H188" s="45" t="s">
        <v>3644</v>
      </c>
      <c r="I188" s="26" t="s">
        <v>3651</v>
      </c>
      <c r="J188" s="17" t="s">
        <v>546</v>
      </c>
      <c r="K188" s="17" t="str">
        <f>VLOOKUP(C188,[3]Sheet1!D:J,6,FALSE)</f>
        <v>2022005613.praveen@pt.sharda.ac.in</v>
      </c>
      <c r="L188" s="17" t="str">
        <f>VLOOKUP(D188,[3]Sheet1!E:K,6,FALSE)</f>
        <v>9899728401</v>
      </c>
      <c r="M188" s="17" t="s">
        <v>15</v>
      </c>
      <c r="O188" t="e">
        <f>VLOOKUP(C188,#REF!,12,FALSE)</f>
        <v>#REF!</v>
      </c>
    </row>
    <row r="189" spans="1:15">
      <c r="A189" s="17">
        <v>188</v>
      </c>
      <c r="B189" s="17" t="s">
        <v>567</v>
      </c>
      <c r="C189" s="17">
        <v>2022363409</v>
      </c>
      <c r="D189" s="17">
        <v>2201010818</v>
      </c>
      <c r="E189" s="17" t="s">
        <v>1804</v>
      </c>
      <c r="F189" s="17" t="e">
        <f>VLOOKUP('2501_MIS '!C189,'[1]Fast Track '!B:K,10,FALSE)</f>
        <v>#N/A</v>
      </c>
      <c r="G189" s="17" t="str">
        <f>VLOOKUP(C189,[2]Sheet7!A:D,4,FALSE)</f>
        <v>Promoted</v>
      </c>
      <c r="H189" s="32" t="s">
        <v>3644</v>
      </c>
      <c r="I189" s="26" t="s">
        <v>3651</v>
      </c>
      <c r="J189" s="17" t="s">
        <v>568</v>
      </c>
      <c r="K189" s="17" t="str">
        <f>VLOOKUP(C189,[3]Sheet1!D:J,6,FALSE)</f>
        <v>2022363409.yennisrinivasa@pt.sharda.ac.in</v>
      </c>
      <c r="L189" s="17" t="str">
        <f>VLOOKUP(D189,[3]Sheet1!E:K,6,FALSE)</f>
        <v>8287434773</v>
      </c>
      <c r="M189" s="17" t="s">
        <v>15</v>
      </c>
      <c r="O189" t="e">
        <f>VLOOKUP(C189,#REF!,12,FALSE)</f>
        <v>#REF!</v>
      </c>
    </row>
    <row r="190" spans="1:15">
      <c r="A190" s="17">
        <v>189</v>
      </c>
      <c r="B190" s="17" t="s">
        <v>722</v>
      </c>
      <c r="C190" s="17">
        <v>2022525962</v>
      </c>
      <c r="D190" s="17">
        <v>2201010034</v>
      </c>
      <c r="E190" s="17" t="s">
        <v>1804</v>
      </c>
      <c r="F190" s="17" t="e">
        <f>VLOOKUP('2501_MIS '!C190,'[1]Fast Track '!B:K,10,FALSE)</f>
        <v>#N/A</v>
      </c>
      <c r="G190" s="17" t="str">
        <f>VLOOKUP(C190,[2]Sheet7!A:D,4,FALSE)</f>
        <v>Promoted</v>
      </c>
      <c r="H190" s="45" t="s">
        <v>3644</v>
      </c>
      <c r="I190" s="26" t="s">
        <v>3651</v>
      </c>
      <c r="J190" s="17" t="s">
        <v>723</v>
      </c>
      <c r="K190" s="17" t="str">
        <f>VLOOKUP(C190,[3]Sheet1!D:J,6,FALSE)</f>
        <v>2022525962.rajeshkumar@pt.sharda.ac.in</v>
      </c>
      <c r="L190" s="17" t="str">
        <f>VLOOKUP(D190,[3]Sheet1!E:K,6,FALSE)</f>
        <v>7979715916</v>
      </c>
      <c r="M190" s="17" t="s">
        <v>15</v>
      </c>
      <c r="O190" t="e">
        <f>VLOOKUP(C190,#REF!,12,FALSE)</f>
        <v>#REF!</v>
      </c>
    </row>
    <row r="191" spans="1:15">
      <c r="A191" s="17">
        <v>190</v>
      </c>
      <c r="B191" s="17" t="s">
        <v>755</v>
      </c>
      <c r="C191" s="17">
        <v>2022007202</v>
      </c>
      <c r="D191" s="17">
        <v>2201010254</v>
      </c>
      <c r="E191" s="17" t="s">
        <v>1804</v>
      </c>
      <c r="F191" s="17" t="e">
        <f>VLOOKUP('2501_MIS '!C191,'[1]Fast Track '!B:K,10,FALSE)</f>
        <v>#N/A</v>
      </c>
      <c r="G191" s="17" t="str">
        <f>VLOOKUP(C191,[2]Sheet7!A:D,4,FALSE)</f>
        <v>Promoted</v>
      </c>
      <c r="H191" s="45" t="s">
        <v>3644</v>
      </c>
      <c r="I191" s="26" t="s">
        <v>3651</v>
      </c>
      <c r="J191" s="17" t="s">
        <v>756</v>
      </c>
      <c r="K191" s="17" t="str">
        <f>VLOOKUP(C191,[3]Sheet1!D:J,6,FALSE)</f>
        <v>2022007202.nootan@pt.sharda.ac.in</v>
      </c>
      <c r="L191" s="17" t="str">
        <f>VLOOKUP(D191,[3]Sheet1!E:K,6,FALSE)</f>
        <v>9045186230</v>
      </c>
      <c r="M191" s="17" t="s">
        <v>15</v>
      </c>
      <c r="O191" t="e">
        <f>VLOOKUP(C191,#REF!,12,FALSE)</f>
        <v>#REF!</v>
      </c>
    </row>
    <row r="192" spans="1:15">
      <c r="A192" s="17">
        <v>191</v>
      </c>
      <c r="B192" s="17" t="s">
        <v>715</v>
      </c>
      <c r="C192" s="17">
        <v>2022464792</v>
      </c>
      <c r="D192" s="17">
        <v>2201010557</v>
      </c>
      <c r="E192" s="17" t="s">
        <v>1804</v>
      </c>
      <c r="F192" s="17" t="e">
        <f>VLOOKUP('2501_MIS '!C192,'[1]Fast Track '!B:K,10,FALSE)</f>
        <v>#N/A</v>
      </c>
      <c r="G192" s="17" t="str">
        <f>VLOOKUP(C192,[2]Sheet7!A:D,4,FALSE)</f>
        <v>Promoted</v>
      </c>
      <c r="H192" s="45" t="s">
        <v>3644</v>
      </c>
      <c r="I192" s="26" t="s">
        <v>3651</v>
      </c>
      <c r="J192" s="17" t="s">
        <v>716</v>
      </c>
      <c r="K192" s="17" t="str">
        <f>VLOOKUP(C192,[3]Sheet1!D:J,6,FALSE)</f>
        <v>2022464792.ashish@pt.sharda.ac.in</v>
      </c>
      <c r="L192" s="17" t="str">
        <f>VLOOKUP(D192,[3]Sheet1!E:K,6,FALSE)</f>
        <v>9205390709</v>
      </c>
      <c r="M192" s="17" t="s">
        <v>15</v>
      </c>
      <c r="O192" t="e">
        <f>VLOOKUP(C192,#REF!,12,FALSE)</f>
        <v>#REF!</v>
      </c>
    </row>
    <row r="193" spans="1:15">
      <c r="A193" s="17">
        <v>192</v>
      </c>
      <c r="B193" s="17" t="s">
        <v>315</v>
      </c>
      <c r="C193" s="17">
        <v>2022446378</v>
      </c>
      <c r="D193" s="17">
        <v>2201010160</v>
      </c>
      <c r="E193" s="17" t="s">
        <v>1804</v>
      </c>
      <c r="F193" s="17" t="e">
        <f>VLOOKUP('2501_MIS '!C193,'[1]Fast Track '!B:K,10,FALSE)</f>
        <v>#N/A</v>
      </c>
      <c r="G193" s="17" t="str">
        <f>VLOOKUP(C193,[2]Sheet7!A:D,4,FALSE)</f>
        <v>Promoted</v>
      </c>
      <c r="H193" s="45" t="s">
        <v>3644</v>
      </c>
      <c r="I193" s="26" t="s">
        <v>3651</v>
      </c>
      <c r="J193" s="17" t="s">
        <v>316</v>
      </c>
      <c r="K193" s="17" t="str">
        <f>VLOOKUP(C193,[3]Sheet1!D:J,6,FALSE)</f>
        <v>2022446378.arun@pt.sharda.ac.in</v>
      </c>
      <c r="L193" s="17" t="str">
        <f>VLOOKUP(D193,[3]Sheet1!E:K,6,FALSE)</f>
        <v>6201817713</v>
      </c>
      <c r="M193" s="17" t="s">
        <v>15</v>
      </c>
      <c r="O193" t="e">
        <f>VLOOKUP(C193,#REF!,12,FALSE)</f>
        <v>#REF!</v>
      </c>
    </row>
    <row r="194" spans="1:15">
      <c r="A194" s="17">
        <v>193</v>
      </c>
      <c r="B194" s="17" t="s">
        <v>961</v>
      </c>
      <c r="C194" s="17">
        <v>2022478036</v>
      </c>
      <c r="D194" s="17">
        <v>2201010605</v>
      </c>
      <c r="E194" s="17" t="s">
        <v>1805</v>
      </c>
      <c r="F194" s="17" t="str">
        <f>VLOOKUP('2501_MIS '!C194,'[1]Fast Track '!B:K,10,FALSE)</f>
        <v>Fast learning Mode</v>
      </c>
      <c r="G194" s="17" t="str">
        <f>VLOOKUP(C194,[2]Sheet7!A:D,4,FALSE)</f>
        <v>Promoted</v>
      </c>
      <c r="H194" s="45" t="s">
        <v>3645</v>
      </c>
      <c r="I194" s="26" t="s">
        <v>3652</v>
      </c>
      <c r="J194" s="17" t="s">
        <v>962</v>
      </c>
      <c r="K194" s="17" t="str">
        <f>VLOOKUP(C194,[3]Sheet1!D:J,6,FALSE)</f>
        <v>2022478036.ajay@pt.sharda.ac.in</v>
      </c>
      <c r="L194" s="17" t="str">
        <f>VLOOKUP(D194,[3]Sheet1!E:K,6,FALSE)</f>
        <v>9358584820</v>
      </c>
      <c r="M194" s="17" t="s">
        <v>15</v>
      </c>
      <c r="O194" t="e">
        <f>VLOOKUP(C194,#REF!,12,FALSE)</f>
        <v>#REF!</v>
      </c>
    </row>
    <row r="195" spans="1:15">
      <c r="A195" s="17">
        <v>194</v>
      </c>
      <c r="B195" s="17" t="s">
        <v>907</v>
      </c>
      <c r="C195" s="17">
        <v>2022004547</v>
      </c>
      <c r="D195" s="17">
        <v>2201010635</v>
      </c>
      <c r="E195" s="17" t="s">
        <v>1805</v>
      </c>
      <c r="F195" s="17" t="str">
        <f>VLOOKUP('2501_MIS '!C195,'[1]Fast Track '!B:K,10,FALSE)</f>
        <v>Fast learning Mode</v>
      </c>
      <c r="G195" s="17" t="str">
        <f>VLOOKUP(C195,[2]Sheet7!A:D,4,FALSE)</f>
        <v>Promoted</v>
      </c>
      <c r="H195" s="45" t="s">
        <v>3645</v>
      </c>
      <c r="I195" s="26" t="s">
        <v>3652</v>
      </c>
      <c r="J195" s="17" t="s">
        <v>908</v>
      </c>
      <c r="K195" s="17" t="str">
        <f>VLOOKUP(C195,[3]Sheet1!D:J,6,FALSE)</f>
        <v>2022004547.sanjay@pt.sharda.ac.in</v>
      </c>
      <c r="L195" s="17" t="str">
        <f>VLOOKUP(D195,[3]Sheet1!E:K,6,FALSE)</f>
        <v>7011428007</v>
      </c>
      <c r="M195" s="17" t="s">
        <v>15</v>
      </c>
      <c r="O195" t="e">
        <f>VLOOKUP(C195,#REF!,12,FALSE)</f>
        <v>#REF!</v>
      </c>
    </row>
    <row r="196" spans="1:15">
      <c r="A196" s="17">
        <v>195</v>
      </c>
      <c r="B196" s="17" t="s">
        <v>1106</v>
      </c>
      <c r="C196" s="17">
        <v>2022507647</v>
      </c>
      <c r="D196" s="17">
        <v>2201010353</v>
      </c>
      <c r="E196" s="17" t="s">
        <v>1805</v>
      </c>
      <c r="F196" s="17" t="str">
        <f>VLOOKUP('2501_MIS '!C196,'[1]Fast Track '!B:K,10,FALSE)</f>
        <v>Fast learning Mode</v>
      </c>
      <c r="G196" s="17" t="str">
        <f>VLOOKUP(C196,[2]Sheet7!A:D,4,FALSE)</f>
        <v>Promoted</v>
      </c>
      <c r="H196" s="45" t="s">
        <v>3645</v>
      </c>
      <c r="I196" s="26" t="s">
        <v>3652</v>
      </c>
      <c r="J196" s="17" t="s">
        <v>1107</v>
      </c>
      <c r="K196" s="17" t="str">
        <f>VLOOKUP(C196,[3]Sheet1!D:J,6,FALSE)</f>
        <v>2022507647.dinesh@pt.sharda.ac.in</v>
      </c>
      <c r="L196" s="17" t="str">
        <f>VLOOKUP(D196,[3]Sheet1!E:K,6,FALSE)</f>
        <v>8448777978</v>
      </c>
      <c r="M196" s="17" t="s">
        <v>15</v>
      </c>
      <c r="O196" t="e">
        <f>VLOOKUP(C196,#REF!,12,FALSE)</f>
        <v>#REF!</v>
      </c>
    </row>
    <row r="197" spans="1:15">
      <c r="A197" s="17">
        <v>196</v>
      </c>
      <c r="B197" s="17" t="s">
        <v>1102</v>
      </c>
      <c r="C197" s="17">
        <v>2022492018</v>
      </c>
      <c r="D197" s="17">
        <v>2201010489</v>
      </c>
      <c r="E197" s="17" t="s">
        <v>1805</v>
      </c>
      <c r="F197" s="17" t="str">
        <f>VLOOKUP('2501_MIS '!C197,'[1]Fast Track '!B:K,10,FALSE)</f>
        <v>Fast learning Mode</v>
      </c>
      <c r="G197" s="17" t="str">
        <f>VLOOKUP(C197,[2]Sheet7!A:D,4,FALSE)</f>
        <v>Promoted</v>
      </c>
      <c r="H197" s="45" t="s">
        <v>3645</v>
      </c>
      <c r="I197" s="26" t="s">
        <v>3652</v>
      </c>
      <c r="J197" s="17" t="s">
        <v>1103</v>
      </c>
      <c r="K197" s="17" t="str">
        <f>VLOOKUP(C197,[3]Sheet1!D:J,6,FALSE)</f>
        <v>2022492018.ashokprasad@pt.sharda.ac.in</v>
      </c>
      <c r="L197" s="17" t="str">
        <f>VLOOKUP(D197,[3]Sheet1!E:K,6,FALSE)</f>
        <v>8235853597</v>
      </c>
      <c r="M197" s="17" t="s">
        <v>15</v>
      </c>
      <c r="O197" t="e">
        <f>VLOOKUP(C197,#REF!,12,FALSE)</f>
        <v>#REF!</v>
      </c>
    </row>
    <row r="198" spans="1:15">
      <c r="A198" s="17">
        <v>197</v>
      </c>
      <c r="B198" s="17" t="s">
        <v>1044</v>
      </c>
      <c r="C198" s="17">
        <v>2022003923</v>
      </c>
      <c r="D198" s="17">
        <v>2201010829</v>
      </c>
      <c r="E198" s="17" t="s">
        <v>1805</v>
      </c>
      <c r="F198" s="17" t="str">
        <f>VLOOKUP('2501_MIS '!C198,'[1]Fast Track '!B:K,10,FALSE)</f>
        <v>Fast learning Mode</v>
      </c>
      <c r="G198" s="17" t="str">
        <f>VLOOKUP(C198,[2]Sheet7!A:D,4,FALSE)</f>
        <v>Promoted</v>
      </c>
      <c r="H198" s="45" t="s">
        <v>3645</v>
      </c>
      <c r="I198" s="26" t="s">
        <v>3652</v>
      </c>
      <c r="J198" s="17" t="s">
        <v>1045</v>
      </c>
      <c r="K198" s="17" t="str">
        <f>VLOOKUP(C198,[3]Sheet1!D:J,6,FALSE)</f>
        <v>2022003923.muzaffarjan@pt.sharda.ac.in</v>
      </c>
      <c r="L198" s="17" t="str">
        <f>VLOOKUP(D198,[3]Sheet1!E:K,6,FALSE)</f>
        <v>7006813062</v>
      </c>
      <c r="M198" s="17" t="s">
        <v>15</v>
      </c>
      <c r="O198" t="e">
        <f>VLOOKUP(C198,#REF!,12,FALSE)</f>
        <v>#REF!</v>
      </c>
    </row>
    <row r="199" spans="1:15">
      <c r="A199" s="17">
        <v>198</v>
      </c>
      <c r="B199" s="17" t="s">
        <v>503</v>
      </c>
      <c r="C199" s="17">
        <v>2022544783</v>
      </c>
      <c r="D199" s="17">
        <v>2201010481</v>
      </c>
      <c r="E199" s="17" t="s">
        <v>1805</v>
      </c>
      <c r="F199" s="17" t="str">
        <f>VLOOKUP('2501_MIS '!C199,'[1]Fast Track '!B:K,10,FALSE)</f>
        <v>Fast learning Mode</v>
      </c>
      <c r="G199" s="17" t="str">
        <f>VLOOKUP(C199,[2]Sheet7!A:D,4,FALSE)</f>
        <v>Promoted</v>
      </c>
      <c r="H199" s="45" t="s">
        <v>3645</v>
      </c>
      <c r="I199" s="26" t="s">
        <v>3652</v>
      </c>
      <c r="J199" s="17" t="s">
        <v>504</v>
      </c>
      <c r="K199" s="17" t="str">
        <f>VLOOKUP(C199,[3]Sheet1!D:J,6,FALSE)</f>
        <v>2022544783.ramkumar@pt.sharda.ac.in</v>
      </c>
      <c r="L199" s="17" t="str">
        <f>VLOOKUP(D199,[3]Sheet1!E:K,6,FALSE)</f>
        <v>6203504840</v>
      </c>
      <c r="M199" s="17" t="s">
        <v>15</v>
      </c>
      <c r="O199" t="e">
        <f>VLOOKUP(C199,#REF!,12,FALSE)</f>
        <v>#REF!</v>
      </c>
    </row>
    <row r="200" spans="1:15">
      <c r="A200" s="17">
        <v>199</v>
      </c>
      <c r="B200" s="17" t="s">
        <v>400</v>
      </c>
      <c r="C200" s="17">
        <v>2022003580</v>
      </c>
      <c r="D200" s="17">
        <v>2201010782</v>
      </c>
      <c r="E200" s="17" t="s">
        <v>1805</v>
      </c>
      <c r="F200" s="17" t="str">
        <f>VLOOKUP('2501_MIS '!C200,'[1]Fast Track '!B:K,10,FALSE)</f>
        <v>Fast learning Mode</v>
      </c>
      <c r="G200" s="17" t="str">
        <f>VLOOKUP(C200,[2]Sheet7!A:D,4,FALSE)</f>
        <v>Promoted</v>
      </c>
      <c r="H200" s="45" t="s">
        <v>3645</v>
      </c>
      <c r="I200" s="26" t="s">
        <v>3652</v>
      </c>
      <c r="J200" s="17" t="s">
        <v>401</v>
      </c>
      <c r="K200" s="17" t="str">
        <f>VLOOKUP(C200,[3]Sheet1!D:J,6,FALSE)</f>
        <v>2022003580.shivram@pt.sharda.ac.in</v>
      </c>
      <c r="L200" s="17" t="str">
        <f>VLOOKUP(D200,[3]Sheet1!E:K,6,FALSE)</f>
        <v>9424991187</v>
      </c>
      <c r="M200" s="17" t="s">
        <v>15</v>
      </c>
      <c r="O200" t="e">
        <f>VLOOKUP(C200,#REF!,12,FALSE)</f>
        <v>#REF!</v>
      </c>
    </row>
    <row r="201" spans="1:15">
      <c r="A201" s="17">
        <v>200</v>
      </c>
      <c r="B201" s="17" t="s">
        <v>353</v>
      </c>
      <c r="C201" s="17">
        <v>2022506580</v>
      </c>
      <c r="D201" s="17">
        <v>2201010556</v>
      </c>
      <c r="E201" s="17" t="s">
        <v>1805</v>
      </c>
      <c r="F201" s="17" t="str">
        <f>VLOOKUP('2501_MIS '!C201,'[1]Fast Track '!B:K,10,FALSE)</f>
        <v>Fast learning Mode</v>
      </c>
      <c r="G201" s="17" t="str">
        <f>VLOOKUP(C201,[2]Sheet7!A:D,4,FALSE)</f>
        <v>Promoted</v>
      </c>
      <c r="H201" s="45" t="s">
        <v>3645</v>
      </c>
      <c r="I201" s="26" t="s">
        <v>3652</v>
      </c>
      <c r="J201" s="17" t="s">
        <v>354</v>
      </c>
      <c r="K201" s="17" t="str">
        <f>VLOOKUP(C201,[3]Sheet1!D:J,6,FALSE)</f>
        <v>2022506580.ramchandra@pt.sharda.ac.in</v>
      </c>
      <c r="L201" s="17" t="str">
        <f>VLOOKUP(D201,[3]Sheet1!E:K,6,FALSE)</f>
        <v>6200734740</v>
      </c>
      <c r="M201" s="17" t="s">
        <v>15</v>
      </c>
      <c r="O201" t="e">
        <f>VLOOKUP(C201,#REF!,12,FALSE)</f>
        <v>#REF!</v>
      </c>
    </row>
    <row r="202" spans="1:15">
      <c r="A202" s="17">
        <v>201</v>
      </c>
      <c r="B202" s="17" t="s">
        <v>432</v>
      </c>
      <c r="C202" s="17">
        <v>2022405479</v>
      </c>
      <c r="D202" s="17">
        <v>2201010062</v>
      </c>
      <c r="E202" s="17" t="s">
        <v>1805</v>
      </c>
      <c r="F202" s="17" t="str">
        <f>VLOOKUP('2501_MIS '!C202,'[1]Fast Track '!B:K,10,FALSE)</f>
        <v>Fast learning Mode</v>
      </c>
      <c r="G202" s="17" t="str">
        <f>VLOOKUP(C202,[2]Sheet7!A:D,4,FALSE)</f>
        <v>Promoted</v>
      </c>
      <c r="H202" s="45" t="s">
        <v>3645</v>
      </c>
      <c r="I202" s="26" t="s">
        <v>3652</v>
      </c>
      <c r="J202" s="17" t="s">
        <v>433</v>
      </c>
      <c r="K202" s="17" t="str">
        <f>VLOOKUP(C202,[3]Sheet1!D:J,6,FALSE)</f>
        <v>2022405479.arvindkumar@pt.sharda.ac.in</v>
      </c>
      <c r="L202" s="17" t="str">
        <f>VLOOKUP(D202,[3]Sheet1!E:K,6,FALSE)</f>
        <v>9936616269</v>
      </c>
      <c r="M202" s="17" t="s">
        <v>15</v>
      </c>
      <c r="O202" t="e">
        <f>VLOOKUP(C202,#REF!,12,FALSE)</f>
        <v>#REF!</v>
      </c>
    </row>
    <row r="203" spans="1:15">
      <c r="A203" s="17">
        <v>202</v>
      </c>
      <c r="B203" s="17" t="s">
        <v>505</v>
      </c>
      <c r="C203" s="17">
        <v>2022552819</v>
      </c>
      <c r="D203" s="17">
        <v>2201010005</v>
      </c>
      <c r="E203" s="17" t="s">
        <v>1805</v>
      </c>
      <c r="F203" s="17" t="str">
        <f>VLOOKUP('2501_MIS '!C203,'[1]Fast Track '!B:K,10,FALSE)</f>
        <v>Fast learning Mode</v>
      </c>
      <c r="G203" s="17" t="str">
        <f>VLOOKUP(C203,[2]Sheet7!A:D,4,FALSE)</f>
        <v>Promoted</v>
      </c>
      <c r="H203" s="45" t="s">
        <v>3645</v>
      </c>
      <c r="I203" s="26" t="s">
        <v>3652</v>
      </c>
      <c r="J203" s="17" t="s">
        <v>506</v>
      </c>
      <c r="K203" s="17" t="str">
        <f>VLOOKUP(C203,[3]Sheet1!D:J,6,FALSE)</f>
        <v>2022552819.d.k@pt.sharda.ac.in</v>
      </c>
      <c r="L203" s="17" t="str">
        <f>VLOOKUP(D203,[3]Sheet1!E:K,6,FALSE)</f>
        <v>8077831479</v>
      </c>
      <c r="M203" s="17" t="s">
        <v>15</v>
      </c>
      <c r="O203" t="e">
        <f>VLOOKUP(C203,#REF!,12,FALSE)</f>
        <v>#REF!</v>
      </c>
    </row>
    <row r="204" spans="1:15">
      <c r="A204" s="17">
        <v>203</v>
      </c>
      <c r="B204" s="17" t="s">
        <v>310</v>
      </c>
      <c r="C204" s="17">
        <v>2022418998</v>
      </c>
      <c r="D204" s="17">
        <v>2201010756</v>
      </c>
      <c r="E204" s="17" t="s">
        <v>1805</v>
      </c>
      <c r="F204" s="17" t="str">
        <f>VLOOKUP('2501_MIS '!C204,'[1]Fast Track '!B:K,10,FALSE)</f>
        <v>Fast learning Mode</v>
      </c>
      <c r="G204" s="17" t="str">
        <f>VLOOKUP(C204,[2]Sheet7!A:D,4,FALSE)</f>
        <v>Promoted</v>
      </c>
      <c r="H204" s="45" t="s">
        <v>3645</v>
      </c>
      <c r="I204" s="26" t="s">
        <v>3652</v>
      </c>
      <c r="J204" s="17" t="s">
        <v>311</v>
      </c>
      <c r="K204" s="17" t="str">
        <f>VLOOKUP(C204,[3]Sheet1!D:J,6,FALSE)</f>
        <v>2022418998.inder@pt.sharda.ac.in</v>
      </c>
      <c r="L204" s="17" t="str">
        <f>VLOOKUP(D204,[3]Sheet1!E:K,6,FALSE)</f>
        <v>8076622787</v>
      </c>
      <c r="M204" s="17" t="s">
        <v>15</v>
      </c>
      <c r="O204" t="e">
        <f>VLOOKUP(C204,#REF!,12,FALSE)</f>
        <v>#REF!</v>
      </c>
    </row>
    <row r="205" spans="1:15">
      <c r="A205" s="17">
        <v>204</v>
      </c>
      <c r="B205" s="17" t="s">
        <v>695</v>
      </c>
      <c r="C205" s="17">
        <v>2022007306</v>
      </c>
      <c r="D205" s="17">
        <v>2201010840</v>
      </c>
      <c r="E205" s="17" t="s">
        <v>1805</v>
      </c>
      <c r="F205" s="17" t="str">
        <f>VLOOKUP('2501_MIS '!C205,'[1]Fast Track '!B:K,10,FALSE)</f>
        <v>Fast learning Mode</v>
      </c>
      <c r="G205" s="17" t="str">
        <f>VLOOKUP(C205,[2]Sheet7!A:D,4,FALSE)</f>
        <v>Promoted</v>
      </c>
      <c r="H205" s="45" t="s">
        <v>3645</v>
      </c>
      <c r="I205" s="26" t="s">
        <v>3652</v>
      </c>
      <c r="J205" s="17" t="s">
        <v>696</v>
      </c>
      <c r="K205" s="17" t="str">
        <f>VLOOKUP(C205,[3]Sheet1!D:J,6,FALSE)</f>
        <v>2022007306.suresh@pt.sharda.ac.in</v>
      </c>
      <c r="L205" s="17" t="str">
        <f>VLOOKUP(D205,[3]Sheet1!E:K,6,FALSE)</f>
        <v>8817200009</v>
      </c>
      <c r="M205" s="17" t="s">
        <v>15</v>
      </c>
      <c r="O205" t="e">
        <f>VLOOKUP(C205,#REF!,12,FALSE)</f>
        <v>#REF!</v>
      </c>
    </row>
    <row r="206" spans="1:15">
      <c r="A206" s="17">
        <v>205</v>
      </c>
      <c r="B206" s="17" t="s">
        <v>62</v>
      </c>
      <c r="C206" s="17">
        <v>2022395305</v>
      </c>
      <c r="D206" s="17">
        <v>2201010140</v>
      </c>
      <c r="E206" s="17" t="s">
        <v>1805</v>
      </c>
      <c r="F206" s="17" t="str">
        <f>VLOOKUP('2501_MIS '!C206,'[1]Fast Track '!B:K,10,FALSE)</f>
        <v>Fast learning Mode</v>
      </c>
      <c r="G206" s="17" t="str">
        <f>VLOOKUP(C206,[2]Sheet7!A:D,4,FALSE)</f>
        <v>Promoted</v>
      </c>
      <c r="H206" s="45" t="s">
        <v>3645</v>
      </c>
      <c r="I206" s="26" t="s">
        <v>3652</v>
      </c>
      <c r="J206" s="17" t="s">
        <v>63</v>
      </c>
      <c r="K206" s="17" t="str">
        <f>VLOOKUP(C206,[3]Sheet1!D:J,6,FALSE)</f>
        <v>2022395305.rajnish@pt.sharda.ac.in</v>
      </c>
      <c r="L206" s="17" t="str">
        <f>VLOOKUP(D206,[3]Sheet1!E:K,6,FALSE)</f>
        <v>9289575803</v>
      </c>
      <c r="M206" s="17" t="s">
        <v>15</v>
      </c>
      <c r="O206" t="e">
        <f>VLOOKUP(C206,#REF!,12,FALSE)</f>
        <v>#REF!</v>
      </c>
    </row>
    <row r="207" spans="1:15">
      <c r="A207" s="17">
        <v>206</v>
      </c>
      <c r="B207" s="17" t="s">
        <v>68</v>
      </c>
      <c r="C207" s="17">
        <v>2022423199</v>
      </c>
      <c r="D207" s="17">
        <v>2201010812</v>
      </c>
      <c r="E207" s="17" t="s">
        <v>1805</v>
      </c>
      <c r="F207" s="17" t="str">
        <f>VLOOKUP('2501_MIS '!C207,'[1]Fast Track '!B:K,10,FALSE)</f>
        <v>Fast learning Mode</v>
      </c>
      <c r="G207" s="17" t="str">
        <f>VLOOKUP(C207,[2]Sheet7!A:D,4,FALSE)</f>
        <v>Promoted</v>
      </c>
      <c r="H207" s="45" t="s">
        <v>3645</v>
      </c>
      <c r="I207" s="26" t="s">
        <v>3652</v>
      </c>
      <c r="J207" s="17" t="s">
        <v>69</v>
      </c>
      <c r="K207" s="17" t="str">
        <f>VLOOKUP(C207,[3]Sheet1!D:J,6,FALSE)</f>
        <v>2022423199.indrasingh@pt.sharda.ac.in</v>
      </c>
      <c r="L207" s="17" t="str">
        <f>VLOOKUP(D207,[3]Sheet1!E:K,6,FALSE)</f>
        <v>9871836528</v>
      </c>
      <c r="M207" s="17" t="s">
        <v>15</v>
      </c>
      <c r="O207" t="e">
        <f>VLOOKUP(C207,#REF!,12,FALSE)</f>
        <v>#REF!</v>
      </c>
    </row>
    <row r="208" spans="1:15">
      <c r="A208" s="17">
        <v>207</v>
      </c>
      <c r="B208" s="17" t="s">
        <v>231</v>
      </c>
      <c r="C208" s="17">
        <v>2022577648</v>
      </c>
      <c r="D208" s="17">
        <v>2201010102</v>
      </c>
      <c r="E208" s="17" t="s">
        <v>1805</v>
      </c>
      <c r="F208" s="17" t="str">
        <f>VLOOKUP('2501_MIS '!C208,'[1]Fast Track '!B:K,10,FALSE)</f>
        <v>Fast learning Mode</v>
      </c>
      <c r="G208" s="17" t="str">
        <f>VLOOKUP(C208,[2]Sheet7!A:D,4,FALSE)</f>
        <v>Promoted</v>
      </c>
      <c r="H208" s="45" t="s">
        <v>3645</v>
      </c>
      <c r="I208" s="26" t="s">
        <v>3652</v>
      </c>
      <c r="J208" s="17" t="s">
        <v>232</v>
      </c>
      <c r="K208" s="17" t="str">
        <f>VLOOKUP(C208,[3]Sheet1!D:J,6,FALSE)</f>
        <v>2022577648.subhashchandra@pt.sharda.ac.in</v>
      </c>
      <c r="L208" s="17" t="str">
        <f>VLOOKUP(D208,[3]Sheet1!E:K,6,FALSE)</f>
        <v>8825258063</v>
      </c>
      <c r="M208" s="17" t="s">
        <v>15</v>
      </c>
      <c r="O208" t="e">
        <f>VLOOKUP(C208,#REF!,12,FALSE)</f>
        <v>#REF!</v>
      </c>
    </row>
    <row r="209" spans="1:15">
      <c r="A209" s="17">
        <v>208</v>
      </c>
      <c r="B209" s="17" t="s">
        <v>251</v>
      </c>
      <c r="C209" s="17">
        <v>2022834464</v>
      </c>
      <c r="D209" s="17">
        <v>2201010437</v>
      </c>
      <c r="E209" s="17" t="s">
        <v>1805</v>
      </c>
      <c r="F209" s="17" t="str">
        <f>VLOOKUP('2501_MIS '!C209,'[1]Fast Track '!B:K,10,FALSE)</f>
        <v>Fast learning Mode</v>
      </c>
      <c r="G209" s="17" t="str">
        <f>VLOOKUP(C209,[2]Sheet7!A:D,4,FALSE)</f>
        <v>Promoted</v>
      </c>
      <c r="H209" s="45" t="s">
        <v>3645</v>
      </c>
      <c r="I209" s="26" t="s">
        <v>3652</v>
      </c>
      <c r="J209" s="17" t="s">
        <v>252</v>
      </c>
      <c r="K209" s="17" t="str">
        <f>VLOOKUP(C209,[3]Sheet1!D:J,6,FALSE)</f>
        <v>2022834464.bhikhariya@pt.sharda.ac.in</v>
      </c>
      <c r="L209" s="17" t="str">
        <f>VLOOKUP(D209,[3]Sheet1!E:K,6,FALSE)</f>
        <v>91 8757443219</v>
      </c>
      <c r="M209" s="17" t="s">
        <v>15</v>
      </c>
      <c r="O209" t="e">
        <f>VLOOKUP(C209,#REF!,12,FALSE)</f>
        <v>#REF!</v>
      </c>
    </row>
    <row r="210" spans="1:15">
      <c r="A210" s="17">
        <v>209</v>
      </c>
      <c r="B210" s="17" t="s">
        <v>225</v>
      </c>
      <c r="C210" s="17">
        <v>2022561225</v>
      </c>
      <c r="D210" s="17">
        <v>2201010750</v>
      </c>
      <c r="E210" s="17" t="s">
        <v>1805</v>
      </c>
      <c r="F210" s="17" t="str">
        <f>VLOOKUP('2501_MIS '!C210,'[1]Fast Track '!B:K,10,FALSE)</f>
        <v>Fast learning Mode</v>
      </c>
      <c r="G210" s="17" t="str">
        <f>VLOOKUP(C210,[2]Sheet7!A:D,4,FALSE)</f>
        <v>Promoted</v>
      </c>
      <c r="H210" s="45" t="s">
        <v>3645</v>
      </c>
      <c r="I210" s="26" t="s">
        <v>3652</v>
      </c>
      <c r="J210" s="17" t="s">
        <v>226</v>
      </c>
      <c r="K210" s="17" t="str">
        <f>VLOOKUP(C210,[3]Sheet1!D:J,6,FALSE)</f>
        <v>2022561225.navdeep@pt.sharda.ac.in</v>
      </c>
      <c r="L210" s="17" t="str">
        <f>VLOOKUP(D210,[3]Sheet1!E:K,6,FALSE)</f>
        <v>8791477144</v>
      </c>
      <c r="M210" s="17" t="s">
        <v>15</v>
      </c>
      <c r="O210" t="e">
        <f>VLOOKUP(C210,#REF!,12,FALSE)</f>
        <v>#REF!</v>
      </c>
    </row>
    <row r="211" spans="1:15">
      <c r="A211" s="17">
        <v>210</v>
      </c>
      <c r="B211" s="17" t="s">
        <v>471</v>
      </c>
      <c r="C211" s="17">
        <v>2022502947</v>
      </c>
      <c r="D211" s="17">
        <v>2201010698</v>
      </c>
      <c r="E211" s="17" t="s">
        <v>1805</v>
      </c>
      <c r="F211" s="17" t="str">
        <f>VLOOKUP('2501_MIS '!C211,'[1]Fast Track '!B:K,10,FALSE)</f>
        <v>Fast learning Mode</v>
      </c>
      <c r="G211" s="17" t="str">
        <f>VLOOKUP(C211,[2]Sheet7!A:D,4,FALSE)</f>
        <v>Promoted</v>
      </c>
      <c r="H211" s="45" t="s">
        <v>3645</v>
      </c>
      <c r="I211" s="26" t="s">
        <v>3652</v>
      </c>
      <c r="J211" s="17" t="s">
        <v>472</v>
      </c>
      <c r="K211" s="17" t="str">
        <f>VLOOKUP(C211,[3]Sheet1!D:J,6,FALSE)</f>
        <v>2022502947.jai@pt.sharda.ac.in</v>
      </c>
      <c r="L211" s="17" t="str">
        <f>VLOOKUP(D211,[3]Sheet1!E:K,6,FALSE)</f>
        <v>9315149393</v>
      </c>
      <c r="M211" s="17" t="s">
        <v>15</v>
      </c>
      <c r="O211" t="e">
        <f>VLOOKUP(C211,#REF!,12,FALSE)</f>
        <v>#REF!</v>
      </c>
    </row>
    <row r="212" spans="1:15">
      <c r="A212" s="17">
        <v>211</v>
      </c>
      <c r="B212" s="17" t="s">
        <v>485</v>
      </c>
      <c r="C212" s="17">
        <v>2022521244</v>
      </c>
      <c r="D212" s="17">
        <v>2201010700</v>
      </c>
      <c r="E212" s="17" t="s">
        <v>1805</v>
      </c>
      <c r="F212" s="17" t="e">
        <f>VLOOKUP('2501_MIS '!C212,'[1]Fast Track '!B:K,10,FALSE)</f>
        <v>#N/A</v>
      </c>
      <c r="G212" s="17" t="str">
        <f>VLOOKUP(C212,[2]Sheet7!A:D,4,FALSE)</f>
        <v>Promoted</v>
      </c>
      <c r="H212" s="45" t="s">
        <v>3645</v>
      </c>
      <c r="I212" s="26" t="s">
        <v>3652</v>
      </c>
      <c r="J212" s="17" t="s">
        <v>486</v>
      </c>
      <c r="K212" s="17" t="str">
        <f>VLOOKUP(C212,[3]Sheet1!D:J,6,FALSE)</f>
        <v>2022521244.bansilal@pt.sharda.ac.in</v>
      </c>
      <c r="L212" s="17" t="str">
        <f>VLOOKUP(D212,[3]Sheet1!E:K,6,FALSE)</f>
        <v>8595849890</v>
      </c>
      <c r="M212" s="17" t="s">
        <v>15</v>
      </c>
      <c r="O212" t="e">
        <f>VLOOKUP(C212,#REF!,12,FALSE)</f>
        <v>#REF!</v>
      </c>
    </row>
    <row r="213" spans="1:15">
      <c r="A213" s="17">
        <v>212</v>
      </c>
      <c r="B213" s="17" t="s">
        <v>426</v>
      </c>
      <c r="C213" s="17">
        <v>2022387392</v>
      </c>
      <c r="D213" s="17">
        <v>2201010713</v>
      </c>
      <c r="E213" s="17" t="s">
        <v>1805</v>
      </c>
      <c r="F213" s="17" t="e">
        <f>VLOOKUP('2501_MIS '!C213,'[1]Fast Track '!B:K,10,FALSE)</f>
        <v>#N/A</v>
      </c>
      <c r="G213" s="17" t="str">
        <f>VLOOKUP(C213,[2]Sheet7!A:D,4,FALSE)</f>
        <v>Promoted</v>
      </c>
      <c r="H213" s="45" t="s">
        <v>3645</v>
      </c>
      <c r="I213" s="26" t="s">
        <v>3652</v>
      </c>
      <c r="J213" s="17" t="s">
        <v>427</v>
      </c>
      <c r="K213" s="17" t="str">
        <f>VLOOKUP(C213,[3]Sheet1!D:J,6,FALSE)</f>
        <v>2022387392.soumen@pt.sharda.ac.in</v>
      </c>
      <c r="L213" s="17" t="str">
        <f>VLOOKUP(D213,[3]Sheet1!E:K,6,FALSE)</f>
        <v>8145257669</v>
      </c>
      <c r="M213" s="17" t="s">
        <v>15</v>
      </c>
      <c r="O213" t="e">
        <f>VLOOKUP(C213,#REF!,12,FALSE)</f>
        <v>#REF!</v>
      </c>
    </row>
    <row r="214" spans="1:15">
      <c r="A214" s="17">
        <v>213</v>
      </c>
      <c r="B214" s="17" t="s">
        <v>418</v>
      </c>
      <c r="C214" s="17">
        <v>2022007728</v>
      </c>
      <c r="D214" s="17">
        <v>2201010862</v>
      </c>
      <c r="E214" s="17" t="s">
        <v>1805</v>
      </c>
      <c r="F214" s="17" t="e">
        <f>VLOOKUP('2501_MIS '!C214,'[1]Fast Track '!B:K,10,FALSE)</f>
        <v>#N/A</v>
      </c>
      <c r="G214" s="17" t="str">
        <f>VLOOKUP(C214,[2]Sheet7!A:D,4,FALSE)</f>
        <v>Promoted</v>
      </c>
      <c r="H214" s="45" t="s">
        <v>3645</v>
      </c>
      <c r="I214" s="26" t="s">
        <v>3652</v>
      </c>
      <c r="J214" s="17" t="s">
        <v>419</v>
      </c>
      <c r="K214" s="17" t="str">
        <f>VLOOKUP(C214,[3]Sheet1!D:J,6,FALSE)</f>
        <v>2022007728.mdwasim@pt.sharda.ac.in</v>
      </c>
      <c r="L214" s="17" t="str">
        <f>VLOOKUP(D214,[3]Sheet1!E:K,6,FALSE)</f>
        <v>8709670822</v>
      </c>
      <c r="M214" s="17" t="s">
        <v>15</v>
      </c>
      <c r="O214" t="e">
        <f>VLOOKUP(C214,#REF!,12,FALSE)</f>
        <v>#REF!</v>
      </c>
    </row>
    <row r="215" spans="1:15">
      <c r="A215" s="17">
        <v>214</v>
      </c>
      <c r="B215" s="17" t="s">
        <v>549</v>
      </c>
      <c r="C215" s="17">
        <v>2022006210</v>
      </c>
      <c r="D215" s="17">
        <v>2201010109</v>
      </c>
      <c r="E215" s="17" t="s">
        <v>1805</v>
      </c>
      <c r="F215" s="17" t="e">
        <f>VLOOKUP('2501_MIS '!C215,'[1]Fast Track '!B:K,10,FALSE)</f>
        <v>#N/A</v>
      </c>
      <c r="G215" s="17" t="str">
        <f>VLOOKUP(C215,[2]Sheet7!A:D,4,FALSE)</f>
        <v>Promoted</v>
      </c>
      <c r="H215" s="45" t="s">
        <v>3645</v>
      </c>
      <c r="I215" s="26" t="s">
        <v>3652</v>
      </c>
      <c r="J215" s="17" t="s">
        <v>550</v>
      </c>
      <c r="K215" s="17" t="str">
        <f>VLOOKUP(C215,[3]Sheet1!D:J,6,FALSE)</f>
        <v>2022006210.bhupender@pt.sharda.ac.in</v>
      </c>
      <c r="L215" s="17" t="str">
        <f>VLOOKUP(D215,[3]Sheet1!E:K,6,FALSE)</f>
        <v>9212917076</v>
      </c>
      <c r="M215" s="17" t="s">
        <v>15</v>
      </c>
      <c r="O215" t="e">
        <f>VLOOKUP(C215,#REF!,12,FALSE)</f>
        <v>#REF!</v>
      </c>
    </row>
    <row r="216" spans="1:15">
      <c r="A216" s="17">
        <v>215</v>
      </c>
      <c r="B216" s="17" t="s">
        <v>627</v>
      </c>
      <c r="C216" s="17">
        <v>2022548161</v>
      </c>
      <c r="D216" s="17">
        <v>2201010317</v>
      </c>
      <c r="E216" s="17" t="s">
        <v>1805</v>
      </c>
      <c r="F216" s="17" t="e">
        <f>VLOOKUP('2501_MIS '!C216,'[1]Fast Track '!B:K,10,FALSE)</f>
        <v>#N/A</v>
      </c>
      <c r="G216" s="17" t="str">
        <f>VLOOKUP(C216,[2]Sheet7!A:D,4,FALSE)</f>
        <v>Promoted</v>
      </c>
      <c r="H216" s="45" t="s">
        <v>3645</v>
      </c>
      <c r="I216" s="26" t="s">
        <v>3652</v>
      </c>
      <c r="J216" s="17" t="s">
        <v>628</v>
      </c>
      <c r="K216" s="17" t="str">
        <f>VLOOKUP(C216,[3]Sheet1!D:J,6,FALSE)</f>
        <v>2022548161.subodhchandra@pt.sharda.ac.in</v>
      </c>
      <c r="L216" s="17" t="str">
        <f>VLOOKUP(D216,[3]Sheet1!E:K,6,FALSE)</f>
        <v>6207071618</v>
      </c>
      <c r="M216" s="17" t="s">
        <v>15</v>
      </c>
      <c r="O216" t="e">
        <f>VLOOKUP(C216,#REF!,12,FALSE)</f>
        <v>#REF!</v>
      </c>
    </row>
    <row r="217" spans="1:15">
      <c r="A217" s="17">
        <v>216</v>
      </c>
      <c r="B217" s="17" t="s">
        <v>579</v>
      </c>
      <c r="C217" s="17">
        <v>2022435738</v>
      </c>
      <c r="D217" s="17">
        <v>2201010330</v>
      </c>
      <c r="E217" s="17" t="s">
        <v>1805</v>
      </c>
      <c r="F217" s="17" t="e">
        <f>VLOOKUP('2501_MIS '!C217,'[1]Fast Track '!B:K,10,FALSE)</f>
        <v>#N/A</v>
      </c>
      <c r="G217" s="17" t="str">
        <f>VLOOKUP(C217,[2]Sheet7!A:D,4,FALSE)</f>
        <v>Promoted</v>
      </c>
      <c r="H217" s="45" t="s">
        <v>3645</v>
      </c>
      <c r="I217" s="26" t="s">
        <v>3652</v>
      </c>
      <c r="J217" s="17" t="s">
        <v>580</v>
      </c>
      <c r="K217" s="17" t="str">
        <f>VLOOKUP(C217,[3]Sheet1!D:J,6,FALSE)</f>
        <v>2022435738.kalyan@pt.sharda.ac.in</v>
      </c>
      <c r="L217" s="17" t="str">
        <f>VLOOKUP(D217,[3]Sheet1!E:K,6,FALSE)</f>
        <v>9065663362</v>
      </c>
      <c r="M217" s="17" t="s">
        <v>15</v>
      </c>
      <c r="O217" t="e">
        <f>VLOOKUP(C217,#REF!,12,FALSE)</f>
        <v>#REF!</v>
      </c>
    </row>
    <row r="218" spans="1:15">
      <c r="A218" s="17">
        <v>217</v>
      </c>
      <c r="B218" s="17" t="s">
        <v>559</v>
      </c>
      <c r="C218" s="17">
        <v>2022331708</v>
      </c>
      <c r="D218" s="17">
        <v>2201010345</v>
      </c>
      <c r="E218" s="17" t="s">
        <v>1805</v>
      </c>
      <c r="F218" s="17" t="e">
        <f>VLOOKUP('2501_MIS '!C218,'[1]Fast Track '!B:K,10,FALSE)</f>
        <v>#N/A</v>
      </c>
      <c r="G218" s="17" t="str">
        <f>VLOOKUP(C218,[2]Sheet7!A:D,4,FALSE)</f>
        <v>Promoted</v>
      </c>
      <c r="H218" s="45" t="s">
        <v>3645</v>
      </c>
      <c r="I218" s="26" t="s">
        <v>3652</v>
      </c>
      <c r="J218" s="17" t="s">
        <v>560</v>
      </c>
      <c r="K218" s="17" t="str">
        <f>VLOOKUP(C218,[3]Sheet1!D:J,6,FALSE)</f>
        <v>2022331708.mithilesh@pt.sharda.ac.in</v>
      </c>
      <c r="L218" s="17" t="str">
        <f>VLOOKUP(D218,[3]Sheet1!E:K,6,FALSE)</f>
        <v>6205510692</v>
      </c>
      <c r="M218" s="17" t="s">
        <v>15</v>
      </c>
      <c r="O218" t="e">
        <f>VLOOKUP(C218,#REF!,12,FALSE)</f>
        <v>#REF!</v>
      </c>
    </row>
    <row r="219" spans="1:15">
      <c r="A219" s="17">
        <v>218</v>
      </c>
      <c r="B219" s="17" t="s">
        <v>641</v>
      </c>
      <c r="C219" s="17">
        <v>2022006143</v>
      </c>
      <c r="D219" s="17">
        <v>2201010490</v>
      </c>
      <c r="E219" s="17" t="s">
        <v>1805</v>
      </c>
      <c r="F219" s="17" t="e">
        <f>VLOOKUP('2501_MIS '!C219,'[1]Fast Track '!B:K,10,FALSE)</f>
        <v>#N/A</v>
      </c>
      <c r="G219" s="17" t="str">
        <f>VLOOKUP(C219,[2]Sheet7!A:D,4,FALSE)</f>
        <v>Promoted</v>
      </c>
      <c r="H219" s="45" t="s">
        <v>3645</v>
      </c>
      <c r="I219" s="26" t="s">
        <v>3652</v>
      </c>
      <c r="J219" s="17" t="s">
        <v>642</v>
      </c>
      <c r="K219" s="17" t="str">
        <f>VLOOKUP(C219,[3]Sheet1!D:J,6,FALSE)</f>
        <v>2022006143.amit@pt.sharda.ac.in</v>
      </c>
      <c r="L219" s="17" t="str">
        <f>VLOOKUP(D219,[3]Sheet1!E:K,6,FALSE)</f>
        <v>9643355554</v>
      </c>
      <c r="M219" s="17" t="s">
        <v>15</v>
      </c>
      <c r="O219" t="e">
        <f>VLOOKUP(C219,#REF!,12,FALSE)</f>
        <v>#REF!</v>
      </c>
    </row>
    <row r="220" spans="1:15">
      <c r="A220" s="17">
        <v>219</v>
      </c>
      <c r="B220" s="17" t="s">
        <v>594</v>
      </c>
      <c r="C220" s="17">
        <v>2022505917</v>
      </c>
      <c r="D220" s="17">
        <v>2201010514</v>
      </c>
      <c r="E220" s="17" t="s">
        <v>1805</v>
      </c>
      <c r="F220" s="17" t="e">
        <f>VLOOKUP('2501_MIS '!C220,'[1]Fast Track '!B:K,10,FALSE)</f>
        <v>#N/A</v>
      </c>
      <c r="G220" s="17" t="str">
        <f>VLOOKUP(C220,[2]Sheet7!A:D,4,FALSE)</f>
        <v>Promoted</v>
      </c>
      <c r="H220" s="45" t="s">
        <v>3645</v>
      </c>
      <c r="I220" s="26" t="s">
        <v>3652</v>
      </c>
      <c r="J220" s="17" t="s">
        <v>595</v>
      </c>
      <c r="K220" s="17" t="str">
        <f>VLOOKUP(C220,[3]Sheet1!D:J,6,FALSE)</f>
        <v>2022505917.sureshchandra@pt.sharda.ac.in</v>
      </c>
      <c r="L220" s="17" t="str">
        <f>VLOOKUP(D220,[3]Sheet1!E:K,6,FALSE)</f>
        <v>7351924508</v>
      </c>
      <c r="M220" s="17" t="s">
        <v>15</v>
      </c>
      <c r="O220" t="e">
        <f>VLOOKUP(C220,#REF!,12,FALSE)</f>
        <v>#REF!</v>
      </c>
    </row>
    <row r="221" spans="1:15">
      <c r="A221" s="17">
        <v>220</v>
      </c>
      <c r="B221" s="17" t="s">
        <v>620</v>
      </c>
      <c r="C221" s="17">
        <v>2022531964</v>
      </c>
      <c r="D221" s="17">
        <v>2201010692</v>
      </c>
      <c r="E221" s="17" t="s">
        <v>1805</v>
      </c>
      <c r="F221" s="17" t="e">
        <f>VLOOKUP('2501_MIS '!C221,'[1]Fast Track '!B:K,10,FALSE)</f>
        <v>#N/A</v>
      </c>
      <c r="G221" s="17" t="str">
        <f>VLOOKUP(C221,[2]Sheet7!A:D,4,FALSE)</f>
        <v>Promoted</v>
      </c>
      <c r="H221" s="45" t="s">
        <v>3645</v>
      </c>
      <c r="I221" s="26" t="s">
        <v>3652</v>
      </c>
      <c r="J221" s="17" t="s">
        <v>621</v>
      </c>
      <c r="K221" s="17" t="str">
        <f>VLOOKUP(C221,[3]Sheet1!D:J,6,FALSE)</f>
        <v>2022531964.nipu@pt.sharda.ac.in</v>
      </c>
      <c r="L221" s="17" t="str">
        <f>VLOOKUP(D221,[3]Sheet1!E:K,6,FALSE)</f>
        <v>6203252388</v>
      </c>
      <c r="M221" s="17" t="s">
        <v>15</v>
      </c>
      <c r="O221" t="e">
        <f>VLOOKUP(C221,#REF!,12,FALSE)</f>
        <v>#REF!</v>
      </c>
    </row>
    <row r="222" spans="1:15">
      <c r="A222" s="17">
        <v>221</v>
      </c>
      <c r="B222" s="17" t="s">
        <v>739</v>
      </c>
      <c r="C222" s="17">
        <v>2022805717</v>
      </c>
      <c r="D222" s="17">
        <v>2201010059</v>
      </c>
      <c r="E222" s="17" t="s">
        <v>1805</v>
      </c>
      <c r="F222" s="17" t="e">
        <f>VLOOKUP('2501_MIS '!C222,'[1]Fast Track '!B:K,10,FALSE)</f>
        <v>#N/A</v>
      </c>
      <c r="G222" s="17" t="str">
        <f>VLOOKUP(C222,[2]Sheet7!A:D,4,FALSE)</f>
        <v>Promoted</v>
      </c>
      <c r="H222" s="45" t="s">
        <v>3645</v>
      </c>
      <c r="I222" s="26" t="s">
        <v>3652</v>
      </c>
      <c r="J222" s="17" t="s">
        <v>740</v>
      </c>
      <c r="K222" s="17" t="str">
        <f>VLOOKUP(C222,[3]Sheet1!D:J,6,FALSE)</f>
        <v>2022805717.sarbajitastani@pt.sharda.ac.in</v>
      </c>
      <c r="L222" s="17" t="str">
        <f>VLOOKUP(D222,[3]Sheet1!E:K,6,FALSE)</f>
        <v>977 9841883474</v>
      </c>
      <c r="M222" s="17" t="s">
        <v>15</v>
      </c>
      <c r="O222" t="e">
        <f>VLOOKUP(C222,#REF!,12,FALSE)</f>
        <v>#REF!</v>
      </c>
    </row>
    <row r="223" spans="1:15">
      <c r="A223" s="17">
        <v>222</v>
      </c>
      <c r="B223" s="17" t="s">
        <v>377</v>
      </c>
      <c r="C223" s="17">
        <v>2022005223</v>
      </c>
      <c r="D223" s="17">
        <v>2201010076</v>
      </c>
      <c r="E223" s="17" t="s">
        <v>1805</v>
      </c>
      <c r="F223" s="17" t="e">
        <f>VLOOKUP('2501_MIS '!C223,'[1]Fast Track '!B:K,10,FALSE)</f>
        <v>#N/A</v>
      </c>
      <c r="G223" s="17" t="str">
        <f>VLOOKUP(C223,[2]Sheet7!A:D,4,FALSE)</f>
        <v>Promoted</v>
      </c>
      <c r="H223" s="45" t="s">
        <v>3645</v>
      </c>
      <c r="I223" s="26" t="s">
        <v>3652</v>
      </c>
      <c r="J223" s="17" t="s">
        <v>684</v>
      </c>
      <c r="K223" s="17" t="str">
        <f>VLOOKUP(C223,[3]Sheet1!D:J,6,FALSE)</f>
        <v>2022005223.arvind@pt.sharda.ac.in</v>
      </c>
      <c r="L223" s="17" t="str">
        <f>VLOOKUP(D223,[3]Sheet1!E:K,6,FALSE)</f>
        <v>8862957493</v>
      </c>
      <c r="M223" s="17" t="s">
        <v>15</v>
      </c>
      <c r="O223" t="e">
        <f>VLOOKUP(C223,#REF!,12,FALSE)</f>
        <v>#REF!</v>
      </c>
    </row>
    <row r="224" spans="1:15">
      <c r="A224" s="17">
        <v>223</v>
      </c>
      <c r="B224" s="17" t="s">
        <v>730</v>
      </c>
      <c r="C224" s="17">
        <v>2022574196</v>
      </c>
      <c r="D224" s="17">
        <v>2201010266</v>
      </c>
      <c r="E224" s="17" t="s">
        <v>1805</v>
      </c>
      <c r="F224" s="17" t="e">
        <f>VLOOKUP('2501_MIS '!C224,'[1]Fast Track '!B:K,10,FALSE)</f>
        <v>#N/A</v>
      </c>
      <c r="G224" s="17" t="str">
        <f>VLOOKUP(C224,[2]Sheet7!A:D,4,FALSE)</f>
        <v>Promoted</v>
      </c>
      <c r="H224" s="45" t="s">
        <v>3645</v>
      </c>
      <c r="I224" s="26" t="s">
        <v>3652</v>
      </c>
      <c r="J224" s="17" t="s">
        <v>731</v>
      </c>
      <c r="K224" s="17" t="str">
        <f>VLOOKUP(C224,[3]Sheet1!D:J,6,FALSE)</f>
        <v>2022574196.virender@pt.sharda.ac.in</v>
      </c>
      <c r="L224" s="17" t="str">
        <f>VLOOKUP(D224,[3]Sheet1!E:K,6,FALSE)</f>
        <v>9958019671</v>
      </c>
      <c r="M224" s="17" t="s">
        <v>15</v>
      </c>
      <c r="O224" t="e">
        <f>VLOOKUP(C224,#REF!,12,FALSE)</f>
        <v>#REF!</v>
      </c>
    </row>
    <row r="225" spans="1:15">
      <c r="A225" s="17">
        <v>224</v>
      </c>
      <c r="B225" s="17" t="s">
        <v>727</v>
      </c>
      <c r="C225" s="17">
        <v>2022552969</v>
      </c>
      <c r="D225" s="17">
        <v>2201010299</v>
      </c>
      <c r="E225" s="17" t="s">
        <v>1805</v>
      </c>
      <c r="F225" s="17" t="e">
        <f>VLOOKUP('2501_MIS '!C225,'[1]Fast Track '!B:K,10,FALSE)</f>
        <v>#N/A</v>
      </c>
      <c r="G225" s="17" t="str">
        <f>VLOOKUP(C225,[2]Sheet7!A:D,4,FALSE)</f>
        <v>Promoted</v>
      </c>
      <c r="H225" s="45" t="s">
        <v>3645</v>
      </c>
      <c r="I225" s="26" t="s">
        <v>3652</v>
      </c>
      <c r="J225" s="17" t="s">
        <v>728</v>
      </c>
      <c r="K225" s="17" t="str">
        <f>VLOOKUP(C225,[3]Sheet1!D:J,6,FALSE)</f>
        <v>2022552969.mdkhurshed@pt.sharda.ac.in</v>
      </c>
      <c r="L225" s="17" t="str">
        <f>VLOOKUP(D225,[3]Sheet1!E:K,6,FALSE)</f>
        <v>6207785380</v>
      </c>
      <c r="M225" s="17" t="s">
        <v>15</v>
      </c>
      <c r="O225" t="e">
        <f>VLOOKUP(C225,#REF!,12,FALSE)</f>
        <v>#REF!</v>
      </c>
    </row>
    <row r="226" spans="1:15">
      <c r="A226" s="17">
        <v>225</v>
      </c>
      <c r="B226" s="17" t="s">
        <v>718</v>
      </c>
      <c r="C226" s="17">
        <v>2022472832</v>
      </c>
      <c r="D226" s="17">
        <v>2201010474</v>
      </c>
      <c r="E226" s="17" t="s">
        <v>1805</v>
      </c>
      <c r="F226" s="17" t="e">
        <f>VLOOKUP('2501_MIS '!C226,'[1]Fast Track '!B:K,10,FALSE)</f>
        <v>#N/A</v>
      </c>
      <c r="G226" s="17" t="str">
        <f>VLOOKUP(C226,[2]Sheet7!A:D,4,FALSE)</f>
        <v>Promoted</v>
      </c>
      <c r="H226" s="45" t="s">
        <v>3645</v>
      </c>
      <c r="I226" s="26" t="s">
        <v>3652</v>
      </c>
      <c r="J226" s="17" t="s">
        <v>719</v>
      </c>
      <c r="K226" s="17" t="str">
        <f>VLOOKUP(C226,[3]Sheet1!D:J,6,FALSE)</f>
        <v>2022472832.jitendra@pt.sharda.ac.in</v>
      </c>
      <c r="L226" s="17" t="str">
        <f>VLOOKUP(D226,[3]Sheet1!E:K,6,FALSE)</f>
        <v>9166305081</v>
      </c>
      <c r="M226" s="17" t="s">
        <v>15</v>
      </c>
      <c r="O226" t="e">
        <f>VLOOKUP(C226,#REF!,12,FALSE)</f>
        <v>#REF!</v>
      </c>
    </row>
    <row r="227" spans="1:15">
      <c r="A227" s="17">
        <v>226</v>
      </c>
      <c r="B227" s="17" t="s">
        <v>707</v>
      </c>
      <c r="C227" s="17">
        <v>2022414180</v>
      </c>
      <c r="D227" s="17">
        <v>2201010476</v>
      </c>
      <c r="E227" s="17" t="s">
        <v>1805</v>
      </c>
      <c r="F227" s="17" t="e">
        <f>VLOOKUP('2501_MIS '!C227,'[1]Fast Track '!B:K,10,FALSE)</f>
        <v>#N/A</v>
      </c>
      <c r="G227" s="17" t="str">
        <f>VLOOKUP(C227,[2]Sheet7!A:D,4,FALSE)</f>
        <v>Promoted</v>
      </c>
      <c r="H227" s="45" t="s">
        <v>3644</v>
      </c>
      <c r="I227" s="26" t="s">
        <v>3653</v>
      </c>
      <c r="J227" s="17" t="s">
        <v>708</v>
      </c>
      <c r="K227" s="17" t="str">
        <f>VLOOKUP(C227,[3]Sheet1!D:J,6,FALSE)</f>
        <v>2022414180.oodham@pt.sharda.ac.in</v>
      </c>
      <c r="L227" s="17" t="str">
        <f>VLOOKUP(D227,[3]Sheet1!E:K,6,FALSE)</f>
        <v>8477002963</v>
      </c>
      <c r="M227" s="17" t="s">
        <v>15</v>
      </c>
      <c r="O227" t="e">
        <f>VLOOKUP(C227,#REF!,12,FALSE)</f>
        <v>#REF!</v>
      </c>
    </row>
    <row r="228" spans="1:15">
      <c r="A228" s="17">
        <v>227</v>
      </c>
      <c r="B228" s="17" t="s">
        <v>732</v>
      </c>
      <c r="C228" s="17">
        <v>2022576883</v>
      </c>
      <c r="D228" s="17">
        <v>2201010599</v>
      </c>
      <c r="E228" s="17" t="s">
        <v>1805</v>
      </c>
      <c r="F228" s="17" t="e">
        <f>VLOOKUP('2501_MIS '!C228,'[1]Fast Track '!B:K,10,FALSE)</f>
        <v>#N/A</v>
      </c>
      <c r="G228" s="17" t="str">
        <f>VLOOKUP(C228,[2]Sheet7!A:D,4,FALSE)</f>
        <v>Promoted</v>
      </c>
      <c r="H228" s="45" t="s">
        <v>3644</v>
      </c>
      <c r="I228" s="26" t="s">
        <v>3653</v>
      </c>
      <c r="J228" s="17" t="s">
        <v>733</v>
      </c>
      <c r="K228" s="17" t="str">
        <f>VLOOKUP(C228,[3]Sheet1!D:J,6,FALSE)</f>
        <v>2022576883.fulkumar@pt.sharda.ac.in</v>
      </c>
      <c r="L228" s="17" t="str">
        <f>VLOOKUP(D228,[3]Sheet1!E:K,6,FALSE)</f>
        <v>7050298675</v>
      </c>
      <c r="M228" s="17" t="s">
        <v>15</v>
      </c>
      <c r="O228" t="e">
        <f>VLOOKUP(C228,#REF!,12,FALSE)</f>
        <v>#REF!</v>
      </c>
    </row>
    <row r="229" spans="1:15">
      <c r="A229" s="17">
        <v>228</v>
      </c>
      <c r="B229" s="17" t="s">
        <v>645</v>
      </c>
      <c r="C229" s="17">
        <v>2022467393</v>
      </c>
      <c r="D229" s="17">
        <v>2201010607</v>
      </c>
      <c r="E229" s="17" t="s">
        <v>1805</v>
      </c>
      <c r="F229" s="17" t="e">
        <f>VLOOKUP('2501_MIS '!C229,'[1]Fast Track '!B:K,10,FALSE)</f>
        <v>#N/A</v>
      </c>
      <c r="G229" s="17" t="str">
        <f>VLOOKUP(C229,[2]Sheet7!A:D,4,FALSE)</f>
        <v>Promoted</v>
      </c>
      <c r="H229" s="45" t="s">
        <v>3644</v>
      </c>
      <c r="I229" s="26" t="s">
        <v>3653</v>
      </c>
      <c r="J229" s="17" t="s">
        <v>649</v>
      </c>
      <c r="K229" s="17" t="str">
        <f>VLOOKUP(C229,[3]Sheet1!D:J,6,FALSE)</f>
        <v>2022467393.anilkumar@pt.sharda.ac.in</v>
      </c>
      <c r="L229" s="17" t="str">
        <f>VLOOKUP(D229,[3]Sheet1!E:K,6,FALSE)</f>
        <v>6205854664</v>
      </c>
      <c r="M229" s="17" t="s">
        <v>15</v>
      </c>
      <c r="O229" t="e">
        <f>VLOOKUP(C229,#REF!,12,FALSE)</f>
        <v>#REF!</v>
      </c>
    </row>
    <row r="230" spans="1:15">
      <c r="A230" s="17">
        <v>229</v>
      </c>
      <c r="B230" s="17" t="s">
        <v>678</v>
      </c>
      <c r="C230" s="17">
        <v>2022002769</v>
      </c>
      <c r="D230" s="17">
        <v>2201010786</v>
      </c>
      <c r="E230" s="17" t="s">
        <v>1805</v>
      </c>
      <c r="F230" s="17" t="e">
        <f>VLOOKUP('2501_MIS '!C230,'[1]Fast Track '!B:K,10,FALSE)</f>
        <v>#N/A</v>
      </c>
      <c r="G230" s="17" t="str">
        <f>VLOOKUP(C230,[2]Sheet7!A:D,4,FALSE)</f>
        <v>Promoted</v>
      </c>
      <c r="H230" s="45" t="s">
        <v>3644</v>
      </c>
      <c r="I230" s="26" t="s">
        <v>3653</v>
      </c>
      <c r="J230" s="17" t="s">
        <v>679</v>
      </c>
      <c r="K230" s="17" t="str">
        <f>VLOOKUP(C230,[3]Sheet1!D:J,6,FALSE)</f>
        <v>2022002769.loha@pt.sharda.ac.in</v>
      </c>
      <c r="L230" s="17" t="str">
        <f>VLOOKUP(D230,[3]Sheet1!E:K,6,FALSE)</f>
        <v>6206528186</v>
      </c>
      <c r="M230" s="17" t="s">
        <v>15</v>
      </c>
      <c r="O230" t="e">
        <f>VLOOKUP(C230,#REF!,12,FALSE)</f>
        <v>#REF!</v>
      </c>
    </row>
    <row r="231" spans="1:15">
      <c r="A231" s="17">
        <v>230</v>
      </c>
      <c r="B231" s="17" t="s">
        <v>691</v>
      </c>
      <c r="C231" s="17">
        <v>2022007111</v>
      </c>
      <c r="D231" s="17">
        <v>2201010788</v>
      </c>
      <c r="E231" s="17" t="s">
        <v>1805</v>
      </c>
      <c r="F231" s="17" t="e">
        <f>VLOOKUP('2501_MIS '!C231,'[1]Fast Track '!B:K,10,FALSE)</f>
        <v>#N/A</v>
      </c>
      <c r="G231" s="17" t="str">
        <f>VLOOKUP(C231,[2]Sheet7!A:D,4,FALSE)</f>
        <v>Promoted</v>
      </c>
      <c r="H231" s="45" t="s">
        <v>3644</v>
      </c>
      <c r="I231" s="26" t="s">
        <v>3653</v>
      </c>
      <c r="J231" s="17" t="s">
        <v>692</v>
      </c>
      <c r="K231" s="17" t="str">
        <f>VLOOKUP(C231,[3]Sheet1!D:J,6,FALSE)</f>
        <v>2022007111.mantosh@pt.sharda.ac.in</v>
      </c>
      <c r="L231" s="17" t="str">
        <f>VLOOKUP(D231,[3]Sheet1!E:K,6,FALSE)</f>
        <v>9211535436</v>
      </c>
      <c r="M231" s="17" t="s">
        <v>15</v>
      </c>
      <c r="O231" t="e">
        <f>VLOOKUP(C231,#REF!,12,FALSE)</f>
        <v>#REF!</v>
      </c>
    </row>
    <row r="232" spans="1:15">
      <c r="A232" s="17">
        <v>231</v>
      </c>
      <c r="B232" s="17" t="s">
        <v>257</v>
      </c>
      <c r="C232" s="17">
        <v>2022007403</v>
      </c>
      <c r="D232" s="17">
        <v>2201010847</v>
      </c>
      <c r="E232" s="17" t="s">
        <v>1805</v>
      </c>
      <c r="F232" s="17" t="e">
        <f>VLOOKUP('2501_MIS '!C232,'[1]Fast Track '!B:K,10,FALSE)</f>
        <v>#N/A</v>
      </c>
      <c r="G232" s="17" t="str">
        <f>VLOOKUP(C232,[2]Sheet7!A:D,4,FALSE)</f>
        <v>Promoted</v>
      </c>
      <c r="H232" s="45" t="s">
        <v>3645</v>
      </c>
      <c r="I232" s="26" t="s">
        <v>3652</v>
      </c>
      <c r="J232" s="17" t="s">
        <v>648</v>
      </c>
      <c r="K232" s="17" t="str">
        <f>VLOOKUP(C232,[3]Sheet1!D:J,6,FALSE)</f>
        <v>2022007403.narendrakumar@pt.sharda.ac.in</v>
      </c>
      <c r="L232" s="17" t="str">
        <f>VLOOKUP(D232,[3]Sheet1!E:K,6,FALSE)</f>
        <v>7042191280</v>
      </c>
      <c r="M232" s="17" t="s">
        <v>15</v>
      </c>
      <c r="O232" t="e">
        <f>VLOOKUP(C232,#REF!,12,FALSE)</f>
        <v>#REF!</v>
      </c>
    </row>
    <row r="233" spans="1:15">
      <c r="A233" s="17">
        <v>232</v>
      </c>
      <c r="B233" s="17" t="s">
        <v>383</v>
      </c>
      <c r="C233" s="17">
        <v>2022555807</v>
      </c>
      <c r="D233" s="17">
        <v>2201010881</v>
      </c>
      <c r="E233" s="17" t="s">
        <v>1805</v>
      </c>
      <c r="F233" s="17" t="e">
        <f>VLOOKUP('2501_MIS '!C233,'[1]Fast Track '!B:K,10,FALSE)</f>
        <v>#N/A</v>
      </c>
      <c r="G233" s="17" t="str">
        <f>VLOOKUP(C233,[2]Sheet7!A:D,4,FALSE)</f>
        <v>Promoted</v>
      </c>
      <c r="H233" s="45" t="s">
        <v>3644</v>
      </c>
      <c r="I233" s="26" t="s">
        <v>3653</v>
      </c>
      <c r="J233" s="17" t="s">
        <v>729</v>
      </c>
      <c r="K233" s="17" t="str">
        <f>VLOOKUP(C233,[3]Sheet1!D:J,6,FALSE)</f>
        <v>2022555807.ajay@pt.sharda.ac.in</v>
      </c>
      <c r="L233" s="17" t="str">
        <f>VLOOKUP(D233,[3]Sheet1!E:K,6,FALSE)</f>
        <v>6204870834</v>
      </c>
      <c r="M233" s="17" t="s">
        <v>15</v>
      </c>
      <c r="O233" t="e">
        <f>VLOOKUP(C233,#REF!,12,FALSE)</f>
        <v>#REF!</v>
      </c>
    </row>
    <row r="234" spans="1:15">
      <c r="A234" s="17">
        <v>233</v>
      </c>
      <c r="B234" s="17" t="s">
        <v>317</v>
      </c>
      <c r="C234" s="17">
        <v>2022448509</v>
      </c>
      <c r="D234" s="17">
        <v>2201010118</v>
      </c>
      <c r="E234" s="17" t="s">
        <v>1805</v>
      </c>
      <c r="F234" s="17" t="e">
        <f>VLOOKUP('2501_MIS '!C234,'[1]Fast Track '!B:K,10,FALSE)</f>
        <v>#N/A</v>
      </c>
      <c r="G234" s="17" t="str">
        <f>VLOOKUP(C234,[2]Sheet7!A:D,4,FALSE)</f>
        <v>Promoted</v>
      </c>
      <c r="H234" s="45" t="s">
        <v>3644</v>
      </c>
      <c r="I234" s="26" t="s">
        <v>3653</v>
      </c>
      <c r="J234" s="17" t="s">
        <v>318</v>
      </c>
      <c r="K234" s="17" t="str">
        <f>VLOOKUP(C234,[3]Sheet1!D:J,6,FALSE)</f>
        <v>2022448509.chandraprakash@pt.sharda.ac.in</v>
      </c>
      <c r="L234" s="17" t="str">
        <f>VLOOKUP(D234,[3]Sheet1!E:K,6,FALSE)</f>
        <v>9044002858</v>
      </c>
      <c r="M234" s="17" t="s">
        <v>15</v>
      </c>
      <c r="O234" t="e">
        <f>VLOOKUP(C234,#REF!,12,FALSE)</f>
        <v>#REF!</v>
      </c>
    </row>
    <row r="235" spans="1:15">
      <c r="A235" s="17">
        <v>234</v>
      </c>
      <c r="B235" s="17" t="s">
        <v>288</v>
      </c>
      <c r="C235" s="17">
        <v>2022005818</v>
      </c>
      <c r="D235" s="17">
        <v>2201010531</v>
      </c>
      <c r="E235" s="17" t="s">
        <v>1805</v>
      </c>
      <c r="F235" s="17" t="e">
        <f>VLOOKUP('2501_MIS '!C235,'[1]Fast Track '!B:K,10,FALSE)</f>
        <v>#N/A</v>
      </c>
      <c r="G235" s="17" t="str">
        <f>VLOOKUP(C235,[2]Sheet7!A:D,4,FALSE)</f>
        <v>Promoted</v>
      </c>
      <c r="H235" s="45" t="s">
        <v>3644</v>
      </c>
      <c r="I235" s="26" t="s">
        <v>3653</v>
      </c>
      <c r="J235" s="17" t="s">
        <v>289</v>
      </c>
      <c r="K235" s="17" t="str">
        <f>VLOOKUP(C235,[3]Sheet1!D:J,6,FALSE)</f>
        <v>2022005818.deepakkumar@pt.sharda.ac.in</v>
      </c>
      <c r="L235" s="17" t="str">
        <f>VLOOKUP(D235,[3]Sheet1!E:K,6,FALSE)</f>
        <v>8882946326</v>
      </c>
      <c r="M235" s="17" t="s">
        <v>15</v>
      </c>
      <c r="O235" t="e">
        <f>VLOOKUP(C235,#REF!,12,FALSE)</f>
        <v>#REF!</v>
      </c>
    </row>
    <row r="236" spans="1:15">
      <c r="A236" s="17">
        <v>235</v>
      </c>
      <c r="B236" s="17" t="s">
        <v>321</v>
      </c>
      <c r="C236" s="17">
        <v>2022463682</v>
      </c>
      <c r="D236" s="17">
        <v>2201010570</v>
      </c>
      <c r="E236" s="17" t="s">
        <v>1805</v>
      </c>
      <c r="F236" s="17" t="e">
        <f>VLOOKUP('2501_MIS '!C236,'[1]Fast Track '!B:K,10,FALSE)</f>
        <v>#N/A</v>
      </c>
      <c r="G236" s="17" t="str">
        <f>VLOOKUP(C236,[2]Sheet7!A:D,4,FALSE)</f>
        <v>Promoted</v>
      </c>
      <c r="H236" s="45" t="s">
        <v>3644</v>
      </c>
      <c r="I236" s="26" t="s">
        <v>3653</v>
      </c>
      <c r="J236" s="17" t="s">
        <v>322</v>
      </c>
      <c r="K236" s="17" t="str">
        <f>VLOOKUP(C236,[3]Sheet1!D:J,6,FALSE)</f>
        <v>2022463682.deviprasad@pt.sharda.ac.in</v>
      </c>
      <c r="L236" s="17" t="str">
        <f>VLOOKUP(D236,[3]Sheet1!E:K,6,FALSE)</f>
        <v>8368486434</v>
      </c>
      <c r="M236" s="17" t="s">
        <v>15</v>
      </c>
      <c r="O236" t="e">
        <f>VLOOKUP(C236,#REF!,12,FALSE)</f>
        <v>#REF!</v>
      </c>
    </row>
    <row r="237" spans="1:15">
      <c r="A237" s="17">
        <v>236</v>
      </c>
      <c r="B237" s="17" t="s">
        <v>282</v>
      </c>
      <c r="C237" s="17">
        <v>2022005275</v>
      </c>
      <c r="D237" s="17">
        <v>2201010675</v>
      </c>
      <c r="E237" s="17" t="s">
        <v>1805</v>
      </c>
      <c r="F237" s="17" t="e">
        <f>VLOOKUP('2501_MIS '!C237,'[1]Fast Track '!B:K,10,FALSE)</f>
        <v>#N/A</v>
      </c>
      <c r="G237" s="17" t="str">
        <f>VLOOKUP(C237,[2]Sheet7!A:D,4,FALSE)</f>
        <v>Promoted</v>
      </c>
      <c r="H237" s="45" t="s">
        <v>3644</v>
      </c>
      <c r="I237" s="26" t="s">
        <v>3653</v>
      </c>
      <c r="J237" s="17" t="s">
        <v>283</v>
      </c>
      <c r="K237" s="17" t="str">
        <f>VLOOKUP(C237,[3]Sheet1!D:J,6,FALSE)</f>
        <v>2022005275.vijendra@pt.sharda.ac.in</v>
      </c>
      <c r="L237" s="17" t="str">
        <f>VLOOKUP(D237,[3]Sheet1!E:K,6,FALSE)</f>
        <v>8787096109</v>
      </c>
      <c r="M237" s="17" t="s">
        <v>15</v>
      </c>
      <c r="O237" t="e">
        <f>VLOOKUP(C237,#REF!,12,FALSE)</f>
        <v>#REF!</v>
      </c>
    </row>
    <row r="238" spans="1:15">
      <c r="A238" s="17">
        <v>237</v>
      </c>
      <c r="B238" s="17" t="s">
        <v>355</v>
      </c>
      <c r="C238" s="17">
        <v>2022506607</v>
      </c>
      <c r="D238" s="17">
        <v>2201010680</v>
      </c>
      <c r="E238" s="17" t="s">
        <v>1805</v>
      </c>
      <c r="F238" s="17" t="e">
        <f>VLOOKUP('2501_MIS '!C238,'[1]Fast Track '!B:K,10,FALSE)</f>
        <v>#N/A</v>
      </c>
      <c r="G238" s="17" t="str">
        <f>VLOOKUP(C238,[2]Sheet7!A:D,4,FALSE)</f>
        <v>Promoted</v>
      </c>
      <c r="H238" s="45" t="s">
        <v>3644</v>
      </c>
      <c r="I238" s="26" t="s">
        <v>3653</v>
      </c>
      <c r="J238" s="17" t="s">
        <v>356</v>
      </c>
      <c r="K238" s="17" t="str">
        <f>VLOOKUP(C238,[3]Sheet1!D:J,6,FALSE)</f>
        <v>2022506607.shyamnath@pt.sharda.ac.in</v>
      </c>
      <c r="L238" s="17" t="str">
        <f>VLOOKUP(D238,[3]Sheet1!E:K,6,FALSE)</f>
        <v>7903140320</v>
      </c>
      <c r="M238" s="17" t="s">
        <v>15</v>
      </c>
      <c r="O238" t="e">
        <f>VLOOKUP(C238,#REF!,12,FALSE)</f>
        <v>#REF!</v>
      </c>
    </row>
    <row r="239" spans="1:15">
      <c r="A239" s="17">
        <v>238</v>
      </c>
      <c r="B239" s="17" t="s">
        <v>280</v>
      </c>
      <c r="C239" s="17">
        <v>2022005062</v>
      </c>
      <c r="D239" s="17">
        <v>2201010764</v>
      </c>
      <c r="E239" s="17" t="s">
        <v>1805</v>
      </c>
      <c r="F239" s="17" t="e">
        <f>VLOOKUP('2501_MIS '!C239,'[1]Fast Track '!B:K,10,FALSE)</f>
        <v>#N/A</v>
      </c>
      <c r="G239" s="17" t="str">
        <f>VLOOKUP(C239,[2]Sheet7!A:D,4,FALSE)</f>
        <v>Promoted</v>
      </c>
      <c r="H239" s="45" t="s">
        <v>3644</v>
      </c>
      <c r="I239" s="26" t="s">
        <v>3653</v>
      </c>
      <c r="J239" s="17" t="s">
        <v>281</v>
      </c>
      <c r="K239" s="17" t="str">
        <f>VLOOKUP(C239,[3]Sheet1!D:J,6,FALSE)</f>
        <v>2022005062.varunpratap@pt.sharda.ac.in</v>
      </c>
      <c r="L239" s="17" t="str">
        <f>VLOOKUP(D239,[3]Sheet1!E:K,6,FALSE)</f>
        <v>9058561411</v>
      </c>
      <c r="M239" s="17" t="s">
        <v>15</v>
      </c>
      <c r="O239" t="e">
        <f>VLOOKUP(C239,#REF!,12,FALSE)</f>
        <v>#REF!</v>
      </c>
    </row>
    <row r="240" spans="1:15">
      <c r="A240" s="17">
        <v>239</v>
      </c>
      <c r="B240" s="17" t="s">
        <v>359</v>
      </c>
      <c r="C240" s="17">
        <v>2022511135</v>
      </c>
      <c r="D240" s="17">
        <v>2201010774</v>
      </c>
      <c r="E240" s="17" t="s">
        <v>1805</v>
      </c>
      <c r="F240" s="17" t="e">
        <f>VLOOKUP('2501_MIS '!C240,'[1]Fast Track '!B:K,10,FALSE)</f>
        <v>#N/A</v>
      </c>
      <c r="G240" s="17" t="str">
        <f>VLOOKUP(C240,[2]Sheet7!A:D,4,FALSE)</f>
        <v>Promoted</v>
      </c>
      <c r="H240" s="45" t="s">
        <v>3644</v>
      </c>
      <c r="I240" s="26" t="s">
        <v>3653</v>
      </c>
      <c r="J240" s="17" t="s">
        <v>360</v>
      </c>
      <c r="K240" s="17" t="str">
        <f>VLOOKUP(C240,[3]Sheet1!D:J,6,FALSE)</f>
        <v>2022511135.ajaykumar@pt.sharda.ac.in</v>
      </c>
      <c r="L240" s="17" t="str">
        <f>VLOOKUP(D240,[3]Sheet1!E:K,6,FALSE)</f>
        <v>8887729889</v>
      </c>
      <c r="M240" s="17" t="s">
        <v>15</v>
      </c>
      <c r="O240" t="e">
        <f>VLOOKUP(C240,#REF!,12,FALSE)</f>
        <v>#REF!</v>
      </c>
    </row>
    <row r="241" spans="1:15">
      <c r="A241" s="17">
        <v>240</v>
      </c>
      <c r="B241" s="17" t="s">
        <v>343</v>
      </c>
      <c r="C241" s="17">
        <v>2022498812</v>
      </c>
      <c r="D241" s="17">
        <v>2201010796</v>
      </c>
      <c r="E241" s="17" t="s">
        <v>1805</v>
      </c>
      <c r="F241" s="17" t="str">
        <f>VLOOKUP('2501_MIS '!C241,'[1]Fast Track '!B:K,10,FALSE)</f>
        <v>Fast learning Mode</v>
      </c>
      <c r="G241" s="17" t="str">
        <f>VLOOKUP(C241,[2]Sheet7!A:D,4,FALSE)</f>
        <v>Promoted</v>
      </c>
      <c r="H241" s="45" t="s">
        <v>3644</v>
      </c>
      <c r="I241" s="26" t="s">
        <v>3653</v>
      </c>
      <c r="J241" s="17" t="s">
        <v>344</v>
      </c>
      <c r="K241" s="17" t="str">
        <f>VLOOKUP(C241,[3]Sheet1!D:J,6,FALSE)</f>
        <v>2022498812.mukesh@pt.sharda.ac.in</v>
      </c>
      <c r="L241" s="17" t="str">
        <f>VLOOKUP(D241,[3]Sheet1!E:K,6,FALSE)</f>
        <v>9910261441</v>
      </c>
      <c r="M241" s="17" t="s">
        <v>15</v>
      </c>
      <c r="O241" t="e">
        <f>VLOOKUP(C241,#REF!,12,FALSE)</f>
        <v>#REF!</v>
      </c>
    </row>
    <row r="242" spans="1:15">
      <c r="A242" s="17">
        <v>241</v>
      </c>
      <c r="B242" s="17" t="s">
        <v>473</v>
      </c>
      <c r="C242" s="17">
        <v>2022508346</v>
      </c>
      <c r="D242" s="17">
        <v>2201010003</v>
      </c>
      <c r="E242" s="17" t="s">
        <v>1805</v>
      </c>
      <c r="F242" s="17" t="e">
        <f>VLOOKUP('2501_MIS '!C242,'[1]Fast Track '!B:K,10,FALSE)</f>
        <v>#N/A</v>
      </c>
      <c r="G242" s="17" t="str">
        <f>VLOOKUP(C242,[2]Sheet7!A:D,4,FALSE)</f>
        <v>Promoted</v>
      </c>
      <c r="H242" s="45" t="s">
        <v>3644</v>
      </c>
      <c r="I242" s="26" t="s">
        <v>3653</v>
      </c>
      <c r="J242" s="17" t="s">
        <v>474</v>
      </c>
      <c r="K242" s="17" t="str">
        <f>VLOOKUP(C242,[3]Sheet1!D:J,6,FALSE)</f>
        <v>2022508346.anil@pt.sharda.ac.in</v>
      </c>
      <c r="L242" s="17" t="str">
        <f>VLOOKUP(D242,[3]Sheet1!E:K,6,FALSE)</f>
        <v>7505018957</v>
      </c>
      <c r="M242" s="17" t="s">
        <v>15</v>
      </c>
      <c r="O242" t="e">
        <f>VLOOKUP(C242,#REF!,12,FALSE)</f>
        <v>#REF!</v>
      </c>
    </row>
    <row r="243" spans="1:15">
      <c r="A243" s="17">
        <v>242</v>
      </c>
      <c r="B243" s="17" t="s">
        <v>438</v>
      </c>
      <c r="C243" s="17">
        <v>2022413603</v>
      </c>
      <c r="D243" s="17">
        <v>2201010153</v>
      </c>
      <c r="E243" s="17" t="s">
        <v>1805</v>
      </c>
      <c r="F243" s="17" t="e">
        <f>VLOOKUP('2501_MIS '!C243,'[1]Fast Track '!B:K,10,FALSE)</f>
        <v>#N/A</v>
      </c>
      <c r="G243" s="17" t="str">
        <f>VLOOKUP(C243,[2]Sheet7!A:D,4,FALSE)</f>
        <v>Promoted</v>
      </c>
      <c r="H243" s="45" t="s">
        <v>3644</v>
      </c>
      <c r="I243" s="26" t="s">
        <v>3653</v>
      </c>
      <c r="J243" s="17" t="s">
        <v>439</v>
      </c>
      <c r="K243" s="17" t="str">
        <f>VLOOKUP(C243,[3]Sheet1!D:J,6,FALSE)</f>
        <v>2022413603.chnachal@pt.sharda.ac.in</v>
      </c>
      <c r="L243" s="17" t="str">
        <f>VLOOKUP(D243,[3]Sheet1!E:K,6,FALSE)</f>
        <v>7895527454</v>
      </c>
      <c r="M243" s="17" t="s">
        <v>15</v>
      </c>
      <c r="O243" t="e">
        <f>VLOOKUP(C243,#REF!,12,FALSE)</f>
        <v>#REF!</v>
      </c>
    </row>
    <row r="244" spans="1:15">
      <c r="A244" s="17">
        <v>243</v>
      </c>
      <c r="B244" s="17" t="s">
        <v>483</v>
      </c>
      <c r="C244" s="17">
        <v>2022519020</v>
      </c>
      <c r="D244" s="17">
        <v>2201010185</v>
      </c>
      <c r="E244" s="17" t="s">
        <v>1805</v>
      </c>
      <c r="F244" s="17" t="e">
        <f>VLOOKUP('2501_MIS '!C244,'[1]Fast Track '!B:K,10,FALSE)</f>
        <v>#N/A</v>
      </c>
      <c r="G244" s="17" t="str">
        <f>VLOOKUP(C244,[2]Sheet7!A:D,4,FALSE)</f>
        <v>Promoted</v>
      </c>
      <c r="H244" s="45" t="s">
        <v>3644</v>
      </c>
      <c r="I244" s="26" t="s">
        <v>3653</v>
      </c>
      <c r="J244" s="17" t="s">
        <v>484</v>
      </c>
      <c r="K244" s="17" t="str">
        <f>VLOOKUP(C244,[3]Sheet1!D:J,6,FALSE)</f>
        <v>2022519020.chhedi@pt.sharda.ac.in</v>
      </c>
      <c r="L244" s="17" t="str">
        <f>VLOOKUP(D244,[3]Sheet1!E:K,6,FALSE)</f>
        <v>9161767047</v>
      </c>
      <c r="M244" s="17" t="s">
        <v>15</v>
      </c>
      <c r="O244" t="e">
        <f>VLOOKUP(C244,#REF!,12,FALSE)</f>
        <v>#REF!</v>
      </c>
    </row>
    <row r="245" spans="1:15">
      <c r="A245" s="17">
        <v>244</v>
      </c>
      <c r="B245" s="17" t="s">
        <v>467</v>
      </c>
      <c r="C245" s="17">
        <v>2022497244</v>
      </c>
      <c r="D245" s="17">
        <v>2201010237</v>
      </c>
      <c r="E245" s="17" t="s">
        <v>1805</v>
      </c>
      <c r="F245" s="17" t="e">
        <f>VLOOKUP('2501_MIS '!C245,'[1]Fast Track '!B:K,10,FALSE)</f>
        <v>#N/A</v>
      </c>
      <c r="G245" s="17" t="str">
        <f>VLOOKUP(C245,[2]Sheet7!A:D,4,FALSE)</f>
        <v>Promoted</v>
      </c>
      <c r="H245" s="45" t="s">
        <v>3644</v>
      </c>
      <c r="I245" s="26" t="s">
        <v>3653</v>
      </c>
      <c r="J245" s="17" t="s">
        <v>468</v>
      </c>
      <c r="K245" s="17" t="str">
        <f>VLOOKUP(C245,[3]Sheet1!D:J,6,FALSE)</f>
        <v>2022497244.anwar@pt.sharda.ac.in</v>
      </c>
      <c r="L245" s="17" t="str">
        <f>VLOOKUP(D245,[3]Sheet1!E:K,6,FALSE)</f>
        <v>8630446523</v>
      </c>
      <c r="M245" s="17" t="s">
        <v>15</v>
      </c>
      <c r="O245" t="e">
        <f>VLOOKUP(C245,#REF!,12,FALSE)</f>
        <v>#REF!</v>
      </c>
    </row>
    <row r="246" spans="1:15">
      <c r="A246" s="17">
        <v>245</v>
      </c>
      <c r="B246" s="17" t="s">
        <v>313</v>
      </c>
      <c r="C246" s="17">
        <v>2022484179</v>
      </c>
      <c r="D246" s="17">
        <v>2201010285</v>
      </c>
      <c r="E246" s="17" t="s">
        <v>1805</v>
      </c>
      <c r="F246" s="17" t="e">
        <f>VLOOKUP('2501_MIS '!C246,'[1]Fast Track '!B:K,10,FALSE)</f>
        <v>#N/A</v>
      </c>
      <c r="G246" s="17" t="str">
        <f>VLOOKUP(C246,[2]Sheet7!A:D,4,FALSE)</f>
        <v>Promoted</v>
      </c>
      <c r="H246" s="45" t="s">
        <v>3644</v>
      </c>
      <c r="I246" s="26" t="s">
        <v>3653</v>
      </c>
      <c r="J246" s="17" t="s">
        <v>462</v>
      </c>
      <c r="K246" s="17" t="str">
        <f>VLOOKUP(C246,[3]Sheet1!D:J,6,FALSE)</f>
        <v>2022484179.pramodkumar@pt.sharda.ac.in</v>
      </c>
      <c r="L246" s="17" t="str">
        <f>VLOOKUP(D246,[3]Sheet1!E:K,6,FALSE)</f>
        <v>9304389808</v>
      </c>
      <c r="M246" s="17" t="s">
        <v>15</v>
      </c>
      <c r="O246" t="e">
        <f>VLOOKUP(C246,#REF!,12,FALSE)</f>
        <v>#REF!</v>
      </c>
    </row>
    <row r="247" spans="1:15">
      <c r="A247" s="17">
        <v>246</v>
      </c>
      <c r="B247" s="17" t="s">
        <v>477</v>
      </c>
      <c r="C247" s="17">
        <v>2022515249</v>
      </c>
      <c r="D247" s="17">
        <v>2201010352</v>
      </c>
      <c r="E247" s="17" t="s">
        <v>1805</v>
      </c>
      <c r="F247" s="17" t="e">
        <f>VLOOKUP('2501_MIS '!C247,'[1]Fast Track '!B:K,10,FALSE)</f>
        <v>#N/A</v>
      </c>
      <c r="G247" s="17" t="str">
        <f>VLOOKUP(C247,[2]Sheet7!A:D,4,FALSE)</f>
        <v>Promoted</v>
      </c>
      <c r="H247" s="45" t="s">
        <v>3644</v>
      </c>
      <c r="I247" s="26" t="s">
        <v>3653</v>
      </c>
      <c r="J247" s="17" t="s">
        <v>478</v>
      </c>
      <c r="K247" s="17" t="str">
        <f>VLOOKUP(C247,[3]Sheet1!D:J,6,FALSE)</f>
        <v>2022515249.mukesh@pt.sharda.ac.in</v>
      </c>
      <c r="L247" s="17" t="str">
        <f>VLOOKUP(D247,[3]Sheet1!E:K,6,FALSE)</f>
        <v>9129848274</v>
      </c>
      <c r="M247" s="17" t="s">
        <v>15</v>
      </c>
      <c r="O247" t="e">
        <f>VLOOKUP(C247,#REF!,12,FALSE)</f>
        <v>#REF!</v>
      </c>
    </row>
    <row r="248" spans="1:15">
      <c r="A248" s="17">
        <v>247</v>
      </c>
      <c r="B248" s="17" t="s">
        <v>465</v>
      </c>
      <c r="C248" s="17">
        <v>2022484682</v>
      </c>
      <c r="D248" s="17">
        <v>2201010807</v>
      </c>
      <c r="E248" s="17" t="s">
        <v>1805</v>
      </c>
      <c r="F248" s="17" t="e">
        <f>VLOOKUP('2501_MIS '!C248,'[1]Fast Track '!B:K,10,FALSE)</f>
        <v>#N/A</v>
      </c>
      <c r="G248" s="17" t="str">
        <f>VLOOKUP(C248,[2]Sheet7!A:D,4,FALSE)</f>
        <v>Promoted</v>
      </c>
      <c r="H248" s="45" t="s">
        <v>3644</v>
      </c>
      <c r="I248" s="26" t="s">
        <v>3653</v>
      </c>
      <c r="J248" s="17" t="s">
        <v>466</v>
      </c>
      <c r="K248" s="17" t="str">
        <f>VLOOKUP(C248,[3]Sheet1!D:J,6,FALSE)</f>
        <v>2022484682.arjun@pt.sharda.ac.in</v>
      </c>
      <c r="L248" s="17" t="str">
        <f>VLOOKUP(D248,[3]Sheet1!E:K,6,FALSE)</f>
        <v>9414268820</v>
      </c>
      <c r="M248" s="17" t="s">
        <v>15</v>
      </c>
      <c r="O248" t="e">
        <f>VLOOKUP(C248,#REF!,12,FALSE)</f>
        <v>#REF!</v>
      </c>
    </row>
    <row r="249" spans="1:15">
      <c r="A249" s="17">
        <v>248</v>
      </c>
      <c r="B249" s="17" t="s">
        <v>625</v>
      </c>
      <c r="C249" s="17">
        <v>2022540466</v>
      </c>
      <c r="D249" s="17">
        <v>2201010135</v>
      </c>
      <c r="E249" s="17" t="s">
        <v>1805</v>
      </c>
      <c r="F249" s="17" t="e">
        <f>VLOOKUP('2501_MIS '!C249,'[1]Fast Track '!B:K,10,FALSE)</f>
        <v>#N/A</v>
      </c>
      <c r="G249" s="17" t="str">
        <f>VLOOKUP(C249,[2]Sheet7!A:D,4,FALSE)</f>
        <v>Promoted</v>
      </c>
      <c r="H249" s="45" t="s">
        <v>3644</v>
      </c>
      <c r="I249" s="26" t="s">
        <v>3653</v>
      </c>
      <c r="J249" s="17" t="s">
        <v>626</v>
      </c>
      <c r="K249" s="17" t="str">
        <f>VLOOKUP(C249,[3]Sheet1!D:J,6,FALSE)</f>
        <v>2022540466.jagga@pt.sharda.ac.in</v>
      </c>
      <c r="L249" s="17" t="str">
        <f>VLOOKUP(D249,[3]Sheet1!E:K,6,FALSE)</f>
        <v>9462607285</v>
      </c>
      <c r="M249" s="17" t="s">
        <v>15</v>
      </c>
      <c r="O249" t="e">
        <f>VLOOKUP(C249,#REF!,12,FALSE)</f>
        <v>#REF!</v>
      </c>
    </row>
    <row r="250" spans="1:15">
      <c r="A250" s="17">
        <v>249</v>
      </c>
      <c r="B250" s="17" t="s">
        <v>598</v>
      </c>
      <c r="C250" s="17">
        <v>2022506880</v>
      </c>
      <c r="D250" s="17">
        <v>2201010275</v>
      </c>
      <c r="E250" s="17" t="s">
        <v>1805</v>
      </c>
      <c r="F250" s="17" t="e">
        <f>VLOOKUP('2501_MIS '!C250,'[1]Fast Track '!B:K,10,FALSE)</f>
        <v>#N/A</v>
      </c>
      <c r="G250" s="17" t="str">
        <f>VLOOKUP(C250,[2]Sheet7!A:D,4,FALSE)</f>
        <v>Promoted</v>
      </c>
      <c r="H250" s="45" t="s">
        <v>3644</v>
      </c>
      <c r="I250" s="26" t="s">
        <v>3653</v>
      </c>
      <c r="J250" s="17" t="s">
        <v>599</v>
      </c>
      <c r="K250" s="17" t="str">
        <f>VLOOKUP(C250,[3]Sheet1!D:J,6,FALSE)</f>
        <v>2022506880.durga@pt.sharda.ac.in</v>
      </c>
      <c r="L250" s="17" t="str">
        <f>VLOOKUP(D250,[3]Sheet1!E:K,6,FALSE)</f>
        <v>7060867763</v>
      </c>
      <c r="M250" s="17" t="s">
        <v>15</v>
      </c>
      <c r="O250" t="e">
        <f>VLOOKUP(C250,#REF!,12,FALSE)</f>
        <v>#REF!</v>
      </c>
    </row>
    <row r="251" spans="1:15">
      <c r="A251" s="17">
        <v>250</v>
      </c>
      <c r="B251" s="17" t="s">
        <v>635</v>
      </c>
      <c r="C251" s="17">
        <v>2022805251</v>
      </c>
      <c r="D251" s="17">
        <v>2201010543</v>
      </c>
      <c r="E251" s="17" t="s">
        <v>1805</v>
      </c>
      <c r="F251" s="17" t="e">
        <f>VLOOKUP('2501_MIS '!C251,'[1]Fast Track '!B:K,10,FALSE)</f>
        <v>#N/A</v>
      </c>
      <c r="G251" s="17" t="str">
        <f>VLOOKUP(C251,[2]Sheet7!A:D,4,FALSE)</f>
        <v>Promoted</v>
      </c>
      <c r="H251" s="45" t="s">
        <v>3644</v>
      </c>
      <c r="I251" s="26" t="s">
        <v>3653</v>
      </c>
      <c r="J251" s="17" t="s">
        <v>636</v>
      </c>
      <c r="K251" s="17" t="str">
        <f>VLOOKUP(C251,[3]Sheet1!D:J,6,FALSE)</f>
        <v>2022805251.parshuram@pt.sharda.ac.in</v>
      </c>
      <c r="L251" s="17" t="str">
        <f>VLOOKUP(D251,[3]Sheet1!E:K,6,FALSE)</f>
        <v>91 9661565894</v>
      </c>
      <c r="M251" s="17" t="s">
        <v>15</v>
      </c>
      <c r="O251" t="e">
        <f>VLOOKUP(C251,#REF!,12,FALSE)</f>
        <v>#REF!</v>
      </c>
    </row>
    <row r="252" spans="1:15">
      <c r="A252" s="17">
        <v>251</v>
      </c>
      <c r="B252" s="17" t="s">
        <v>713</v>
      </c>
      <c r="C252" s="17">
        <v>2022453096</v>
      </c>
      <c r="D252" s="17">
        <v>2201010510</v>
      </c>
      <c r="E252" s="17" t="s">
        <v>1805</v>
      </c>
      <c r="F252" s="17" t="e">
        <f>VLOOKUP('2501_MIS '!C252,'[1]Fast Track '!B:K,10,FALSE)</f>
        <v>#N/A</v>
      </c>
      <c r="G252" s="17" t="str">
        <f>VLOOKUP(C252,[2]Sheet7!A:D,4,FALSE)</f>
        <v>Promoted</v>
      </c>
      <c r="H252" s="45" t="s">
        <v>3644</v>
      </c>
      <c r="I252" s="26" t="s">
        <v>3653</v>
      </c>
      <c r="J252" s="17" t="s">
        <v>714</v>
      </c>
      <c r="K252" s="17" t="str">
        <f>VLOOKUP(C252,[3]Sheet1!D:J,6,FALSE)</f>
        <v>2022453096.viplav@pt.sharda.ac.in</v>
      </c>
      <c r="L252" s="17" t="str">
        <f>VLOOKUP(D252,[3]Sheet1!E:K,6,FALSE)</f>
        <v>8271863383</v>
      </c>
      <c r="M252" s="17" t="s">
        <v>15</v>
      </c>
      <c r="O252" t="e">
        <f>VLOOKUP(C252,#REF!,12,FALSE)</f>
        <v>#REF!</v>
      </c>
    </row>
    <row r="253" spans="1:15">
      <c r="A253" s="17">
        <v>252</v>
      </c>
      <c r="B253" s="17" t="s">
        <v>701</v>
      </c>
      <c r="C253" s="17">
        <v>2022007819</v>
      </c>
      <c r="D253" s="17">
        <v>2201010866</v>
      </c>
      <c r="E253" s="17" t="s">
        <v>1805</v>
      </c>
      <c r="F253" s="17" t="e">
        <f>VLOOKUP('2501_MIS '!C253,'[1]Fast Track '!B:K,10,FALSE)</f>
        <v>#N/A</v>
      </c>
      <c r="G253" s="17" t="str">
        <f>VLOOKUP(C253,[2]Sheet7!A:D,4,FALSE)</f>
        <v>Promoted</v>
      </c>
      <c r="H253" s="45" t="s">
        <v>3644</v>
      </c>
      <c r="I253" s="26" t="s">
        <v>3653</v>
      </c>
      <c r="J253" s="17" t="s">
        <v>702</v>
      </c>
      <c r="K253" s="17" t="str">
        <f>VLOOKUP(C253,[3]Sheet1!D:J,6,FALSE)</f>
        <v>2022007819.ramanand@pt.sharda.ac.in</v>
      </c>
      <c r="L253" s="17" t="str">
        <f>VLOOKUP(D253,[3]Sheet1!E:K,6,FALSE)</f>
        <v>6299567700</v>
      </c>
      <c r="M253" s="17" t="s">
        <v>15</v>
      </c>
      <c r="O253" t="e">
        <f>VLOOKUP(C253,#REF!,12,FALSE)</f>
        <v>#REF!</v>
      </c>
    </row>
    <row r="254" spans="1:15">
      <c r="A254" s="17">
        <v>253</v>
      </c>
      <c r="B254" s="17" t="s">
        <v>751</v>
      </c>
      <c r="C254" s="17">
        <v>2022835895</v>
      </c>
      <c r="D254" s="17">
        <v>2201010910</v>
      </c>
      <c r="E254" s="17" t="s">
        <v>1805</v>
      </c>
      <c r="F254" s="17" t="e">
        <f>VLOOKUP('2501_MIS '!C254,'[1]Fast Track '!B:K,10,FALSE)</f>
        <v>#N/A</v>
      </c>
      <c r="G254" s="17" t="str">
        <f>VLOOKUP(C254,[2]Sheet7!A:D,4,FALSE)</f>
        <v>Promoted</v>
      </c>
      <c r="H254" s="45" t="s">
        <v>3644</v>
      </c>
      <c r="I254" s="26" t="s">
        <v>3653</v>
      </c>
      <c r="J254" s="17" t="s">
        <v>752</v>
      </c>
      <c r="K254" s="17" t="str">
        <f>VLOOKUP(C254,[3]Sheet1!D:J,6,FALSE)</f>
        <v>2022835895.pashupati@pt.sharda.ac.in</v>
      </c>
      <c r="L254" s="17" t="str">
        <f>VLOOKUP(D254,[3]Sheet1!E:K,6,FALSE)</f>
        <v>91 8084332903</v>
      </c>
      <c r="M254" s="17" t="s">
        <v>15</v>
      </c>
      <c r="O254" t="e">
        <f>VLOOKUP(C254,#REF!,12,FALSE)</f>
        <v>#REF!</v>
      </c>
    </row>
    <row r="255" spans="1:15">
      <c r="A255" s="17">
        <v>254</v>
      </c>
      <c r="B255" s="17" t="s">
        <v>323</v>
      </c>
      <c r="C255" s="17">
        <v>2022472005</v>
      </c>
      <c r="D255" s="17">
        <v>2201010296</v>
      </c>
      <c r="E255" s="17" t="s">
        <v>1805</v>
      </c>
      <c r="F255" s="17" t="e">
        <f>VLOOKUP('2501_MIS '!C255,'[1]Fast Track '!B:K,10,FALSE)</f>
        <v>#N/A</v>
      </c>
      <c r="G255" s="17" t="str">
        <f>VLOOKUP(C255,[2]Sheet7!A:D,4,FALSE)</f>
        <v>Promoted</v>
      </c>
      <c r="H255" s="45" t="s">
        <v>3644</v>
      </c>
      <c r="I255" s="26" t="s">
        <v>3653</v>
      </c>
      <c r="J255" s="17" t="s">
        <v>324</v>
      </c>
      <c r="K255" s="17" t="str">
        <f>VLOOKUP(C255,[3]Sheet1!D:J,6,FALSE)</f>
        <v>2022472005.arunkumar@pt.sharda.ac.in</v>
      </c>
      <c r="L255" s="17" t="str">
        <f>VLOOKUP(D255,[3]Sheet1!E:K,6,FALSE)</f>
        <v>8434862779</v>
      </c>
      <c r="M255" s="17" t="s">
        <v>15</v>
      </c>
      <c r="O255" t="e">
        <f>VLOOKUP(C255,#REF!,12,FALSE)</f>
        <v>#REF!</v>
      </c>
    </row>
    <row r="256" spans="1:15">
      <c r="A256" s="17">
        <v>255</v>
      </c>
      <c r="B256" s="17" t="s">
        <v>347</v>
      </c>
      <c r="C256" s="17">
        <v>2022504261</v>
      </c>
      <c r="D256" s="17">
        <v>2201010475</v>
      </c>
      <c r="E256" s="17" t="s">
        <v>1805</v>
      </c>
      <c r="F256" s="17" t="e">
        <f>VLOOKUP('2501_MIS '!C256,'[1]Fast Track '!B:K,10,FALSE)</f>
        <v>#N/A</v>
      </c>
      <c r="G256" s="17" t="str">
        <f>VLOOKUP(C256,[2]Sheet7!A:D,4,FALSE)</f>
        <v>Promoted</v>
      </c>
      <c r="H256" s="45" t="s">
        <v>3644</v>
      </c>
      <c r="I256" s="26" t="s">
        <v>3653</v>
      </c>
      <c r="J256" s="17" t="s">
        <v>348</v>
      </c>
      <c r="K256" s="17" t="str">
        <f>VLOOKUP(C256,[3]Sheet1!D:J,6,FALSE)</f>
        <v>2022504261.arunkumar@pt.sharda.ac.in</v>
      </c>
      <c r="L256" s="17" t="str">
        <f>VLOOKUP(D256,[3]Sheet1!E:K,6,FALSE)</f>
        <v>8797904778</v>
      </c>
      <c r="M256" s="17" t="s">
        <v>15</v>
      </c>
      <c r="O256" t="e">
        <f>VLOOKUP(C256,#REF!,12,FALSE)</f>
        <v>#REF!</v>
      </c>
    </row>
    <row r="257" spans="1:15">
      <c r="A257" s="17">
        <v>256</v>
      </c>
      <c r="B257" s="17" t="s">
        <v>268</v>
      </c>
      <c r="C257" s="17">
        <v>2022003889</v>
      </c>
      <c r="D257" s="17">
        <v>2201010770</v>
      </c>
      <c r="E257" s="17" t="s">
        <v>1805</v>
      </c>
      <c r="F257" s="17" t="e">
        <f>VLOOKUP('2501_MIS '!C257,'[1]Fast Track '!B:K,10,FALSE)</f>
        <v>#N/A</v>
      </c>
      <c r="G257" s="17" t="str">
        <f>VLOOKUP(C257,[2]Sheet7!A:D,4,FALSE)</f>
        <v>Promoted</v>
      </c>
      <c r="H257" s="45" t="s">
        <v>3644</v>
      </c>
      <c r="I257" s="26" t="s">
        <v>3653</v>
      </c>
      <c r="J257" s="17" t="s">
        <v>269</v>
      </c>
      <c r="K257" s="17" t="str">
        <f>VLOOKUP(C257,[3]Sheet1!D:J,6,FALSE)</f>
        <v>2022003889.subhash@pt.sharda.ac.in</v>
      </c>
      <c r="L257" s="17" t="str">
        <f>VLOOKUP(D257,[3]Sheet1!E:K,6,FALSE)</f>
        <v>9034265709</v>
      </c>
      <c r="M257" s="17" t="s">
        <v>15</v>
      </c>
      <c r="O257" t="e">
        <f>VLOOKUP(C257,#REF!,12,FALSE)</f>
        <v>#REF!</v>
      </c>
    </row>
    <row r="258" spans="1:15">
      <c r="A258" s="17">
        <v>257</v>
      </c>
      <c r="B258" s="17" t="s">
        <v>711</v>
      </c>
      <c r="C258" s="17">
        <v>2022450179</v>
      </c>
      <c r="D258" s="17">
        <v>2201010826</v>
      </c>
      <c r="E258" s="17" t="s">
        <v>1805</v>
      </c>
      <c r="F258" s="17" t="e">
        <f>VLOOKUP('2501_MIS '!C258,'[1]Fast Track '!B:K,10,FALSE)</f>
        <v>#N/A</v>
      </c>
      <c r="G258" s="17" t="str">
        <f>VLOOKUP(C258,[2]Sheet7!A:D,4,FALSE)</f>
        <v>Promoted</v>
      </c>
      <c r="H258" s="45" t="s">
        <v>3644</v>
      </c>
      <c r="I258" s="26" t="s">
        <v>3653</v>
      </c>
      <c r="J258" s="17" t="s">
        <v>712</v>
      </c>
      <c r="K258" s="17" t="str">
        <f>VLOOKUP(C258,[3]Sheet1!D:J,6,FALSE)</f>
        <v>2022450179.abdulhamied@pt.sharda.ac.in</v>
      </c>
      <c r="L258" s="17" t="str">
        <f>VLOOKUP(D258,[3]Sheet1!E:K,6,FALSE)</f>
        <v>8899667050</v>
      </c>
      <c r="M258" s="17" t="s">
        <v>15</v>
      </c>
      <c r="O258" t="e">
        <f>VLOOKUP(C258,#REF!,12,FALSE)</f>
        <v>#REF!</v>
      </c>
    </row>
    <row r="259" spans="1:15">
      <c r="A259" s="17">
        <v>258</v>
      </c>
      <c r="B259" s="17" t="s">
        <v>262</v>
      </c>
      <c r="C259" s="17">
        <v>2022000982</v>
      </c>
      <c r="D259" s="17">
        <v>2201010125</v>
      </c>
      <c r="E259" s="17" t="s">
        <v>1806</v>
      </c>
      <c r="F259" s="17" t="e">
        <f>VLOOKUP('2501_MIS '!C259,'[1]Fast Track '!B:K,10,FALSE)</f>
        <v>#N/A</v>
      </c>
      <c r="G259" s="17" t="str">
        <f>VLOOKUP(C259,[2]Sheet7!A:D,4,FALSE)</f>
        <v>Promoted</v>
      </c>
      <c r="H259" s="45" t="s">
        <v>3645</v>
      </c>
      <c r="I259" s="26" t="s">
        <v>3654</v>
      </c>
      <c r="J259" s="17" t="s">
        <v>263</v>
      </c>
      <c r="K259" s="17" t="str">
        <f>VLOOKUP(C259,[3]Sheet1!D:J,6,FALSE)</f>
        <v>2022000982.mdafroz@pt.sharda.ac.in</v>
      </c>
      <c r="L259" s="17" t="str">
        <f>VLOOKUP(D259,[3]Sheet1!E:K,6,FALSE)</f>
        <v>8929586849</v>
      </c>
      <c r="M259" s="17" t="str">
        <f>VLOOKUP(E259,[3]Sheet1!F:L,6,FALSE)</f>
        <v>Computer Science</v>
      </c>
      <c r="O259" t="e">
        <f>VLOOKUP(C259,#REF!,12,FALSE)</f>
        <v>#REF!</v>
      </c>
    </row>
    <row r="260" spans="1:15">
      <c r="A260" s="17">
        <v>259</v>
      </c>
      <c r="B260" s="17" t="s">
        <v>327</v>
      </c>
      <c r="C260" s="17">
        <v>2022476992</v>
      </c>
      <c r="D260" s="17">
        <v>2201010263</v>
      </c>
      <c r="E260" s="17" t="s">
        <v>1806</v>
      </c>
      <c r="F260" s="17" t="e">
        <f>VLOOKUP('2501_MIS '!C260,'[1]Fast Track '!B:K,10,FALSE)</f>
        <v>#N/A</v>
      </c>
      <c r="G260" s="17" t="str">
        <f>VLOOKUP(C260,[2]Sheet7!A:D,4,FALSE)</f>
        <v>Promoted</v>
      </c>
      <c r="H260" s="45" t="s">
        <v>3645</v>
      </c>
      <c r="I260" s="26" t="s">
        <v>3654</v>
      </c>
      <c r="J260" s="17" t="s">
        <v>328</v>
      </c>
      <c r="K260" s="17" t="str">
        <f>VLOOKUP(C260,[3]Sheet1!D:J,6,FALSE)</f>
        <v>2022476992.ram@pt.sharda.ac.in</v>
      </c>
      <c r="L260" s="17" t="str">
        <f>VLOOKUP(D260,[3]Sheet1!E:K,6,FALSE)</f>
        <v>7007382747</v>
      </c>
      <c r="M260" s="17" t="str">
        <f>VLOOKUP(E260,[3]Sheet1!F:L,6,FALSE)</f>
        <v>Computer Science</v>
      </c>
      <c r="O260" t="e">
        <f>VLOOKUP(C260,#REF!,12,FALSE)</f>
        <v>#REF!</v>
      </c>
    </row>
    <row r="261" spans="1:15">
      <c r="A261" s="17">
        <v>260</v>
      </c>
      <c r="B261" s="17" t="s">
        <v>337</v>
      </c>
      <c r="C261" s="17">
        <v>2022482951</v>
      </c>
      <c r="D261" s="17">
        <v>2201010270</v>
      </c>
      <c r="E261" s="17" t="s">
        <v>1806</v>
      </c>
      <c r="F261" s="17" t="e">
        <f>VLOOKUP('2501_MIS '!C261,'[1]Fast Track '!B:K,10,FALSE)</f>
        <v>#N/A</v>
      </c>
      <c r="G261" s="17" t="str">
        <f>VLOOKUP(C261,[2]Sheet7!A:D,4,FALSE)</f>
        <v>Promoted</v>
      </c>
      <c r="H261" s="45" t="s">
        <v>3645</v>
      </c>
      <c r="I261" s="26" t="s">
        <v>3654</v>
      </c>
      <c r="J261" s="17" t="s">
        <v>338</v>
      </c>
      <c r="K261" s="17" t="str">
        <f>VLOOKUP(C261,[3]Sheet1!D:J,6,FALSE)</f>
        <v>2022482951.bobinder@pt.sharda.ac.in</v>
      </c>
      <c r="L261" s="17" t="str">
        <f>VLOOKUP(D261,[3]Sheet1!E:K,6,FALSE)</f>
        <v>8439358060</v>
      </c>
      <c r="M261" s="17" t="str">
        <f>VLOOKUP(E261,[3]Sheet1!F:L,6,FALSE)</f>
        <v>Computer Science</v>
      </c>
      <c r="O261" t="e">
        <f>VLOOKUP(C261,#REF!,12,FALSE)</f>
        <v>#REF!</v>
      </c>
    </row>
    <row r="262" spans="1:15">
      <c r="A262" s="17">
        <v>261</v>
      </c>
      <c r="B262" s="17" t="s">
        <v>294</v>
      </c>
      <c r="C262" s="17">
        <v>2022301943</v>
      </c>
      <c r="D262" s="17">
        <v>2201010318</v>
      </c>
      <c r="E262" s="17" t="s">
        <v>1806</v>
      </c>
      <c r="F262" s="17" t="e">
        <f>VLOOKUP('2501_MIS '!C262,'[1]Fast Track '!B:K,10,FALSE)</f>
        <v>#N/A</v>
      </c>
      <c r="G262" s="17" t="str">
        <f>VLOOKUP(C262,[2]Sheet7!A:D,4,FALSE)</f>
        <v>Promoted</v>
      </c>
      <c r="H262" s="45" t="s">
        <v>3645</v>
      </c>
      <c r="I262" s="26" t="s">
        <v>3654</v>
      </c>
      <c r="J262" s="17" t="s">
        <v>295</v>
      </c>
      <c r="K262" s="17" t="str">
        <f>VLOOKUP(C262,[3]Sheet1!D:J,6,FALSE)</f>
        <v>2022301943.b@pt.sharda.ac.in</v>
      </c>
      <c r="L262" s="17" t="str">
        <f>VLOOKUP(D262,[3]Sheet1!E:K,6,FALSE)</f>
        <v>9205507667</v>
      </c>
      <c r="M262" s="17" t="str">
        <f>VLOOKUP(E262,[3]Sheet1!F:L,6,FALSE)</f>
        <v>Computer Science</v>
      </c>
      <c r="O262" t="e">
        <f>VLOOKUP(C262,#REF!,12,FALSE)</f>
        <v>#REF!</v>
      </c>
    </row>
    <row r="263" spans="1:15">
      <c r="A263" s="17">
        <v>262</v>
      </c>
      <c r="B263" s="17" t="s">
        <v>331</v>
      </c>
      <c r="C263" s="17">
        <v>2022480728</v>
      </c>
      <c r="D263" s="17">
        <v>2201010389</v>
      </c>
      <c r="E263" s="17" t="s">
        <v>1806</v>
      </c>
      <c r="F263" s="17" t="e">
        <f>VLOOKUP('2501_MIS '!C263,'[1]Fast Track '!B:K,10,FALSE)</f>
        <v>#N/A</v>
      </c>
      <c r="G263" s="17" t="str">
        <f>VLOOKUP(C263,[2]Sheet7!A:D,4,FALSE)</f>
        <v>Promoted</v>
      </c>
      <c r="H263" s="45" t="s">
        <v>3645</v>
      </c>
      <c r="I263" s="26" t="s">
        <v>3654</v>
      </c>
      <c r="J263" s="17" t="s">
        <v>332</v>
      </c>
      <c r="K263" s="17" t="str">
        <f>VLOOKUP(C263,[3]Sheet1!D:J,6,FALSE)</f>
        <v>2022480728.md@pt.sharda.ac.in</v>
      </c>
      <c r="L263" s="17" t="str">
        <f>VLOOKUP(D263,[3]Sheet1!E:K,6,FALSE)</f>
        <v>9717511182</v>
      </c>
      <c r="M263" s="17" t="str">
        <f>VLOOKUP(E263,[3]Sheet1!F:L,6,FALSE)</f>
        <v>Computer Science</v>
      </c>
      <c r="O263" t="e">
        <f>VLOOKUP(C263,#REF!,12,FALSE)</f>
        <v>#REF!</v>
      </c>
    </row>
    <row r="264" spans="1:15">
      <c r="A264" s="17">
        <v>263</v>
      </c>
      <c r="B264" s="17" t="s">
        <v>266</v>
      </c>
      <c r="C264" s="17">
        <v>2022003695</v>
      </c>
      <c r="D264" s="17">
        <v>2201010515</v>
      </c>
      <c r="E264" s="17" t="s">
        <v>1806</v>
      </c>
      <c r="F264" s="17" t="e">
        <f>VLOOKUP('2501_MIS '!C264,'[1]Fast Track '!B:K,10,FALSE)</f>
        <v>#N/A</v>
      </c>
      <c r="G264" s="17" t="str">
        <f>VLOOKUP(C264,[2]Sheet7!A:D,4,FALSE)</f>
        <v>Promoted</v>
      </c>
      <c r="H264" s="45" t="s">
        <v>3645</v>
      </c>
      <c r="I264" s="26" t="s">
        <v>3654</v>
      </c>
      <c r="J264" s="17" t="s">
        <v>267</v>
      </c>
      <c r="K264" s="17" t="str">
        <f>VLOOKUP(C264,[3]Sheet1!D:J,6,FALSE)</f>
        <v>2022003695.anup@pt.sharda.ac.in</v>
      </c>
      <c r="L264" s="17" t="str">
        <f>VLOOKUP(D264,[3]Sheet1!E:K,6,FALSE)</f>
        <v>7903443437</v>
      </c>
      <c r="M264" s="17" t="str">
        <f>VLOOKUP(E264,[3]Sheet1!F:L,6,FALSE)</f>
        <v>Computer Science</v>
      </c>
      <c r="O264" t="e">
        <f>VLOOKUP(C264,#REF!,12,FALSE)</f>
        <v>#REF!</v>
      </c>
    </row>
    <row r="265" spans="1:15">
      <c r="A265" s="17">
        <v>264</v>
      </c>
      <c r="B265" s="17" t="s">
        <v>296</v>
      </c>
      <c r="C265" s="17">
        <v>2022306401</v>
      </c>
      <c r="D265" s="17">
        <v>2201010585</v>
      </c>
      <c r="E265" s="17" t="s">
        <v>1806</v>
      </c>
      <c r="F265" s="17" t="e">
        <f>VLOOKUP('2501_MIS '!C265,'[1]Fast Track '!B:K,10,FALSE)</f>
        <v>#N/A</v>
      </c>
      <c r="G265" s="17" t="str">
        <f>VLOOKUP(C265,[2]Sheet7!A:D,4,FALSE)</f>
        <v>Promoted</v>
      </c>
      <c r="H265" s="45" t="s">
        <v>3645</v>
      </c>
      <c r="I265" s="26" t="s">
        <v>3654</v>
      </c>
      <c r="J265" s="17" t="s">
        <v>297</v>
      </c>
      <c r="K265" s="17" t="str">
        <f>VLOOKUP(C265,[3]Sheet1!D:J,6,FALSE)</f>
        <v>2022306401.naveen@pt.sharda.ac.in</v>
      </c>
      <c r="L265" s="17" t="str">
        <f>VLOOKUP(D265,[3]Sheet1!E:K,6,FALSE)</f>
        <v>8595590409</v>
      </c>
      <c r="M265" s="17" t="str">
        <f>VLOOKUP(E265,[3]Sheet1!F:L,6,FALSE)</f>
        <v>Computer Science</v>
      </c>
      <c r="O265" t="e">
        <f>VLOOKUP(C265,#REF!,12,FALSE)</f>
        <v>#REF!</v>
      </c>
    </row>
    <row r="266" spans="1:15">
      <c r="A266" s="17">
        <v>265</v>
      </c>
      <c r="B266" s="17" t="s">
        <v>264</v>
      </c>
      <c r="C266" s="17">
        <v>2022002431</v>
      </c>
      <c r="D266" s="17">
        <v>2201010745</v>
      </c>
      <c r="E266" s="17" t="s">
        <v>1806</v>
      </c>
      <c r="F266" s="17" t="e">
        <f>VLOOKUP('2501_MIS '!C266,'[1]Fast Track '!B:K,10,FALSE)</f>
        <v>#N/A</v>
      </c>
      <c r="G266" s="17" t="str">
        <f>VLOOKUP(C266,[2]Sheet7!A:D,4,FALSE)</f>
        <v>Promoted</v>
      </c>
      <c r="H266" s="45" t="s">
        <v>3645</v>
      </c>
      <c r="I266" s="26" t="s">
        <v>3654</v>
      </c>
      <c r="J266" s="17" t="s">
        <v>265</v>
      </c>
      <c r="K266" s="17" t="str">
        <f>VLOOKUP(C266,[3]Sheet1!D:J,6,FALSE)</f>
        <v>2022002431.manjesh@pt.sharda.ac.in</v>
      </c>
      <c r="L266" s="17" t="str">
        <f>VLOOKUP(D266,[3]Sheet1!E:K,6,FALSE)</f>
        <v>8851522509</v>
      </c>
      <c r="M266" s="17" t="str">
        <f>VLOOKUP(E266,[3]Sheet1!F:L,6,FALSE)</f>
        <v>Computer Science</v>
      </c>
      <c r="O266" t="e">
        <f>VLOOKUP(C266,#REF!,12,FALSE)</f>
        <v>#REF!</v>
      </c>
    </row>
    <row r="267" spans="1:15">
      <c r="A267" s="17">
        <v>266</v>
      </c>
      <c r="B267" s="17" t="s">
        <v>373</v>
      </c>
      <c r="C267" s="17">
        <v>2022006932</v>
      </c>
      <c r="D267" s="17">
        <v>2201010834</v>
      </c>
      <c r="E267" s="17" t="s">
        <v>1806</v>
      </c>
      <c r="F267" s="17" t="e">
        <f>VLOOKUP('2501_MIS '!C267,'[1]Fast Track '!B:K,10,FALSE)</f>
        <v>#N/A</v>
      </c>
      <c r="G267" s="17" t="str">
        <f>VLOOKUP(C267,[2]Sheet7!A:D,4,FALSE)</f>
        <v>Promoted</v>
      </c>
      <c r="H267" s="45" t="s">
        <v>3645</v>
      </c>
      <c r="I267" s="26" t="s">
        <v>3654</v>
      </c>
      <c r="J267" s="17" t="s">
        <v>374</v>
      </c>
      <c r="K267" s="17" t="str">
        <f>VLOOKUP(C267,[3]Sheet1!D:J,6,FALSE)</f>
        <v>2022006932.avdesh@pt.sharda.ac.in</v>
      </c>
      <c r="L267" s="17" t="str">
        <f>VLOOKUP(D267,[3]Sheet1!E:K,6,FALSE)</f>
        <v>9310460810</v>
      </c>
      <c r="M267" s="17" t="str">
        <f>VLOOKUP(E267,[3]Sheet1!F:L,6,FALSE)</f>
        <v>Computer Science</v>
      </c>
      <c r="O267" t="e">
        <f>VLOOKUP(C267,#REF!,12,FALSE)</f>
        <v>#REF!</v>
      </c>
    </row>
    <row r="268" spans="1:15">
      <c r="A268" s="17">
        <v>267</v>
      </c>
      <c r="B268" s="17" t="s">
        <v>375</v>
      </c>
      <c r="C268" s="17">
        <v>2022007788</v>
      </c>
      <c r="D268" s="17">
        <v>2201010864</v>
      </c>
      <c r="E268" s="17" t="s">
        <v>1806</v>
      </c>
      <c r="F268" s="17" t="e">
        <f>VLOOKUP('2501_MIS '!C268,'[1]Fast Track '!B:K,10,FALSE)</f>
        <v>#N/A</v>
      </c>
      <c r="G268" s="17" t="str">
        <f>VLOOKUP(C268,[2]Sheet7!A:D,4,FALSE)</f>
        <v>Promoted</v>
      </c>
      <c r="H268" s="45" t="s">
        <v>3645</v>
      </c>
      <c r="I268" s="26" t="s">
        <v>3654</v>
      </c>
      <c r="J268" s="17" t="s">
        <v>376</v>
      </c>
      <c r="K268" s="17" t="str">
        <f>VLOOKUP(C268,[3]Sheet1!D:J,6,FALSE)</f>
        <v>2022007788.ajay@pt.sharda.ac.in</v>
      </c>
      <c r="L268" s="17" t="str">
        <f>VLOOKUP(D268,[3]Sheet1!E:K,6,FALSE)</f>
        <v>8235930751</v>
      </c>
      <c r="M268" s="17" t="str">
        <f>VLOOKUP(E268,[3]Sheet1!F:L,6,FALSE)</f>
        <v>Computer Science</v>
      </c>
      <c r="O268" t="e">
        <f>VLOOKUP(C268,#REF!,12,FALSE)</f>
        <v>#REF!</v>
      </c>
    </row>
    <row r="269" spans="1:15">
      <c r="A269" s="17">
        <v>268</v>
      </c>
      <c r="B269" s="17" t="s">
        <v>377</v>
      </c>
      <c r="C269" s="17">
        <v>2022505059</v>
      </c>
      <c r="D269" s="17">
        <v>2201010875</v>
      </c>
      <c r="E269" s="17" t="s">
        <v>1806</v>
      </c>
      <c r="F269" s="17" t="e">
        <f>VLOOKUP('2501_MIS '!C269,'[1]Fast Track '!B:K,10,FALSE)</f>
        <v>#N/A</v>
      </c>
      <c r="G269" s="17" t="str">
        <f>VLOOKUP(C269,[2]Sheet7!A:D,4,FALSE)</f>
        <v>Promoted</v>
      </c>
      <c r="H269" s="45" t="s">
        <v>3645</v>
      </c>
      <c r="I269" s="26" t="s">
        <v>3654</v>
      </c>
      <c r="J269" s="17" t="s">
        <v>378</v>
      </c>
      <c r="K269" s="17" t="str">
        <f>VLOOKUP(C269,[3]Sheet1!D:J,6,FALSE)</f>
        <v>2022505059.ashok@pt.sharda.ac.in</v>
      </c>
      <c r="L269" s="17" t="str">
        <f>VLOOKUP(D269,[3]Sheet1!E:K,6,FALSE)</f>
        <v>7903070334</v>
      </c>
      <c r="M269" s="17" t="str">
        <f>VLOOKUP(E269,[3]Sheet1!F:L,6,FALSE)</f>
        <v>Computer Science</v>
      </c>
      <c r="O269" t="e">
        <f>VLOOKUP(C269,#REF!,12,FALSE)</f>
        <v>#REF!</v>
      </c>
    </row>
    <row r="270" spans="1:15">
      <c r="A270" s="17">
        <v>269</v>
      </c>
      <c r="B270" s="17" t="s">
        <v>385</v>
      </c>
      <c r="C270" s="17">
        <v>2023322783</v>
      </c>
      <c r="D270" s="17">
        <v>2301017004</v>
      </c>
      <c r="E270" s="17" t="s">
        <v>1806</v>
      </c>
      <c r="F270" s="17" t="e">
        <f>VLOOKUP('2501_MIS '!C270,'[1]Fast Track '!B:K,10,FALSE)</f>
        <v>#N/A</v>
      </c>
      <c r="G270" s="17" t="str">
        <f>VLOOKUP(C270,[2]Sheet7!A:D,4,FALSE)</f>
        <v>Promoted</v>
      </c>
      <c r="H270" s="45" t="s">
        <v>3645</v>
      </c>
      <c r="I270" s="26" t="s">
        <v>3654</v>
      </c>
      <c r="J270" s="17" t="s">
        <v>386</v>
      </c>
      <c r="K270" s="17" t="str">
        <f>VLOOKUP(C270,[3]Sheet1!D:J,6,FALSE)</f>
        <v>2023322783.mr@pt.sharda.ac.in</v>
      </c>
      <c r="L270" s="17" t="str">
        <f>VLOOKUP(D270,[3]Sheet1!E:K,6,FALSE)</f>
        <v>9027213643</v>
      </c>
      <c r="M270" s="17" t="str">
        <f>VLOOKUP(E270,[3]Sheet1!F:L,6,FALSE)</f>
        <v>Computer Science</v>
      </c>
      <c r="O270" t="e">
        <f>VLOOKUP(C270,#REF!,12,FALSE)</f>
        <v>#REF!</v>
      </c>
    </row>
    <row r="271" spans="1:15">
      <c r="A271" s="17">
        <v>270</v>
      </c>
      <c r="B271" s="17" t="s">
        <v>381</v>
      </c>
      <c r="C271" s="17">
        <v>2023205860</v>
      </c>
      <c r="D271" s="17">
        <v>2301017011</v>
      </c>
      <c r="E271" s="17" t="s">
        <v>1806</v>
      </c>
      <c r="F271" s="17" t="e">
        <f>VLOOKUP('2501_MIS '!C271,'[1]Fast Track '!B:K,10,FALSE)</f>
        <v>#N/A</v>
      </c>
      <c r="G271" s="17" t="str">
        <f>VLOOKUP(C271,[2]Sheet7!A:D,4,FALSE)</f>
        <v>Promoted</v>
      </c>
      <c r="H271" s="45" t="s">
        <v>3645</v>
      </c>
      <c r="I271" s="26" t="s">
        <v>3654</v>
      </c>
      <c r="J271" s="17" t="s">
        <v>382</v>
      </c>
      <c r="K271" s="17" t="str">
        <f>VLOOKUP(C271,[3]Sheet1!D:J,6,FALSE)</f>
        <v>2023205860.shrikant@pt.sharda.ac.in</v>
      </c>
      <c r="L271" s="17" t="str">
        <f>VLOOKUP(D271,[3]Sheet1!E:K,6,FALSE)</f>
        <v>8651305726</v>
      </c>
      <c r="M271" s="17" t="str">
        <f>VLOOKUP(E271,[3]Sheet1!F:L,6,FALSE)</f>
        <v>Computer Science</v>
      </c>
      <c r="O271" t="e">
        <f>VLOOKUP(C271,#REF!,12,FALSE)</f>
        <v>#REF!</v>
      </c>
    </row>
    <row r="272" spans="1:15">
      <c r="A272" s="17">
        <v>271</v>
      </c>
      <c r="B272" s="17" t="s">
        <v>479</v>
      </c>
      <c r="C272" s="17">
        <v>2022516410</v>
      </c>
      <c r="D272" s="17">
        <v>2201010082</v>
      </c>
      <c r="E272" s="17" t="s">
        <v>1806</v>
      </c>
      <c r="F272" s="17" t="e">
        <f>VLOOKUP('2501_MIS '!C272,'[1]Fast Track '!B:K,10,FALSE)</f>
        <v>#N/A</v>
      </c>
      <c r="G272" s="17" t="str">
        <f>VLOOKUP(C272,[2]Sheet7!A:D,4,FALSE)</f>
        <v>Promoted</v>
      </c>
      <c r="H272" s="45" t="s">
        <v>3645</v>
      </c>
      <c r="I272" s="26" t="s">
        <v>3654</v>
      </c>
      <c r="J272" s="17" t="s">
        <v>480</v>
      </c>
      <c r="K272" s="17" t="str">
        <f>VLOOKUP(C272,[3]Sheet1!D:J,6,FALSE)</f>
        <v>2022516410.manoj@pt.sharda.ac.in</v>
      </c>
      <c r="L272" s="17" t="str">
        <f>VLOOKUP(D272,[3]Sheet1!E:K,6,FALSE)</f>
        <v>7717742710</v>
      </c>
      <c r="M272" s="17" t="str">
        <f>VLOOKUP(E272,[3]Sheet1!F:L,6,FALSE)</f>
        <v>Computer Science</v>
      </c>
      <c r="O272" t="e">
        <f>VLOOKUP(C272,#REF!,12,FALSE)</f>
        <v>#REF!</v>
      </c>
    </row>
    <row r="273" spans="1:15">
      <c r="A273" s="17">
        <v>272</v>
      </c>
      <c r="B273" s="17" t="s">
        <v>440</v>
      </c>
      <c r="C273" s="17">
        <v>2022433429</v>
      </c>
      <c r="D273" s="17">
        <v>2201010083</v>
      </c>
      <c r="E273" s="17" t="s">
        <v>1806</v>
      </c>
      <c r="F273" s="17" t="e">
        <f>VLOOKUP('2501_MIS '!C273,'[1]Fast Track '!B:K,10,FALSE)</f>
        <v>#N/A</v>
      </c>
      <c r="G273" s="17" t="str">
        <f>VLOOKUP(C273,[2]Sheet7!A:D,4,FALSE)</f>
        <v>Promoted</v>
      </c>
      <c r="H273" s="45" t="s">
        <v>3645</v>
      </c>
      <c r="I273" s="26" t="s">
        <v>3654</v>
      </c>
      <c r="J273" s="17" t="s">
        <v>441</v>
      </c>
      <c r="K273" s="17" t="str">
        <f>VLOOKUP(C273,[3]Sheet1!D:J,6,FALSE)</f>
        <v>2022433429.manoj@pt.sharda.ac.in</v>
      </c>
      <c r="L273" s="17" t="str">
        <f>VLOOKUP(D273,[3]Sheet1!E:K,6,FALSE)</f>
        <v>8869839030</v>
      </c>
      <c r="M273" s="17" t="str">
        <f>VLOOKUP(E273,[3]Sheet1!F:L,6,FALSE)</f>
        <v>Computer Science</v>
      </c>
      <c r="O273" t="e">
        <f>VLOOKUP(C273,#REF!,12,FALSE)</f>
        <v>#REF!</v>
      </c>
    </row>
    <row r="274" spans="1:15">
      <c r="A274" s="17">
        <v>273</v>
      </c>
      <c r="B274" s="17" t="s">
        <v>491</v>
      </c>
      <c r="C274" s="17">
        <v>2022528415</v>
      </c>
      <c r="D274" s="17">
        <v>2201010188</v>
      </c>
      <c r="E274" s="17" t="s">
        <v>1806</v>
      </c>
      <c r="F274" s="17" t="e">
        <f>VLOOKUP('2501_MIS '!C274,'[1]Fast Track '!B:K,10,FALSE)</f>
        <v>#N/A</v>
      </c>
      <c r="G274" s="17" t="str">
        <f>VLOOKUP(C274,[2]Sheet7!A:D,4,FALSE)</f>
        <v>Promoted</v>
      </c>
      <c r="H274" s="45" t="s">
        <v>3645</v>
      </c>
      <c r="I274" s="26" t="s">
        <v>3654</v>
      </c>
      <c r="J274" s="17" t="s">
        <v>492</v>
      </c>
      <c r="K274" s="17" t="str">
        <f>VLOOKUP(C274,[3]Sheet1!D:J,6,FALSE)</f>
        <v>2022528415.gaurav@pt.sharda.ac.in</v>
      </c>
      <c r="L274" s="17">
        <f>VLOOKUP(D274,[3]Sheet1!E:K,6,FALSE)</f>
        <v>0</v>
      </c>
      <c r="M274" s="17" t="str">
        <f>VLOOKUP(E274,[3]Sheet1!F:L,6,FALSE)</f>
        <v>Computer Science</v>
      </c>
      <c r="O274" t="e">
        <f>VLOOKUP(C274,#REF!,12,FALSE)</f>
        <v>#REF!</v>
      </c>
    </row>
    <row r="275" spans="1:15">
      <c r="A275" s="17">
        <v>274</v>
      </c>
      <c r="B275" s="17" t="s">
        <v>509</v>
      </c>
      <c r="C275" s="17">
        <v>2022000239</v>
      </c>
      <c r="D275" s="17">
        <v>2201010239</v>
      </c>
      <c r="E275" s="17" t="s">
        <v>1806</v>
      </c>
      <c r="F275" s="17" t="e">
        <f>VLOOKUP('2501_MIS '!C275,'[1]Fast Track '!B:K,10,FALSE)</f>
        <v>#N/A</v>
      </c>
      <c r="G275" s="17" t="str">
        <f>VLOOKUP(C275,[2]Sheet7!A:D,4,FALSE)</f>
        <v>Promoted</v>
      </c>
      <c r="H275" s="45" t="s">
        <v>3645</v>
      </c>
      <c r="I275" s="26" t="s">
        <v>3654</v>
      </c>
      <c r="J275" s="17" t="s">
        <v>510</v>
      </c>
      <c r="K275" s="17" t="str">
        <f>VLOOKUP(C275,[3]Sheet1!D:J,6,FALSE)</f>
        <v>2022000239.shahbuddin@pt.sharda.ac.in</v>
      </c>
      <c r="L275" s="17" t="str">
        <f>VLOOKUP(D275,[3]Sheet1!E:K,6,FALSE)</f>
        <v>9355642786</v>
      </c>
      <c r="M275" s="17" t="str">
        <f>VLOOKUP(E275,[3]Sheet1!F:L,6,FALSE)</f>
        <v>Computer Science</v>
      </c>
      <c r="O275" t="e">
        <f>VLOOKUP(C275,#REF!,12,FALSE)</f>
        <v>#REF!</v>
      </c>
    </row>
    <row r="276" spans="1:15">
      <c r="A276" s="17">
        <v>275</v>
      </c>
      <c r="B276" s="17" t="s">
        <v>497</v>
      </c>
      <c r="C276" s="17">
        <v>2022540214</v>
      </c>
      <c r="D276" s="17">
        <v>2201010246</v>
      </c>
      <c r="E276" s="17" t="s">
        <v>1806</v>
      </c>
      <c r="F276" s="17" t="e">
        <f>VLOOKUP('2501_MIS '!C276,'[1]Fast Track '!B:K,10,FALSE)</f>
        <v>#N/A</v>
      </c>
      <c r="G276" s="17" t="str">
        <f>VLOOKUP(C276,[2]Sheet7!A:D,4,FALSE)</f>
        <v>Promoted</v>
      </c>
      <c r="H276" s="45" t="s">
        <v>3645</v>
      </c>
      <c r="I276" s="26" t="s">
        <v>3654</v>
      </c>
      <c r="J276" s="17" t="s">
        <v>498</v>
      </c>
      <c r="K276" s="17" t="str">
        <f>VLOOKUP(C276,[3]Sheet1!D:J,6,FALSE)</f>
        <v>2022540214.haribhajan@pt.sharda.ac.in</v>
      </c>
      <c r="L276" s="17" t="str">
        <f>VLOOKUP(D276,[3]Sheet1!E:K,6,FALSE)</f>
        <v>8210055072</v>
      </c>
      <c r="M276" s="17" t="str">
        <f>VLOOKUP(E276,[3]Sheet1!F:L,6,FALSE)</f>
        <v>Computer Science</v>
      </c>
      <c r="O276" t="e">
        <f>VLOOKUP(C276,#REF!,12,FALSE)</f>
        <v>#REF!</v>
      </c>
    </row>
    <row r="277" spans="1:15">
      <c r="A277" s="17">
        <v>276</v>
      </c>
      <c r="B277" s="17" t="s">
        <v>436</v>
      </c>
      <c r="C277" s="17">
        <v>2022413331</v>
      </c>
      <c r="D277" s="17">
        <v>2201010271</v>
      </c>
      <c r="E277" s="17" t="s">
        <v>1806</v>
      </c>
      <c r="F277" s="17" t="e">
        <f>VLOOKUP('2501_MIS '!C277,'[1]Fast Track '!B:K,10,FALSE)</f>
        <v>#N/A</v>
      </c>
      <c r="G277" s="17" t="str">
        <f>VLOOKUP(C277,[2]Sheet7!A:D,4,FALSE)</f>
        <v>Promoted</v>
      </c>
      <c r="H277" s="45" t="s">
        <v>3645</v>
      </c>
      <c r="I277" s="26" t="s">
        <v>3654</v>
      </c>
      <c r="J277" s="17" t="s">
        <v>437</v>
      </c>
      <c r="K277" s="17" t="str">
        <f>VLOOKUP(C277,[3]Sheet1!D:J,6,FALSE)</f>
        <v>2022413331.charansingh@pt.sharda.ac.in</v>
      </c>
      <c r="L277" s="17" t="str">
        <f>VLOOKUP(D277,[3]Sheet1!E:K,6,FALSE)</f>
        <v>9528799256</v>
      </c>
      <c r="M277" s="17" t="str">
        <f>VLOOKUP(E277,[3]Sheet1!F:L,6,FALSE)</f>
        <v>Computer Science</v>
      </c>
      <c r="O277" t="e">
        <f>VLOOKUP(C277,#REF!,12,FALSE)</f>
        <v>#REF!</v>
      </c>
    </row>
    <row r="278" spans="1:15">
      <c r="A278" s="17">
        <v>277</v>
      </c>
      <c r="B278" s="17" t="s">
        <v>414</v>
      </c>
      <c r="C278" s="17">
        <v>2022006470</v>
      </c>
      <c r="D278" s="17">
        <v>2201010281</v>
      </c>
      <c r="E278" s="17" t="s">
        <v>1806</v>
      </c>
      <c r="F278" s="17" t="e">
        <f>VLOOKUP('2501_MIS '!C278,'[1]Fast Track '!B:K,10,FALSE)</f>
        <v>#N/A</v>
      </c>
      <c r="G278" s="17" t="str">
        <f>VLOOKUP(C278,[2]Sheet7!A:D,4,FALSE)</f>
        <v>Promoted</v>
      </c>
      <c r="H278" s="45" t="s">
        <v>3645</v>
      </c>
      <c r="I278" s="26" t="s">
        <v>3654</v>
      </c>
      <c r="J278" s="17" t="s">
        <v>415</v>
      </c>
      <c r="K278" s="17" t="str">
        <f>VLOOKUP(C278,[3]Sheet1!D:J,6,FALSE)</f>
        <v>2022006470.jaiprakash@pt.sharda.ac.in</v>
      </c>
      <c r="L278" s="17" t="str">
        <f>VLOOKUP(D278,[3]Sheet1!E:K,6,FALSE)</f>
        <v>9263230458</v>
      </c>
      <c r="M278" s="17" t="str">
        <f>VLOOKUP(E278,[3]Sheet1!F:L,6,FALSE)</f>
        <v>Computer Science</v>
      </c>
      <c r="O278" t="e">
        <f>VLOOKUP(C278,#REF!,12,FALSE)</f>
        <v>#REF!</v>
      </c>
    </row>
    <row r="279" spans="1:15">
      <c r="A279" s="17">
        <v>278</v>
      </c>
      <c r="B279" s="17" t="s">
        <v>410</v>
      </c>
      <c r="C279" s="17">
        <v>2022005495</v>
      </c>
      <c r="D279" s="17">
        <v>2201010329</v>
      </c>
      <c r="E279" s="17" t="s">
        <v>1806</v>
      </c>
      <c r="F279" s="17" t="e">
        <f>VLOOKUP('2501_MIS '!C279,'[1]Fast Track '!B:K,10,FALSE)</f>
        <v>#N/A</v>
      </c>
      <c r="G279" s="17" t="str">
        <f>VLOOKUP(C279,[2]Sheet7!A:D,4,FALSE)</f>
        <v>Promoted</v>
      </c>
      <c r="H279" s="45" t="s">
        <v>3645</v>
      </c>
      <c r="I279" s="26" t="s">
        <v>3654</v>
      </c>
      <c r="J279" s="17" t="s">
        <v>411</v>
      </c>
      <c r="K279" s="17" t="str">
        <f>VLOOKUP(C279,[3]Sheet1!D:J,6,FALSE)</f>
        <v>2022005495.pradeep@pt.sharda.ac.in</v>
      </c>
      <c r="L279" s="17" t="str">
        <f>VLOOKUP(D279,[3]Sheet1!E:K,6,FALSE)</f>
        <v>8826755885</v>
      </c>
      <c r="M279" s="17" t="str">
        <f>VLOOKUP(E279,[3]Sheet1!F:L,6,FALSE)</f>
        <v>Computer Science</v>
      </c>
      <c r="O279" t="e">
        <f>VLOOKUP(C279,#REF!,12,FALSE)</f>
        <v>#REF!</v>
      </c>
    </row>
    <row r="280" spans="1:15">
      <c r="A280" s="17">
        <v>279</v>
      </c>
      <c r="B280" s="17" t="s">
        <v>513</v>
      </c>
      <c r="C280" s="17">
        <v>2022395723</v>
      </c>
      <c r="D280" s="17">
        <v>2201010346</v>
      </c>
      <c r="E280" s="17" t="s">
        <v>1806</v>
      </c>
      <c r="F280" s="17" t="e">
        <f>VLOOKUP('2501_MIS '!C280,'[1]Fast Track '!B:K,10,FALSE)</f>
        <v>#N/A</v>
      </c>
      <c r="G280" s="17" t="str">
        <f>VLOOKUP(C280,[2]Sheet7!A:D,4,FALSE)</f>
        <v>Promoted</v>
      </c>
      <c r="H280" s="45" t="s">
        <v>3645</v>
      </c>
      <c r="I280" s="26" t="s">
        <v>3654</v>
      </c>
      <c r="J280" s="17" t="s">
        <v>514</v>
      </c>
      <c r="K280" s="17" t="str">
        <f>VLOOKUP(C280,[3]Sheet1!D:J,6,FALSE)</f>
        <v>2022395723.neeraj@pt.sharda.ac.in</v>
      </c>
      <c r="L280" s="17" t="str">
        <f>VLOOKUP(D280,[3]Sheet1!E:K,6,FALSE)</f>
        <v>9873045302</v>
      </c>
      <c r="M280" s="17" t="str">
        <f>VLOOKUP(E280,[3]Sheet1!F:L,6,FALSE)</f>
        <v>Computer Science</v>
      </c>
      <c r="O280" t="e">
        <f>VLOOKUP(C280,#REF!,12,FALSE)</f>
        <v>#REF!</v>
      </c>
    </row>
    <row r="281" spans="1:15">
      <c r="A281" s="17">
        <v>280</v>
      </c>
      <c r="B281" s="17" t="s">
        <v>511</v>
      </c>
      <c r="C281" s="17">
        <v>2022369814</v>
      </c>
      <c r="D281" s="17">
        <v>2201010367</v>
      </c>
      <c r="E281" s="17" t="s">
        <v>1806</v>
      </c>
      <c r="F281" s="17" t="e">
        <f>VLOOKUP('2501_MIS '!C281,'[1]Fast Track '!B:K,10,FALSE)</f>
        <v>#N/A</v>
      </c>
      <c r="G281" s="17" t="str">
        <f>VLOOKUP(C281,[2]Sheet7!A:D,4,FALSE)</f>
        <v>Promoted</v>
      </c>
      <c r="H281" s="45" t="s">
        <v>3645</v>
      </c>
      <c r="I281" s="26" t="s">
        <v>3654</v>
      </c>
      <c r="J281" s="17" t="s">
        <v>512</v>
      </c>
      <c r="K281" s="17" t="str">
        <f>VLOOKUP(C281,[3]Sheet1!D:J,6,FALSE)</f>
        <v>2022369814.jai@pt.sharda.ac.in</v>
      </c>
      <c r="L281" s="17" t="str">
        <f>VLOOKUP(D281,[3]Sheet1!E:K,6,FALSE)</f>
        <v>8923735824</v>
      </c>
      <c r="M281" s="17" t="str">
        <f>VLOOKUP(E281,[3]Sheet1!F:L,6,FALSE)</f>
        <v>Computer Science</v>
      </c>
      <c r="O281" t="e">
        <f>VLOOKUP(C281,#REF!,12,FALSE)</f>
        <v>#REF!</v>
      </c>
    </row>
    <row r="282" spans="1:15">
      <c r="A282" s="17">
        <v>281</v>
      </c>
      <c r="B282" s="17" t="s">
        <v>424</v>
      </c>
      <c r="C282" s="17">
        <v>2022366848</v>
      </c>
      <c r="D282" s="17">
        <v>2201010414</v>
      </c>
      <c r="E282" s="17" t="s">
        <v>1806</v>
      </c>
      <c r="F282" s="17" t="e">
        <f>VLOOKUP('2501_MIS '!C282,'[1]Fast Track '!B:K,10,FALSE)</f>
        <v>#N/A</v>
      </c>
      <c r="G282" s="17" t="str">
        <f>VLOOKUP(C282,[2]Sheet7!A:D,4,FALSE)</f>
        <v>Promoted</v>
      </c>
      <c r="H282" s="45" t="s">
        <v>3645</v>
      </c>
      <c r="I282" s="26" t="s">
        <v>3654</v>
      </c>
      <c r="J282" s="17" t="s">
        <v>425</v>
      </c>
      <c r="K282" s="17" t="str">
        <f>VLOOKUP(C282,[3]Sheet1!D:J,6,FALSE)</f>
        <v>2022366848.mohammad@pt.sharda.ac.in</v>
      </c>
      <c r="L282" s="17" t="str">
        <f>VLOOKUP(D282,[3]Sheet1!E:K,6,FALSE)</f>
        <v>7505115911</v>
      </c>
      <c r="M282" s="17" t="str">
        <f>VLOOKUP(E282,[3]Sheet1!F:L,6,FALSE)</f>
        <v>Computer Science</v>
      </c>
      <c r="O282" t="e">
        <f>VLOOKUP(C282,#REF!,12,FALSE)</f>
        <v>#REF!</v>
      </c>
    </row>
    <row r="283" spans="1:15">
      <c r="A283" s="17">
        <v>282</v>
      </c>
      <c r="B283" s="17" t="s">
        <v>507</v>
      </c>
      <c r="C283" s="17">
        <v>2022808929</v>
      </c>
      <c r="D283" s="17">
        <v>2201010445</v>
      </c>
      <c r="E283" s="17" t="s">
        <v>1806</v>
      </c>
      <c r="F283" s="17" t="e">
        <f>VLOOKUP('2501_MIS '!C283,'[1]Fast Track '!B:K,10,FALSE)</f>
        <v>#N/A</v>
      </c>
      <c r="G283" s="17" t="str">
        <f>VLOOKUP(C283,[2]Sheet7!A:D,4,FALSE)</f>
        <v>Promoted</v>
      </c>
      <c r="H283" s="45" t="s">
        <v>3645</v>
      </c>
      <c r="I283" s="26" t="s">
        <v>3654</v>
      </c>
      <c r="J283" s="17" t="s">
        <v>508</v>
      </c>
      <c r="K283" s="17" t="str">
        <f>VLOOKUP(C283,[3]Sheet1!D:J,6,FALSE)</f>
        <v>2022808929.sanjeetkumar@pt.sharda.ac.in</v>
      </c>
      <c r="L283" s="17" t="str">
        <f>VLOOKUP(D283,[3]Sheet1!E:K,6,FALSE)</f>
        <v>9812369000</v>
      </c>
      <c r="M283" s="17" t="str">
        <f>VLOOKUP(E283,[3]Sheet1!F:L,6,FALSE)</f>
        <v>Computer Science</v>
      </c>
      <c r="O283" t="e">
        <f>VLOOKUP(C283,#REF!,12,FALSE)</f>
        <v>#REF!</v>
      </c>
    </row>
    <row r="284" spans="1:15">
      <c r="A284" s="17">
        <v>283</v>
      </c>
      <c r="B284" s="17" t="s">
        <v>442</v>
      </c>
      <c r="C284" s="17">
        <v>2022443216</v>
      </c>
      <c r="D284" s="17">
        <v>2201010545</v>
      </c>
      <c r="E284" s="17" t="s">
        <v>1806</v>
      </c>
      <c r="F284" s="17" t="e">
        <f>VLOOKUP('2501_MIS '!C284,'[1]Fast Track '!B:K,10,FALSE)</f>
        <v>#N/A</v>
      </c>
      <c r="G284" s="17" t="str">
        <f>VLOOKUP(C284,[2]Sheet7!A:D,4,FALSE)</f>
        <v>Promoted</v>
      </c>
      <c r="H284" s="45" t="s">
        <v>3645</v>
      </c>
      <c r="I284" s="26" t="s">
        <v>3654</v>
      </c>
      <c r="J284" s="17" t="s">
        <v>443</v>
      </c>
      <c r="K284" s="17" t="str">
        <f>VLOOKUP(C284,[3]Sheet1!D:J,6,FALSE)</f>
        <v>2022443216.ajit@pt.sharda.ac.in</v>
      </c>
      <c r="L284" s="17" t="str">
        <f>VLOOKUP(D284,[3]Sheet1!E:K,6,FALSE)</f>
        <v>8252780783</v>
      </c>
      <c r="M284" s="17" t="str">
        <f>VLOOKUP(E284,[3]Sheet1!F:L,6,FALSE)</f>
        <v>Computer Science</v>
      </c>
      <c r="O284" t="e">
        <f>VLOOKUP(C284,#REF!,12,FALSE)</f>
        <v>#REF!</v>
      </c>
    </row>
    <row r="285" spans="1:15">
      <c r="A285" s="17">
        <v>284</v>
      </c>
      <c r="B285" s="17" t="s">
        <v>420</v>
      </c>
      <c r="C285" s="17">
        <v>2022312023</v>
      </c>
      <c r="D285" s="17">
        <v>2201010569</v>
      </c>
      <c r="E285" s="17" t="s">
        <v>1806</v>
      </c>
      <c r="F285" s="17" t="e">
        <f>VLOOKUP('2501_MIS '!C285,'[1]Fast Track '!B:K,10,FALSE)</f>
        <v>#N/A</v>
      </c>
      <c r="G285" s="17" t="str">
        <f>VLOOKUP(C285,[2]Sheet7!A:D,4,FALSE)</f>
        <v>Promoted</v>
      </c>
      <c r="H285" s="45" t="s">
        <v>3645</v>
      </c>
      <c r="I285" s="26" t="s">
        <v>3654</v>
      </c>
      <c r="J285" s="17" t="s">
        <v>421</v>
      </c>
      <c r="K285" s="17" t="str">
        <f>VLOOKUP(C285,[3]Sheet1!D:J,6,FALSE)</f>
        <v>2022312023.ramesh@pt.sharda.ac.in</v>
      </c>
      <c r="L285" s="17" t="str">
        <f>VLOOKUP(D285,[3]Sheet1!E:K,6,FALSE)</f>
        <v>8955060862</v>
      </c>
      <c r="M285" s="17" t="str">
        <f>VLOOKUP(E285,[3]Sheet1!F:L,6,FALSE)</f>
        <v>Computer Science</v>
      </c>
      <c r="O285" t="e">
        <f>VLOOKUP(C285,#REF!,12,FALSE)</f>
        <v>#REF!</v>
      </c>
    </row>
    <row r="286" spans="1:15">
      <c r="A286" s="17">
        <v>285</v>
      </c>
      <c r="B286" s="17" t="s">
        <v>428</v>
      </c>
      <c r="C286" s="17">
        <v>2022404040</v>
      </c>
      <c r="D286" s="17">
        <v>2201010583</v>
      </c>
      <c r="E286" s="17" t="s">
        <v>1806</v>
      </c>
      <c r="F286" s="17" t="e">
        <f>VLOOKUP('2501_MIS '!C286,'[1]Fast Track '!B:K,10,FALSE)</f>
        <v>#N/A</v>
      </c>
      <c r="G286" s="17" t="str">
        <f>VLOOKUP(C286,[2]Sheet7!A:D,4,FALSE)</f>
        <v>Promoted</v>
      </c>
      <c r="H286" s="45" t="s">
        <v>3645</v>
      </c>
      <c r="I286" s="26" t="s">
        <v>3654</v>
      </c>
      <c r="J286" s="17" t="s">
        <v>429</v>
      </c>
      <c r="K286" s="17" t="str">
        <f>VLOOKUP(C286,[3]Sheet1!D:J,6,FALSE)</f>
        <v>2022404040.jitendra@pt.sharda.ac.in</v>
      </c>
      <c r="L286" s="17" t="str">
        <f>VLOOKUP(D286,[3]Sheet1!E:K,6,FALSE)</f>
        <v>9368171807</v>
      </c>
      <c r="M286" s="17" t="str">
        <f>VLOOKUP(E286,[3]Sheet1!F:L,6,FALSE)</f>
        <v>Computer Science</v>
      </c>
      <c r="O286" t="e">
        <f>VLOOKUP(C286,#REF!,12,FALSE)</f>
        <v>#REF!</v>
      </c>
    </row>
    <row r="287" spans="1:15">
      <c r="A287" s="17">
        <v>286</v>
      </c>
      <c r="B287" s="17" t="s">
        <v>394</v>
      </c>
      <c r="C287" s="17">
        <v>2022001775</v>
      </c>
      <c r="D287" s="17">
        <v>2201010641</v>
      </c>
      <c r="E287" s="17" t="s">
        <v>1806</v>
      </c>
      <c r="F287" s="17" t="e">
        <f>VLOOKUP('2501_MIS '!C287,'[1]Fast Track '!B:K,10,FALSE)</f>
        <v>#N/A</v>
      </c>
      <c r="G287" s="17" t="str">
        <f>VLOOKUP(C287,[2]Sheet7!A:D,4,FALSE)</f>
        <v>Promoted</v>
      </c>
      <c r="H287" s="45" t="s">
        <v>3645</v>
      </c>
      <c r="I287" s="26" t="s">
        <v>3654</v>
      </c>
      <c r="J287" s="17" t="s">
        <v>395</v>
      </c>
      <c r="K287" s="17" t="str">
        <f>VLOOKUP(C287,[3]Sheet1!D:J,6,FALSE)</f>
        <v>2022001775.samarjeet@pt.sharda.ac.in</v>
      </c>
      <c r="L287" s="17" t="str">
        <f>VLOOKUP(D287,[3]Sheet1!E:K,6,FALSE)</f>
        <v>8292258424</v>
      </c>
      <c r="M287" s="17" t="str">
        <f>VLOOKUP(E287,[3]Sheet1!F:L,6,FALSE)</f>
        <v>Computer Science</v>
      </c>
      <c r="O287" t="e">
        <f>VLOOKUP(C287,#REF!,12,FALSE)</f>
        <v>#REF!</v>
      </c>
    </row>
    <row r="288" spans="1:15">
      <c r="A288" s="17">
        <v>287</v>
      </c>
      <c r="B288" s="17" t="s">
        <v>458</v>
      </c>
      <c r="C288" s="17">
        <v>2022475752</v>
      </c>
      <c r="D288" s="17">
        <v>2201010645</v>
      </c>
      <c r="E288" s="17" t="s">
        <v>1806</v>
      </c>
      <c r="F288" s="17" t="e">
        <f>VLOOKUP('2501_MIS '!C288,'[1]Fast Track '!B:K,10,FALSE)</f>
        <v>#N/A</v>
      </c>
      <c r="G288" s="17" t="str">
        <f>VLOOKUP(C288,[2]Sheet7!A:D,4,FALSE)</f>
        <v>Promoted</v>
      </c>
      <c r="H288" s="45" t="s">
        <v>3645</v>
      </c>
      <c r="I288" s="26" t="s">
        <v>3654</v>
      </c>
      <c r="J288" s="17" t="s">
        <v>459</v>
      </c>
      <c r="K288" s="17" t="str">
        <f>VLOOKUP(C288,[3]Sheet1!D:J,6,FALSE)</f>
        <v>2022475752.vijendra@pt.sharda.ac.in</v>
      </c>
      <c r="L288" s="17" t="str">
        <f>VLOOKUP(D288,[3]Sheet1!E:K,6,FALSE)</f>
        <v>9413593360</v>
      </c>
      <c r="M288" s="17" t="str">
        <f>VLOOKUP(E288,[3]Sheet1!F:L,6,FALSE)</f>
        <v>Computer Science</v>
      </c>
      <c r="O288" t="e">
        <f>VLOOKUP(C288,#REF!,12,FALSE)</f>
        <v>#REF!</v>
      </c>
    </row>
    <row r="289" spans="1:15">
      <c r="A289" s="17">
        <v>288</v>
      </c>
      <c r="B289" s="17" t="s">
        <v>412</v>
      </c>
      <c r="C289" s="17">
        <v>2022005800</v>
      </c>
      <c r="D289" s="17">
        <v>2201010740</v>
      </c>
      <c r="E289" s="17" t="s">
        <v>1806</v>
      </c>
      <c r="F289" s="17" t="e">
        <f>VLOOKUP('2501_MIS '!C289,'[1]Fast Track '!B:K,10,FALSE)</f>
        <v>#N/A</v>
      </c>
      <c r="G289" s="17" t="str">
        <f>VLOOKUP(C289,[2]Sheet7!A:D,4,FALSE)</f>
        <v>Promoted</v>
      </c>
      <c r="H289" s="45" t="s">
        <v>3645</v>
      </c>
      <c r="I289" s="26" t="s">
        <v>3654</v>
      </c>
      <c r="J289" s="17" t="s">
        <v>413</v>
      </c>
      <c r="K289" s="17" t="str">
        <f>VLOOKUP(C289,[3]Sheet1!D:J,6,FALSE)</f>
        <v>2022005800.bijendrak@pt.sharda.ac.in</v>
      </c>
      <c r="L289" s="17" t="str">
        <f>VLOOKUP(D289,[3]Sheet1!E:K,6,FALSE)</f>
        <v>8527273409</v>
      </c>
      <c r="M289" s="17" t="str">
        <f>VLOOKUP(E289,[3]Sheet1!F:L,6,FALSE)</f>
        <v>Computer Science</v>
      </c>
      <c r="O289" t="e">
        <f>VLOOKUP(C289,#REF!,12,FALSE)</f>
        <v>#REF!</v>
      </c>
    </row>
    <row r="290" spans="1:15">
      <c r="A290" s="17">
        <v>289</v>
      </c>
      <c r="B290" s="17" t="s">
        <v>396</v>
      </c>
      <c r="C290" s="17">
        <v>2022003238</v>
      </c>
      <c r="D290" s="17">
        <v>2201010817</v>
      </c>
      <c r="E290" s="17" t="s">
        <v>1806</v>
      </c>
      <c r="F290" s="17" t="e">
        <f>VLOOKUP('2501_MIS '!C290,'[1]Fast Track '!B:K,10,FALSE)</f>
        <v>#N/A</v>
      </c>
      <c r="G290" s="17" t="str">
        <f>VLOOKUP(C290,[2]Sheet7!A:D,4,FALSE)</f>
        <v>Promoted</v>
      </c>
      <c r="H290" s="45" t="s">
        <v>3645</v>
      </c>
      <c r="I290" s="26" t="s">
        <v>3654</v>
      </c>
      <c r="J290" s="17" t="s">
        <v>397</v>
      </c>
      <c r="K290" s="17" t="str">
        <f>VLOOKUP(C290,[3]Sheet1!D:J,6,FALSE)</f>
        <v>2022003238.omkar@pt.sharda.ac.in</v>
      </c>
      <c r="L290" s="17" t="str">
        <f>VLOOKUP(D290,[3]Sheet1!E:K,6,FALSE)</f>
        <v>9540302937</v>
      </c>
      <c r="M290" s="17" t="str">
        <f>VLOOKUP(E290,[3]Sheet1!F:L,6,FALSE)</f>
        <v>Computer Science</v>
      </c>
      <c r="O290" t="e">
        <f>VLOOKUP(C290,#REF!,12,FALSE)</f>
        <v>#REF!</v>
      </c>
    </row>
    <row r="291" spans="1:15">
      <c r="A291" s="17">
        <v>290</v>
      </c>
      <c r="B291" s="17" t="s">
        <v>524</v>
      </c>
      <c r="C291" s="17">
        <v>2022007029</v>
      </c>
      <c r="D291" s="17">
        <v>2201010009</v>
      </c>
      <c r="E291" s="17" t="s">
        <v>1806</v>
      </c>
      <c r="F291" s="17" t="e">
        <f>VLOOKUP('2501_MIS '!C291,'[1]Fast Track '!B:K,10,FALSE)</f>
        <v>#N/A</v>
      </c>
      <c r="G291" s="17" t="str">
        <f>VLOOKUP(C291,[2]Sheet7!A:D,4,FALSE)</f>
        <v>Promoted</v>
      </c>
      <c r="H291" s="45" t="s">
        <v>3644</v>
      </c>
      <c r="I291" s="26" t="s">
        <v>3655</v>
      </c>
      <c r="J291" s="17" t="s">
        <v>525</v>
      </c>
      <c r="K291" s="17" t="str">
        <f>VLOOKUP(C291,[3]Sheet1!D:J,6,FALSE)</f>
        <v>2022007029.ashok@pt.sharda.ac.in</v>
      </c>
      <c r="L291" s="17" t="str">
        <f>VLOOKUP(D291,[3]Sheet1!E:K,6,FALSE)</f>
        <v>7065582311</v>
      </c>
      <c r="M291" s="17" t="str">
        <f>VLOOKUP(E291,[3]Sheet1!F:L,6,FALSE)</f>
        <v>Computer Science</v>
      </c>
      <c r="O291" t="e">
        <f>VLOOKUP(C291,#REF!,12,FALSE)</f>
        <v>#REF!</v>
      </c>
    </row>
    <row r="292" spans="1:15">
      <c r="A292" s="17">
        <v>291</v>
      </c>
      <c r="B292" s="17" t="s">
        <v>581</v>
      </c>
      <c r="C292" s="17">
        <v>2022438394</v>
      </c>
      <c r="D292" s="17">
        <v>2201010012</v>
      </c>
      <c r="E292" s="17" t="s">
        <v>1806</v>
      </c>
      <c r="F292" s="17" t="e">
        <f>VLOOKUP('2501_MIS '!C292,'[1]Fast Track '!B:K,10,FALSE)</f>
        <v>#N/A</v>
      </c>
      <c r="G292" s="17" t="str">
        <f>VLOOKUP(C292,[2]Sheet7!A:D,4,FALSE)</f>
        <v>Promoted</v>
      </c>
      <c r="H292" s="45" t="s">
        <v>3644</v>
      </c>
      <c r="I292" s="26" t="s">
        <v>3655</v>
      </c>
      <c r="J292" s="17" t="s">
        <v>582</v>
      </c>
      <c r="K292" s="17" t="str">
        <f>VLOOKUP(C292,[3]Sheet1!D:J,6,FALSE)</f>
        <v>2022438394.mdnoor@pt.sharda.ac.in</v>
      </c>
      <c r="L292" s="17" t="str">
        <f>VLOOKUP(D292,[3]Sheet1!E:K,6,FALSE)</f>
        <v>6206046943</v>
      </c>
      <c r="M292" s="17" t="str">
        <f>VLOOKUP(E292,[3]Sheet1!F:L,6,FALSE)</f>
        <v>Computer Science</v>
      </c>
      <c r="O292" t="e">
        <f>VLOOKUP(C292,#REF!,12,FALSE)</f>
        <v>#REF!</v>
      </c>
    </row>
    <row r="293" spans="1:15">
      <c r="A293" s="17">
        <v>292</v>
      </c>
      <c r="B293" s="17" t="s">
        <v>604</v>
      </c>
      <c r="C293" s="17">
        <v>2022508678</v>
      </c>
      <c r="D293" s="17">
        <v>2201010116</v>
      </c>
      <c r="E293" s="17" t="s">
        <v>1806</v>
      </c>
      <c r="F293" s="17" t="e">
        <f>VLOOKUP('2501_MIS '!C293,'[1]Fast Track '!B:K,10,FALSE)</f>
        <v>#N/A</v>
      </c>
      <c r="G293" s="17" t="str">
        <f>VLOOKUP(C293,[2]Sheet7!A:D,4,FALSE)</f>
        <v>Promoted</v>
      </c>
      <c r="H293" s="45" t="s">
        <v>3644</v>
      </c>
      <c r="I293" s="26" t="s">
        <v>3655</v>
      </c>
      <c r="J293" s="17" t="s">
        <v>605</v>
      </c>
      <c r="K293" s="17" t="str">
        <f>VLOOKUP(C293,[3]Sheet1!D:J,6,FALSE)</f>
        <v>2022508678.ajay@pt.sharda.ac.in</v>
      </c>
      <c r="L293" s="17" t="str">
        <f>VLOOKUP(D293,[3]Sheet1!E:K,6,FALSE)</f>
        <v>8859093114</v>
      </c>
      <c r="M293" s="17" t="str">
        <f>VLOOKUP(E293,[3]Sheet1!F:L,6,FALSE)</f>
        <v>Computer Science</v>
      </c>
      <c r="O293" t="e">
        <f>VLOOKUP(C293,#REF!,12,FALSE)</f>
        <v>#REF!</v>
      </c>
    </row>
    <row r="294" spans="1:15">
      <c r="A294" s="17">
        <v>293</v>
      </c>
      <c r="B294" s="17" t="s">
        <v>563</v>
      </c>
      <c r="C294" s="17">
        <v>2022345566</v>
      </c>
      <c r="D294" s="17">
        <v>2201010189</v>
      </c>
      <c r="E294" s="17" t="s">
        <v>1806</v>
      </c>
      <c r="F294" s="17" t="e">
        <f>VLOOKUP('2501_MIS '!C294,'[1]Fast Track '!B:K,10,FALSE)</f>
        <v>#N/A</v>
      </c>
      <c r="G294" s="17" t="str">
        <f>VLOOKUP(C294,[2]Sheet7!A:D,4,FALSE)</f>
        <v>Promoted</v>
      </c>
      <c r="H294" s="45" t="s">
        <v>3644</v>
      </c>
      <c r="I294" s="26" t="s">
        <v>3655</v>
      </c>
      <c r="J294" s="17" t="s">
        <v>564</v>
      </c>
      <c r="K294" s="17" t="str">
        <f>VLOOKUP(C294,[3]Sheet1!D:J,6,FALSE)</f>
        <v>2022345566.santar@pt.sharda.ac.in</v>
      </c>
      <c r="L294" s="17" t="str">
        <f>VLOOKUP(D294,[3]Sheet1!E:K,6,FALSE)</f>
        <v>7983655180</v>
      </c>
      <c r="M294" s="17" t="str">
        <f>VLOOKUP(E294,[3]Sheet1!F:L,6,FALSE)</f>
        <v>Computer Science</v>
      </c>
      <c r="O294" t="e">
        <f>VLOOKUP(C294,#REF!,12,FALSE)</f>
        <v>#REF!</v>
      </c>
    </row>
    <row r="295" spans="1:15">
      <c r="A295" s="17">
        <v>294</v>
      </c>
      <c r="B295" s="17" t="s">
        <v>643</v>
      </c>
      <c r="C295" s="17">
        <v>2022006402</v>
      </c>
      <c r="D295" s="17">
        <v>2201010229</v>
      </c>
      <c r="E295" s="17" t="s">
        <v>1806</v>
      </c>
      <c r="F295" s="17" t="e">
        <f>VLOOKUP('2501_MIS '!C295,'[1]Fast Track '!B:K,10,FALSE)</f>
        <v>#N/A</v>
      </c>
      <c r="G295" s="17" t="str">
        <f>VLOOKUP(C295,[2]Sheet7!A:D,4,FALSE)</f>
        <v>Promoted</v>
      </c>
      <c r="H295" s="45" t="s">
        <v>3644</v>
      </c>
      <c r="I295" s="26" t="s">
        <v>3655</v>
      </c>
      <c r="J295" s="17" t="s">
        <v>644</v>
      </c>
      <c r="K295" s="17" t="str">
        <f>VLOOKUP(C295,[3]Sheet1!D:J,6,FALSE)</f>
        <v>2022006402.jaisingh@pt.sharda.ac.in</v>
      </c>
      <c r="L295" s="17" t="str">
        <f>VLOOKUP(D295,[3]Sheet1!E:K,6,FALSE)</f>
        <v>8368408465</v>
      </c>
      <c r="M295" s="17" t="str">
        <f>VLOOKUP(E295,[3]Sheet1!F:L,6,FALSE)</f>
        <v>Computer Science</v>
      </c>
      <c r="O295" t="e">
        <f>VLOOKUP(C295,#REF!,12,FALSE)</f>
        <v>#REF!</v>
      </c>
    </row>
    <row r="296" spans="1:15">
      <c r="A296" s="17">
        <v>295</v>
      </c>
      <c r="B296" s="17" t="s">
        <v>557</v>
      </c>
      <c r="C296" s="17">
        <v>2022307961</v>
      </c>
      <c r="D296" s="17">
        <v>2201010238</v>
      </c>
      <c r="E296" s="17" t="s">
        <v>1806</v>
      </c>
      <c r="F296" s="17" t="e">
        <f>VLOOKUP('2501_MIS '!C296,'[1]Fast Track '!B:K,10,FALSE)</f>
        <v>#N/A</v>
      </c>
      <c r="G296" s="17" t="str">
        <f>VLOOKUP(C296,[2]Sheet7!A:D,4,FALSE)</f>
        <v>Promoted</v>
      </c>
      <c r="H296" s="45" t="s">
        <v>3644</v>
      </c>
      <c r="I296" s="26" t="s">
        <v>3655</v>
      </c>
      <c r="J296" s="17" t="s">
        <v>558</v>
      </c>
      <c r="K296" s="17" t="str">
        <f>VLOOKUP(C296,[3]Sheet1!D:J,6,FALSE)</f>
        <v>2022307961.alfaz@pt.sharda.ac.in</v>
      </c>
      <c r="L296" s="17" t="str">
        <f>VLOOKUP(D296,[3]Sheet1!E:K,6,FALSE)</f>
        <v>7015668319</v>
      </c>
      <c r="M296" s="17" t="str">
        <f>VLOOKUP(E296,[3]Sheet1!F:L,6,FALSE)</f>
        <v>Computer Science</v>
      </c>
      <c r="O296" t="e">
        <f>VLOOKUP(C296,#REF!,12,FALSE)</f>
        <v>#REF!</v>
      </c>
    </row>
    <row r="297" spans="1:15">
      <c r="A297" s="17">
        <v>296</v>
      </c>
      <c r="B297" s="17" t="s">
        <v>551</v>
      </c>
      <c r="C297" s="17">
        <v>2022006272</v>
      </c>
      <c r="D297" s="17">
        <v>2201010269</v>
      </c>
      <c r="E297" s="17" t="s">
        <v>1806</v>
      </c>
      <c r="F297" s="17" t="e">
        <f>VLOOKUP('2501_MIS '!C297,'[1]Fast Track '!B:K,10,FALSE)</f>
        <v>#N/A</v>
      </c>
      <c r="G297" s="17" t="str">
        <f>VLOOKUP(C297,[2]Sheet7!A:D,4,FALSE)</f>
        <v>Promoted</v>
      </c>
      <c r="H297" s="45" t="s">
        <v>3644</v>
      </c>
      <c r="I297" s="26" t="s">
        <v>3655</v>
      </c>
      <c r="J297" s="17" t="s">
        <v>552</v>
      </c>
      <c r="K297" s="17" t="str">
        <f>VLOOKUP(C297,[3]Sheet1!D:J,6,FALSE)</f>
        <v>2022006272.nilmany@pt.sharda.ac.in</v>
      </c>
      <c r="L297" s="17" t="str">
        <f>VLOOKUP(D297,[3]Sheet1!E:K,6,FALSE)</f>
        <v>6203386550</v>
      </c>
      <c r="M297" s="17" t="str">
        <f>VLOOKUP(E297,[3]Sheet1!F:L,6,FALSE)</f>
        <v>Computer Science</v>
      </c>
      <c r="O297" t="e">
        <f>VLOOKUP(C297,#REF!,12,FALSE)</f>
        <v>#REF!</v>
      </c>
    </row>
    <row r="298" spans="1:15">
      <c r="A298" s="17">
        <v>297</v>
      </c>
      <c r="B298" s="17" t="s">
        <v>614</v>
      </c>
      <c r="C298" s="17">
        <v>2022521021</v>
      </c>
      <c r="D298" s="17">
        <v>2201010323</v>
      </c>
      <c r="E298" s="17" t="s">
        <v>1806</v>
      </c>
      <c r="F298" s="17" t="e">
        <f>VLOOKUP('2501_MIS '!C298,'[1]Fast Track '!B:K,10,FALSE)</f>
        <v>#N/A</v>
      </c>
      <c r="G298" s="17" t="str">
        <f>VLOOKUP(C298,[2]Sheet7!A:D,4,FALSE)</f>
        <v>Promoted</v>
      </c>
      <c r="H298" s="45" t="s">
        <v>3644</v>
      </c>
      <c r="I298" s="26" t="s">
        <v>3655</v>
      </c>
      <c r="J298" s="17" t="s">
        <v>615</v>
      </c>
      <c r="K298" s="17" t="str">
        <f>VLOOKUP(C298,[3]Sheet1!D:J,6,FALSE)</f>
        <v>2022521021.ranjankumar@pt.sharda.ac.in</v>
      </c>
      <c r="L298" s="17" t="str">
        <f>VLOOKUP(D298,[3]Sheet1!E:K,6,FALSE)</f>
        <v>7980476255</v>
      </c>
      <c r="M298" s="17" t="str">
        <f>VLOOKUP(E298,[3]Sheet1!F:L,6,FALSE)</f>
        <v>Computer Science</v>
      </c>
      <c r="O298" t="e">
        <f>VLOOKUP(C298,#REF!,12,FALSE)</f>
        <v>#REF!</v>
      </c>
    </row>
    <row r="299" spans="1:15">
      <c r="A299" s="17">
        <v>298</v>
      </c>
      <c r="B299" s="17" t="s">
        <v>547</v>
      </c>
      <c r="C299" s="17">
        <v>2022006140</v>
      </c>
      <c r="D299" s="17">
        <v>2201010331</v>
      </c>
      <c r="E299" s="17" t="s">
        <v>1806</v>
      </c>
      <c r="F299" s="17" t="e">
        <f>VLOOKUP('2501_MIS '!C299,'[1]Fast Track '!B:K,10,FALSE)</f>
        <v>#N/A</v>
      </c>
      <c r="G299" s="17" t="str">
        <f>VLOOKUP(C299,[2]Sheet7!A:D,4,FALSE)</f>
        <v>Promoted</v>
      </c>
      <c r="H299" s="45" t="s">
        <v>3644</v>
      </c>
      <c r="I299" s="26" t="s">
        <v>3655</v>
      </c>
      <c r="J299" s="17" t="s">
        <v>548</v>
      </c>
      <c r="K299" s="17" t="str">
        <f>VLOOKUP(C299,[3]Sheet1!D:J,6,FALSE)</f>
        <v>2022006140.narveshkumar@pt.sharda.ac.in</v>
      </c>
      <c r="L299" s="17" t="str">
        <f>VLOOKUP(D299,[3]Sheet1!E:K,6,FALSE)</f>
        <v>6397191413</v>
      </c>
      <c r="M299" s="17" t="str">
        <f>VLOOKUP(E299,[3]Sheet1!F:L,6,FALSE)</f>
        <v>Computer Science</v>
      </c>
      <c r="O299" t="e">
        <f>VLOOKUP(C299,#REF!,12,FALSE)</f>
        <v>#REF!</v>
      </c>
    </row>
    <row r="300" spans="1:15">
      <c r="A300" s="17">
        <v>299</v>
      </c>
      <c r="B300" s="17" t="s">
        <v>442</v>
      </c>
      <c r="C300" s="17">
        <v>2022459779</v>
      </c>
      <c r="D300" s="17">
        <v>2201010546</v>
      </c>
      <c r="E300" s="17" t="s">
        <v>1806</v>
      </c>
      <c r="F300" s="17" t="e">
        <f>VLOOKUP('2501_MIS '!C300,'[1]Fast Track '!B:K,10,FALSE)</f>
        <v>#N/A</v>
      </c>
      <c r="G300" s="17" t="str">
        <f>VLOOKUP(C300,[2]Sheet7!A:D,4,FALSE)</f>
        <v>Promoted</v>
      </c>
      <c r="H300" s="45" t="s">
        <v>3644</v>
      </c>
      <c r="I300" s="26" t="s">
        <v>3655</v>
      </c>
      <c r="J300" s="17" t="s">
        <v>585</v>
      </c>
      <c r="K300" s="17" t="str">
        <f>VLOOKUP(C300,[3]Sheet1!D:J,6,FALSE)</f>
        <v>2022459779.arjun@pt.sharda.ac.in</v>
      </c>
      <c r="L300" s="17" t="str">
        <f>VLOOKUP(D300,[3]Sheet1!E:K,6,FALSE)</f>
        <v>9905741967</v>
      </c>
      <c r="M300" s="17" t="str">
        <f>VLOOKUP(E300,[3]Sheet1!F:L,6,FALSE)</f>
        <v>Computer Science</v>
      </c>
      <c r="O300" t="e">
        <f>VLOOKUP(C300,#REF!,12,FALSE)</f>
        <v>#REF!</v>
      </c>
    </row>
    <row r="301" spans="1:15">
      <c r="A301" s="17">
        <v>300</v>
      </c>
      <c r="B301" s="17" t="s">
        <v>586</v>
      </c>
      <c r="C301" s="17">
        <v>2022473330</v>
      </c>
      <c r="D301" s="17">
        <v>2201010551</v>
      </c>
      <c r="E301" s="17" t="s">
        <v>1806</v>
      </c>
      <c r="F301" s="17" t="e">
        <f>VLOOKUP('2501_MIS '!C301,'[1]Fast Track '!B:K,10,FALSE)</f>
        <v>#N/A</v>
      </c>
      <c r="G301" s="17" t="str">
        <f>VLOOKUP(C301,[2]Sheet7!A:D,4,FALSE)</f>
        <v>Promoted</v>
      </c>
      <c r="H301" s="45" t="s">
        <v>3644</v>
      </c>
      <c r="I301" s="26" t="s">
        <v>3655</v>
      </c>
      <c r="J301" s="17" t="s">
        <v>587</v>
      </c>
      <c r="K301" s="17" t="str">
        <f>VLOOKUP(C301,[3]Sheet1!D:J,6,FALSE)</f>
        <v>2022473330.sunilkumar@pt.sharda.ac.in</v>
      </c>
      <c r="L301" s="17" t="str">
        <f>VLOOKUP(D301,[3]Sheet1!E:K,6,FALSE)</f>
        <v>8900049210</v>
      </c>
      <c r="M301" s="17" t="str">
        <f>VLOOKUP(E301,[3]Sheet1!F:L,6,FALSE)</f>
        <v>Computer Science</v>
      </c>
      <c r="O301" t="e">
        <f>VLOOKUP(C301,#REF!,12,FALSE)</f>
        <v>#REF!</v>
      </c>
    </row>
    <row r="302" spans="1:15">
      <c r="A302" s="17">
        <v>301</v>
      </c>
      <c r="B302" s="17" t="s">
        <v>606</v>
      </c>
      <c r="C302" s="17">
        <v>2022512387</v>
      </c>
      <c r="D302" s="17">
        <v>2201010572</v>
      </c>
      <c r="E302" s="17" t="s">
        <v>1806</v>
      </c>
      <c r="F302" s="17" t="e">
        <f>VLOOKUP('2501_MIS '!C302,'[1]Fast Track '!B:K,10,FALSE)</f>
        <v>#N/A</v>
      </c>
      <c r="G302" s="17" t="str">
        <f>VLOOKUP(C302,[2]Sheet7!A:D,4,FALSE)</f>
        <v>Promoted</v>
      </c>
      <c r="H302" s="45" t="s">
        <v>3644</v>
      </c>
      <c r="I302" s="26" t="s">
        <v>3655</v>
      </c>
      <c r="J302" s="17" t="s">
        <v>607</v>
      </c>
      <c r="K302" s="17" t="str">
        <f>VLOOKUP(C302,[3]Sheet1!D:J,6,FALSE)</f>
        <v>2022512387.kishorechandra@pt.sharda.ac.in</v>
      </c>
      <c r="L302" s="17" t="str">
        <f>VLOOKUP(D302,[3]Sheet1!E:K,6,FALSE)</f>
        <v>9142724357</v>
      </c>
      <c r="M302" s="17" t="str">
        <f>VLOOKUP(E302,[3]Sheet1!F:L,6,FALSE)</f>
        <v>Computer Science</v>
      </c>
      <c r="O302" t="e">
        <f>VLOOKUP(C302,#REF!,12,FALSE)</f>
        <v>#REF!</v>
      </c>
    </row>
    <row r="303" spans="1:15">
      <c r="A303" s="17">
        <v>302</v>
      </c>
      <c r="B303" s="17" t="s">
        <v>608</v>
      </c>
      <c r="C303" s="17">
        <v>2022514886</v>
      </c>
      <c r="D303" s="17">
        <v>2201010656</v>
      </c>
      <c r="E303" s="17" t="s">
        <v>1806</v>
      </c>
      <c r="F303" s="17" t="e">
        <f>VLOOKUP('2501_MIS '!C303,'[1]Fast Track '!B:K,10,FALSE)</f>
        <v>#N/A</v>
      </c>
      <c r="G303" s="17" t="str">
        <f>VLOOKUP(C303,[2]Sheet7!A:D,4,FALSE)</f>
        <v>Promoted</v>
      </c>
      <c r="H303" s="45" t="s">
        <v>3644</v>
      </c>
      <c r="I303" s="26" t="s">
        <v>3655</v>
      </c>
      <c r="J303" s="17" t="s">
        <v>609</v>
      </c>
      <c r="K303" s="17" t="str">
        <f>VLOOKUP(C303,[3]Sheet1!D:J,6,FALSE)</f>
        <v>2022514886.binaykumar@pt.sharda.ac.in</v>
      </c>
      <c r="L303" s="17" t="str">
        <f>VLOOKUP(D303,[3]Sheet1!E:K,6,FALSE)</f>
        <v>8252711617</v>
      </c>
      <c r="M303" s="17" t="str">
        <f>VLOOKUP(E303,[3]Sheet1!F:L,6,FALSE)</f>
        <v>Computer Science</v>
      </c>
      <c r="O303" t="e">
        <f>VLOOKUP(C303,#REF!,12,FALSE)</f>
        <v>#REF!</v>
      </c>
    </row>
    <row r="304" spans="1:15">
      <c r="A304" s="17">
        <v>303</v>
      </c>
      <c r="B304" s="17" t="s">
        <v>569</v>
      </c>
      <c r="C304" s="17">
        <v>2022378413</v>
      </c>
      <c r="D304" s="17">
        <v>2201010659</v>
      </c>
      <c r="E304" s="17" t="s">
        <v>1806</v>
      </c>
      <c r="F304" s="17" t="e">
        <f>VLOOKUP('2501_MIS '!C304,'[1]Fast Track '!B:K,10,FALSE)</f>
        <v>#N/A</v>
      </c>
      <c r="G304" s="17" t="str">
        <f>VLOOKUP(C304,[2]Sheet7!A:D,4,FALSE)</f>
        <v>Promoted</v>
      </c>
      <c r="H304" s="45" t="s">
        <v>3644</v>
      </c>
      <c r="I304" s="26" t="s">
        <v>3655</v>
      </c>
      <c r="J304" s="17" t="s">
        <v>570</v>
      </c>
      <c r="K304" s="17" t="str">
        <f>VLOOKUP(C304,[3]Sheet1!D:J,6,FALSE)</f>
        <v>2022378413.balraj@pt.sharda.ac.in</v>
      </c>
      <c r="L304" s="17" t="str">
        <f>VLOOKUP(D304,[3]Sheet1!E:K,6,FALSE)</f>
        <v>7042220600</v>
      </c>
      <c r="M304" s="17" t="str">
        <f>VLOOKUP(E304,[3]Sheet1!F:L,6,FALSE)</f>
        <v>Computer Science</v>
      </c>
      <c r="O304" t="e">
        <f>VLOOKUP(C304,#REF!,12,FALSE)</f>
        <v>#REF!</v>
      </c>
    </row>
    <row r="305" spans="1:15">
      <c r="A305" s="17">
        <v>304</v>
      </c>
      <c r="B305" s="17" t="s">
        <v>533</v>
      </c>
      <c r="C305" s="17">
        <v>2022000791</v>
      </c>
      <c r="D305" s="17">
        <v>2201010664</v>
      </c>
      <c r="E305" s="17" t="s">
        <v>1806</v>
      </c>
      <c r="F305" s="17" t="e">
        <f>VLOOKUP('2501_MIS '!C305,'[1]Fast Track '!B:K,10,FALSE)</f>
        <v>#N/A</v>
      </c>
      <c r="G305" s="17" t="str">
        <f>VLOOKUP(C305,[2]Sheet7!A:D,4,FALSE)</f>
        <v>Promoted</v>
      </c>
      <c r="H305" s="45" t="s">
        <v>3644</v>
      </c>
      <c r="I305" s="26" t="s">
        <v>3655</v>
      </c>
      <c r="J305" s="17" t="s">
        <v>534</v>
      </c>
      <c r="K305" s="17" t="str">
        <f>VLOOKUP(C305,[3]Sheet1!D:J,6,FALSE)</f>
        <v>2022000791.pankaj@pt.sharda.ac.in</v>
      </c>
      <c r="L305" s="17" t="str">
        <f>VLOOKUP(D305,[3]Sheet1!E:K,6,FALSE)</f>
        <v>6202918615</v>
      </c>
      <c r="M305" s="17" t="str">
        <f>VLOOKUP(E305,[3]Sheet1!F:L,6,FALSE)</f>
        <v>Computer Science</v>
      </c>
      <c r="O305" t="e">
        <f>VLOOKUP(C305,#REF!,12,FALSE)</f>
        <v>#REF!</v>
      </c>
    </row>
    <row r="306" spans="1:15">
      <c r="A306" s="17">
        <v>305</v>
      </c>
      <c r="B306" s="17" t="s">
        <v>539</v>
      </c>
      <c r="C306" s="17">
        <v>2022003069</v>
      </c>
      <c r="D306" s="17">
        <v>2201010694</v>
      </c>
      <c r="E306" s="17" t="s">
        <v>1806</v>
      </c>
      <c r="F306" s="17" t="e">
        <f>VLOOKUP('2501_MIS '!C306,'[1]Fast Track '!B:K,10,FALSE)</f>
        <v>#N/A</v>
      </c>
      <c r="G306" s="17" t="str">
        <f>VLOOKUP(C306,[2]Sheet7!A:D,4,FALSE)</f>
        <v>Promoted</v>
      </c>
      <c r="H306" s="45" t="s">
        <v>3645</v>
      </c>
      <c r="I306" s="26" t="s">
        <v>3654</v>
      </c>
      <c r="J306" s="17" t="s">
        <v>540</v>
      </c>
      <c r="K306" s="17" t="str">
        <f>VLOOKUP(C306,[3]Sheet1!D:J,6,FALSE)</f>
        <v>2022003069.kavindra@pt.sharda.ac.in</v>
      </c>
      <c r="L306" s="17" t="str">
        <f>VLOOKUP(D306,[3]Sheet1!E:K,6,FALSE)</f>
        <v>8534991362</v>
      </c>
      <c r="M306" s="17" t="str">
        <f>VLOOKUP(E306,[3]Sheet1!F:L,6,FALSE)</f>
        <v>Computer Science</v>
      </c>
      <c r="O306" t="e">
        <f>VLOOKUP(C306,#REF!,12,FALSE)</f>
        <v>#REF!</v>
      </c>
    </row>
    <row r="307" spans="1:15">
      <c r="A307" s="17">
        <v>306</v>
      </c>
      <c r="B307" s="17" t="s">
        <v>571</v>
      </c>
      <c r="C307" s="17">
        <v>2022381725</v>
      </c>
      <c r="D307" s="17">
        <v>2201010804</v>
      </c>
      <c r="E307" s="17" t="s">
        <v>1806</v>
      </c>
      <c r="F307" s="17" t="e">
        <f>VLOOKUP('2501_MIS '!C307,'[1]Fast Track '!B:K,10,FALSE)</f>
        <v>#N/A</v>
      </c>
      <c r="G307" s="17" t="str">
        <f>VLOOKUP(C307,[2]Sheet7!A:D,4,FALSE)</f>
        <v>Promoted</v>
      </c>
      <c r="H307" s="45" t="s">
        <v>3644</v>
      </c>
      <c r="I307" s="26" t="s">
        <v>3655</v>
      </c>
      <c r="J307" s="17" t="s">
        <v>572</v>
      </c>
      <c r="K307" s="17" t="str">
        <f>VLOOKUP(C307,[3]Sheet1!D:J,6,FALSE)</f>
        <v>2022381725.manish@pt.sharda.ac.in</v>
      </c>
      <c r="L307" s="17" t="str">
        <f>VLOOKUP(D307,[3]Sheet1!E:K,6,FALSE)</f>
        <v>7011422195</v>
      </c>
      <c r="M307" s="17" t="str">
        <f>VLOOKUP(E307,[3]Sheet1!F:L,6,FALSE)</f>
        <v>Computer Science</v>
      </c>
      <c r="O307" t="e">
        <f>VLOOKUP(C307,#REF!,12,FALSE)</f>
        <v>#REF!</v>
      </c>
    </row>
    <row r="308" spans="1:15">
      <c r="A308" s="17">
        <v>307</v>
      </c>
      <c r="B308" s="17" t="s">
        <v>555</v>
      </c>
      <c r="C308" s="17">
        <v>2022007677</v>
      </c>
      <c r="D308" s="17">
        <v>2201010857</v>
      </c>
      <c r="E308" s="17" t="s">
        <v>1806</v>
      </c>
      <c r="F308" s="17" t="e">
        <f>VLOOKUP('2501_MIS '!C308,'[1]Fast Track '!B:K,10,FALSE)</f>
        <v>#N/A</v>
      </c>
      <c r="G308" s="17" t="str">
        <f>VLOOKUP(C308,[2]Sheet7!A:D,4,FALSE)</f>
        <v>Promoted</v>
      </c>
      <c r="H308" s="45" t="s">
        <v>3644</v>
      </c>
      <c r="I308" s="26" t="s">
        <v>3655</v>
      </c>
      <c r="J308" s="17" t="s">
        <v>556</v>
      </c>
      <c r="K308" s="17" t="str">
        <f>VLOOKUP(C308,[3]Sheet1!D:J,6,FALSE)</f>
        <v>2022007677.pramod@pt.sharda.ac.in</v>
      </c>
      <c r="L308" s="17" t="str">
        <f>VLOOKUP(D308,[3]Sheet1!E:K,6,FALSE)</f>
        <v>7000477717</v>
      </c>
      <c r="M308" s="17" t="str">
        <f>VLOOKUP(E308,[3]Sheet1!F:L,6,FALSE)</f>
        <v>Computer Science</v>
      </c>
      <c r="O308" t="e">
        <f>VLOOKUP(C308,#REF!,12,FALSE)</f>
        <v>#REF!</v>
      </c>
    </row>
    <row r="309" spans="1:15">
      <c r="A309" s="17">
        <v>308</v>
      </c>
      <c r="B309" s="17" t="s">
        <v>528</v>
      </c>
      <c r="C309" s="17">
        <v>2022585888</v>
      </c>
      <c r="D309" s="17">
        <v>2201010886</v>
      </c>
      <c r="E309" s="17" t="s">
        <v>1806</v>
      </c>
      <c r="F309" s="17" t="e">
        <f>VLOOKUP('2501_MIS '!C309,'[1]Fast Track '!B:K,10,FALSE)</f>
        <v>#N/A</v>
      </c>
      <c r="G309" s="17" t="str">
        <f>VLOOKUP(C309,[2]Sheet7!A:D,4,FALSE)</f>
        <v>Promoted</v>
      </c>
      <c r="H309" s="45" t="s">
        <v>3644</v>
      </c>
      <c r="I309" s="26" t="s">
        <v>3655</v>
      </c>
      <c r="J309" s="17" t="s">
        <v>529</v>
      </c>
      <c r="K309" s="17" t="str">
        <f>VLOOKUP(C309,[3]Sheet1!D:J,6,FALSE)</f>
        <v>2022585888.abdul@pt.sharda.ac.in</v>
      </c>
      <c r="L309" s="17" t="str">
        <f>VLOOKUP(D309,[3]Sheet1!E:K,6,FALSE)</f>
        <v>9635287067</v>
      </c>
      <c r="M309" s="17" t="str">
        <f>VLOOKUP(E309,[3]Sheet1!F:L,6,FALSE)</f>
        <v>Computer Science</v>
      </c>
      <c r="O309" t="e">
        <f>VLOOKUP(C309,#REF!,12,FALSE)</f>
        <v>#REF!</v>
      </c>
    </row>
    <row r="310" spans="1:15">
      <c r="A310" s="17">
        <v>309</v>
      </c>
      <c r="B310" s="17" t="s">
        <v>736</v>
      </c>
      <c r="C310" s="17">
        <v>2022578067</v>
      </c>
      <c r="D310" s="17">
        <v>2201010007</v>
      </c>
      <c r="E310" s="17" t="s">
        <v>1806</v>
      </c>
      <c r="F310" s="17" t="e">
        <f>VLOOKUP('2501_MIS '!C310,'[1]Fast Track '!B:K,10,FALSE)</f>
        <v>#N/A</v>
      </c>
      <c r="G310" s="17" t="str">
        <f>VLOOKUP(C310,[2]Sheet7!A:D,4,FALSE)</f>
        <v>Promoted</v>
      </c>
      <c r="H310" s="45" t="s">
        <v>3644</v>
      </c>
      <c r="I310" s="26" t="s">
        <v>3655</v>
      </c>
      <c r="J310" s="17" t="s">
        <v>737</v>
      </c>
      <c r="K310" s="17" t="str">
        <f>VLOOKUP(C310,[3]Sheet1!D:J,6,FALSE)</f>
        <v>2022578067.dhramjeet@pt.sharda.ac.in</v>
      </c>
      <c r="L310" s="17" t="str">
        <f>VLOOKUP(D310,[3]Sheet1!E:K,6,FALSE)</f>
        <v>9102398365</v>
      </c>
      <c r="M310" s="17" t="str">
        <f>VLOOKUP(E310,[3]Sheet1!F:L,6,FALSE)</f>
        <v>Computer Science</v>
      </c>
      <c r="O310" t="e">
        <f>VLOOKUP(C310,#REF!,12,FALSE)</f>
        <v>#REF!</v>
      </c>
    </row>
    <row r="311" spans="1:15">
      <c r="A311" s="17">
        <v>310</v>
      </c>
      <c r="B311" s="17" t="s">
        <v>705</v>
      </c>
      <c r="C311" s="17">
        <v>2022374295</v>
      </c>
      <c r="D311" s="17">
        <v>2201010045</v>
      </c>
      <c r="E311" s="17" t="s">
        <v>1806</v>
      </c>
      <c r="F311" s="17" t="e">
        <f>VLOOKUP('2501_MIS '!C311,'[1]Fast Track '!B:K,10,FALSE)</f>
        <v>#N/A</v>
      </c>
      <c r="G311" s="17" t="str">
        <f>VLOOKUP(C311,[2]Sheet7!A:D,4,FALSE)</f>
        <v>Promoted</v>
      </c>
      <c r="H311" s="45" t="s">
        <v>3644</v>
      </c>
      <c r="I311" s="26" t="s">
        <v>3655</v>
      </c>
      <c r="J311" s="17" t="s">
        <v>706</v>
      </c>
      <c r="K311" s="17" t="str">
        <f>VLOOKUP(C311,[3]Sheet1!D:J,6,FALSE)</f>
        <v>2022374295.amitkumar@pt.sharda.ac.in</v>
      </c>
      <c r="L311" s="17" t="str">
        <f>VLOOKUP(D311,[3]Sheet1!E:K,6,FALSE)</f>
        <v>6207058004</v>
      </c>
      <c r="M311" s="17" t="str">
        <f>VLOOKUP(E311,[3]Sheet1!F:L,6,FALSE)</f>
        <v>Computer Science</v>
      </c>
      <c r="O311" t="e">
        <f>VLOOKUP(C311,#REF!,12,FALSE)</f>
        <v>#REF!</v>
      </c>
    </row>
    <row r="312" spans="1:15">
      <c r="A312" s="17">
        <v>311</v>
      </c>
      <c r="B312" s="17" t="s">
        <v>377</v>
      </c>
      <c r="C312" s="17">
        <v>2022467293</v>
      </c>
      <c r="D312" s="17">
        <v>2201010077</v>
      </c>
      <c r="E312" s="17" t="s">
        <v>1806</v>
      </c>
      <c r="F312" s="17" t="e">
        <f>VLOOKUP('2501_MIS '!C312,'[1]Fast Track '!B:K,10,FALSE)</f>
        <v>#N/A</v>
      </c>
      <c r="G312" s="17" t="str">
        <f>VLOOKUP(C312,[2]Sheet7!A:D,4,FALSE)</f>
        <v>Promoted</v>
      </c>
      <c r="H312" s="45" t="s">
        <v>3644</v>
      </c>
      <c r="I312" s="26" t="s">
        <v>3655</v>
      </c>
      <c r="J312" s="17" t="s">
        <v>717</v>
      </c>
      <c r="K312" s="17" t="str">
        <f>VLOOKUP(C312,[3]Sheet1!D:J,6,FALSE)</f>
        <v>2022467293.arvind@pt.sharda.ac.in</v>
      </c>
      <c r="L312" s="17" t="str">
        <f>VLOOKUP(D312,[3]Sheet1!E:K,6,FALSE)</f>
        <v>6202941942</v>
      </c>
      <c r="M312" s="17" t="str">
        <f>VLOOKUP(E312,[3]Sheet1!F:L,6,FALSE)</f>
        <v>Computer Science</v>
      </c>
      <c r="O312" t="e">
        <f>VLOOKUP(C312,#REF!,12,FALSE)</f>
        <v>#REF!</v>
      </c>
    </row>
    <row r="313" spans="1:15">
      <c r="A313" s="17">
        <v>312</v>
      </c>
      <c r="B313" s="17" t="s">
        <v>709</v>
      </c>
      <c r="C313" s="17">
        <v>2022434340</v>
      </c>
      <c r="D313" s="17">
        <v>2201010159</v>
      </c>
      <c r="E313" s="17" t="s">
        <v>1806</v>
      </c>
      <c r="F313" s="17" t="e">
        <f>VLOOKUP('2501_MIS '!C313,'[1]Fast Track '!B:K,10,FALSE)</f>
        <v>#N/A</v>
      </c>
      <c r="G313" s="17" t="str">
        <f>VLOOKUP(C313,[2]Sheet7!A:D,4,FALSE)</f>
        <v>Promoted</v>
      </c>
      <c r="H313" s="45" t="s">
        <v>3644</v>
      </c>
      <c r="I313" s="26" t="s">
        <v>3655</v>
      </c>
      <c r="J313" s="17" t="s">
        <v>710</v>
      </c>
      <c r="K313" s="17" t="str">
        <f>VLOOKUP(C313,[3]Sheet1!D:J,6,FALSE)</f>
        <v>2022434340.nawalkishore@pt.sharda.ac.in</v>
      </c>
      <c r="L313" s="17" t="str">
        <f>VLOOKUP(D313,[3]Sheet1!E:K,6,FALSE)</f>
        <v>6205495441</v>
      </c>
      <c r="M313" s="17" t="str">
        <f>VLOOKUP(E313,[3]Sheet1!F:L,6,FALSE)</f>
        <v>Computer Science</v>
      </c>
      <c r="O313" t="e">
        <f>VLOOKUP(C313,#REF!,12,FALSE)</f>
        <v>#REF!</v>
      </c>
    </row>
    <row r="314" spans="1:15">
      <c r="A314" s="17">
        <v>313</v>
      </c>
      <c r="B314" s="17" t="s">
        <v>680</v>
      </c>
      <c r="C314" s="17">
        <v>2022004342</v>
      </c>
      <c r="D314" s="17">
        <v>2201010217</v>
      </c>
      <c r="E314" s="17" t="s">
        <v>1806</v>
      </c>
      <c r="F314" s="17" t="e">
        <f>VLOOKUP('2501_MIS '!C314,'[1]Fast Track '!B:K,10,FALSE)</f>
        <v>#N/A</v>
      </c>
      <c r="G314" s="17" t="str">
        <f>VLOOKUP(C314,[2]Sheet7!A:D,4,FALSE)</f>
        <v>Promoted</v>
      </c>
      <c r="H314" s="45" t="s">
        <v>3644</v>
      </c>
      <c r="I314" s="26" t="s">
        <v>3655</v>
      </c>
      <c r="J314" s="17" t="s">
        <v>681</v>
      </c>
      <c r="K314" s="17" t="str">
        <f>VLOOKUP(C314,[3]Sheet1!D:J,6,FALSE)</f>
        <v>2022004342.pramod@pt.sharda.ac.in</v>
      </c>
      <c r="L314" s="17" t="str">
        <f>VLOOKUP(D314,[3]Sheet1!E:K,6,FALSE)</f>
        <v>7983405848</v>
      </c>
      <c r="M314" s="17" t="str">
        <f>VLOOKUP(E314,[3]Sheet1!F:L,6,FALSE)</f>
        <v>Computer Science</v>
      </c>
      <c r="O314" t="e">
        <f>VLOOKUP(C314,#REF!,12,FALSE)</f>
        <v>#REF!</v>
      </c>
    </row>
    <row r="315" spans="1:15">
      <c r="A315" s="17">
        <v>314</v>
      </c>
      <c r="B315" s="17" t="s">
        <v>685</v>
      </c>
      <c r="C315" s="17">
        <v>2022006787</v>
      </c>
      <c r="D315" s="17">
        <v>2201010757</v>
      </c>
      <c r="E315" s="17" t="s">
        <v>1806</v>
      </c>
      <c r="F315" s="17" t="e">
        <f>VLOOKUP('2501_MIS '!C315,'[1]Fast Track '!B:K,10,FALSE)</f>
        <v>#N/A</v>
      </c>
      <c r="G315" s="17" t="str">
        <f>VLOOKUP(C315,[2]Sheet7!A:D,4,FALSE)</f>
        <v>Promoted</v>
      </c>
      <c r="H315" s="45" t="s">
        <v>3644</v>
      </c>
      <c r="I315" s="26" t="s">
        <v>3655</v>
      </c>
      <c r="J315" s="17" t="s">
        <v>686</v>
      </c>
      <c r="K315" s="17" t="str">
        <f>VLOOKUP(C315,[3]Sheet1!D:J,6,FALSE)</f>
        <v>2022006787.munna@pt.sharda.ac.in</v>
      </c>
      <c r="L315" s="17" t="str">
        <f>VLOOKUP(D315,[3]Sheet1!E:K,6,FALSE)</f>
        <v>8235368282</v>
      </c>
      <c r="M315" s="17" t="str">
        <f>VLOOKUP(E315,[3]Sheet1!F:L,6,FALSE)</f>
        <v>Computer Science</v>
      </c>
      <c r="O315" t="e">
        <f>VLOOKUP(C315,#REF!,12,FALSE)</f>
        <v>#REF!</v>
      </c>
    </row>
    <row r="316" spans="1:15">
      <c r="A316" s="17">
        <v>315</v>
      </c>
      <c r="B316" s="17" t="s">
        <v>759</v>
      </c>
      <c r="C316" s="17">
        <v>2022007323</v>
      </c>
      <c r="D316" s="17">
        <v>2201010843</v>
      </c>
      <c r="E316" s="17" t="s">
        <v>1806</v>
      </c>
      <c r="F316" s="17" t="e">
        <f>VLOOKUP('2501_MIS '!C316,'[1]Fast Track '!B:K,10,FALSE)</f>
        <v>#N/A</v>
      </c>
      <c r="G316" s="17" t="str">
        <f>VLOOKUP(C316,[2]Sheet7!A:D,4,FALSE)</f>
        <v>Promoted</v>
      </c>
      <c r="H316" s="45" t="s">
        <v>3644</v>
      </c>
      <c r="I316" s="26" t="s">
        <v>3655</v>
      </c>
      <c r="J316" s="17" t="s">
        <v>760</v>
      </c>
      <c r="K316" s="17" t="str">
        <f>VLOOKUP(C316,[3]Sheet1!D:J,6,FALSE)</f>
        <v>2022007323.shivnath@pt.sharda.ac.in</v>
      </c>
      <c r="L316" s="17" t="str">
        <f>VLOOKUP(D316,[3]Sheet1!E:K,6,FALSE)</f>
        <v>7838117145</v>
      </c>
      <c r="M316" s="17" t="str">
        <f>VLOOKUP(E316,[3]Sheet1!F:L,6,FALSE)</f>
        <v>Computer Science</v>
      </c>
      <c r="O316" t="e">
        <f>VLOOKUP(C316,#REF!,12,FALSE)</f>
        <v>#REF!</v>
      </c>
    </row>
    <row r="317" spans="1:15">
      <c r="A317" s="17">
        <v>316</v>
      </c>
      <c r="B317" s="17" t="s">
        <v>662</v>
      </c>
      <c r="C317" s="17">
        <v>2022007795</v>
      </c>
      <c r="D317" s="17">
        <v>2201010865</v>
      </c>
      <c r="E317" s="17" t="s">
        <v>1806</v>
      </c>
      <c r="F317" s="17" t="e">
        <f>VLOOKUP('2501_MIS '!C317,'[1]Fast Track '!B:K,10,FALSE)</f>
        <v>#N/A</v>
      </c>
      <c r="G317" s="17" t="str">
        <f>VLOOKUP(C317,[2]Sheet7!A:D,4,FALSE)</f>
        <v>Promoted</v>
      </c>
      <c r="H317" s="45" t="s">
        <v>3644</v>
      </c>
      <c r="I317" s="26" t="s">
        <v>3655</v>
      </c>
      <c r="J317" s="17" t="s">
        <v>663</v>
      </c>
      <c r="K317" s="17" t="str">
        <f>VLOOKUP(C317,[3]Sheet1!D:J,6,FALSE)</f>
        <v>2022007795.ashim@pt.sharda.ac.in</v>
      </c>
      <c r="L317" s="17" t="str">
        <f>VLOOKUP(D317,[3]Sheet1!E:K,6,FALSE)</f>
        <v>9903404550</v>
      </c>
      <c r="M317" s="17" t="str">
        <f>VLOOKUP(E317,[3]Sheet1!F:L,6,FALSE)</f>
        <v>Computer Science</v>
      </c>
      <c r="O317" t="e">
        <f>VLOOKUP(C317,#REF!,12,FALSE)</f>
        <v>#REF!</v>
      </c>
    </row>
    <row r="318" spans="1:15">
      <c r="A318" s="17">
        <v>317</v>
      </c>
      <c r="B318" s="17" t="s">
        <v>670</v>
      </c>
      <c r="C318" s="17">
        <v>2022610409</v>
      </c>
      <c r="D318" s="17">
        <v>2201010900</v>
      </c>
      <c r="E318" s="17" t="s">
        <v>1806</v>
      </c>
      <c r="F318" s="17" t="e">
        <f>VLOOKUP('2501_MIS '!C318,'[1]Fast Track '!B:K,10,FALSE)</f>
        <v>#N/A</v>
      </c>
      <c r="G318" s="17" t="str">
        <f>VLOOKUP(C318,[2]Sheet7!A:D,4,FALSE)</f>
        <v>Promoted</v>
      </c>
      <c r="H318" s="45" t="s">
        <v>3644</v>
      </c>
      <c r="I318" s="26" t="s">
        <v>3655</v>
      </c>
      <c r="J318" s="17" t="s">
        <v>671</v>
      </c>
      <c r="K318" s="17" t="str">
        <f>VLOOKUP(C318,[3]Sheet1!D:J,6,FALSE)</f>
        <v>2022610409.ramesh@pt.sharda.ac.in</v>
      </c>
      <c r="L318" s="17" t="str">
        <f>VLOOKUP(D318,[3]Sheet1!E:K,6,FALSE)</f>
        <v>7974011350</v>
      </c>
      <c r="M318" s="17" t="str">
        <f>VLOOKUP(E318,[3]Sheet1!F:L,6,FALSE)</f>
        <v>Computer Science</v>
      </c>
      <c r="O318" t="e">
        <f>VLOOKUP(C318,#REF!,12,FALSE)</f>
        <v>#REF!</v>
      </c>
    </row>
    <row r="319" spans="1:15">
      <c r="A319" s="17">
        <v>318</v>
      </c>
      <c r="B319" s="17" t="s">
        <v>387</v>
      </c>
      <c r="C319" s="17">
        <v>2021463218</v>
      </c>
      <c r="D319" s="17">
        <v>210101493</v>
      </c>
      <c r="E319" s="17" t="s">
        <v>1806</v>
      </c>
      <c r="F319" s="17" t="e">
        <f>VLOOKUP('2501_MIS '!C319,'[1]Fast Track '!B:K,10,FALSE)</f>
        <v>#N/A</v>
      </c>
      <c r="G319" s="17" t="str">
        <f>VLOOKUP(C319,[2]Sheet7!A:D,4,FALSE)</f>
        <v>Promoted</v>
      </c>
      <c r="H319" s="45" t="s">
        <v>3644</v>
      </c>
      <c r="I319" s="26" t="s">
        <v>3655</v>
      </c>
      <c r="J319" s="17" t="s">
        <v>388</v>
      </c>
      <c r="K319" s="17" t="str">
        <f>VLOOKUP(C319,[3]Sheet1!D:J,6,FALSE)</f>
        <v>2021463218.sushanta@pt.sharda.ac.in</v>
      </c>
      <c r="L319" s="17" t="str">
        <f>VLOOKUP(D319,[3]Sheet1!E:K,6,FALSE)</f>
        <v>9832307047</v>
      </c>
      <c r="M319" s="17" t="str">
        <f>VLOOKUP(E319,[3]Sheet1!F:L,6,FALSE)</f>
        <v>Computer Science</v>
      </c>
      <c r="O319" t="e">
        <f>VLOOKUP(C319,#REF!,12,FALSE)</f>
        <v>#REF!</v>
      </c>
    </row>
    <row r="320" spans="1:15">
      <c r="A320" s="17">
        <v>319</v>
      </c>
      <c r="B320" s="17" t="s">
        <v>379</v>
      </c>
      <c r="C320" s="17">
        <v>2022527904</v>
      </c>
      <c r="D320" s="17">
        <v>2201010799</v>
      </c>
      <c r="E320" s="17" t="s">
        <v>1806</v>
      </c>
      <c r="F320" s="17" t="e">
        <f>VLOOKUP('2501_MIS '!C320,'[1]Fast Track '!B:K,10,FALSE)</f>
        <v>#N/A</v>
      </c>
      <c r="G320" s="17" t="str">
        <f>VLOOKUP(C320,[2]Sheet7!A:D,4,FALSE)</f>
        <v>Promoted</v>
      </c>
      <c r="H320" s="45" t="s">
        <v>3644</v>
      </c>
      <c r="I320" s="26" t="s">
        <v>3655</v>
      </c>
      <c r="J320" s="17" t="s">
        <v>380</v>
      </c>
      <c r="K320" s="17" t="str">
        <f>VLOOKUP(C320,[3]Sheet1!D:J,6,FALSE)</f>
        <v>2022527904.tarkeshwarprasad@pt.sharda.ac.in</v>
      </c>
      <c r="L320" s="17" t="str">
        <f>VLOOKUP(D320,[3]Sheet1!E:K,6,FALSE)</f>
        <v>7001523353</v>
      </c>
      <c r="M320" s="17" t="str">
        <f>VLOOKUP(E320,[3]Sheet1!F:L,6,FALSE)</f>
        <v>Computer Science</v>
      </c>
      <c r="O320" t="e">
        <f>VLOOKUP(C320,#REF!,12,FALSE)</f>
        <v>#REF!</v>
      </c>
    </row>
    <row r="321" spans="1:15">
      <c r="A321" s="17">
        <v>320</v>
      </c>
      <c r="B321" s="17" t="s">
        <v>383</v>
      </c>
      <c r="C321" s="17">
        <v>2023263567</v>
      </c>
      <c r="D321" s="17">
        <v>2301017005</v>
      </c>
      <c r="E321" s="17" t="s">
        <v>1806</v>
      </c>
      <c r="F321" s="17" t="e">
        <f>VLOOKUP('2501_MIS '!C321,'[1]Fast Track '!B:K,10,FALSE)</f>
        <v>#N/A</v>
      </c>
      <c r="G321" s="17" t="str">
        <f>VLOOKUP(C321,[2]Sheet7!A:D,4,FALSE)</f>
        <v>Promoted</v>
      </c>
      <c r="H321" s="45" t="s">
        <v>3644</v>
      </c>
      <c r="I321" s="26" t="s">
        <v>3655</v>
      </c>
      <c r="J321" s="17" t="s">
        <v>384</v>
      </c>
      <c r="K321" s="17" t="str">
        <f>VLOOKUP(C321,[3]Sheet1!D:J,6,FALSE)</f>
        <v>2023263567.arun@pt.sharda.ac.in</v>
      </c>
      <c r="L321" s="17" t="str">
        <f>VLOOKUP(D321,[3]Sheet1!E:K,6,FALSE)</f>
        <v>8092097291</v>
      </c>
      <c r="M321" s="17" t="str">
        <f>VLOOKUP(E321,[3]Sheet1!F:L,6,FALSE)</f>
        <v>Computer Science</v>
      </c>
      <c r="O321" t="e">
        <f>VLOOKUP(C321,#REF!,12,FALSE)</f>
        <v>#REF!</v>
      </c>
    </row>
    <row r="322" spans="1:15">
      <c r="A322" s="17">
        <v>321</v>
      </c>
      <c r="B322" s="17" t="s">
        <v>518</v>
      </c>
      <c r="C322" s="17">
        <v>2021001342</v>
      </c>
      <c r="D322" s="17">
        <v>210101351</v>
      </c>
      <c r="E322" s="17" t="s">
        <v>1806</v>
      </c>
      <c r="F322" s="17" t="e">
        <f>VLOOKUP('2501_MIS '!C322,'[1]Fast Track '!B:K,10,FALSE)</f>
        <v>#N/A</v>
      </c>
      <c r="G322" s="17" t="str">
        <f>VLOOKUP(C322,[2]Sheet7!A:D,4,FALSE)</f>
        <v>Not Promoted</v>
      </c>
      <c r="H322" s="45" t="s">
        <v>3644</v>
      </c>
      <c r="I322" s="26" t="s">
        <v>3655</v>
      </c>
      <c r="J322" s="17" t="s">
        <v>519</v>
      </c>
      <c r="K322" s="17" t="str">
        <f>VLOOKUP(C322,[3]Sheet1!D:J,6,FALSE)</f>
        <v>2021001342.sudhir@pt.sharda.ac.in</v>
      </c>
      <c r="L322" s="17" t="str">
        <f>VLOOKUP(D322,[3]Sheet1!E:K,6,FALSE)</f>
        <v>8448124468</v>
      </c>
      <c r="M322" s="17" t="str">
        <f>VLOOKUP(E322,[3]Sheet1!F:L,6,FALSE)</f>
        <v>Computer Science</v>
      </c>
      <c r="O322" t="e">
        <f>VLOOKUP(C322,#REF!,12,FALSE)</f>
        <v>#REF!</v>
      </c>
    </row>
    <row r="323" spans="1:15">
      <c r="A323" s="17">
        <v>322</v>
      </c>
      <c r="B323" s="17" t="s">
        <v>682</v>
      </c>
      <c r="C323" s="17">
        <v>2022004659</v>
      </c>
      <c r="D323" s="17">
        <v>2201010079</v>
      </c>
      <c r="E323" s="17" t="s">
        <v>1806</v>
      </c>
      <c r="F323" s="17" t="e">
        <f>VLOOKUP('2501_MIS '!C323,'[1]Fast Track '!B:K,10,FALSE)</f>
        <v>#N/A</v>
      </c>
      <c r="G323" s="17" t="str">
        <f>VLOOKUP(C323,[2]Sheet7!A:D,4,FALSE)</f>
        <v>Promoted</v>
      </c>
      <c r="H323" s="45" t="s">
        <v>3644</v>
      </c>
      <c r="I323" s="26" t="s">
        <v>3655</v>
      </c>
      <c r="J323" s="17" t="s">
        <v>683</v>
      </c>
      <c r="K323" s="17" t="str">
        <f>VLOOKUP(C323,[3]Sheet1!D:J,6,FALSE)</f>
        <v>2022004659.ajay@pt.sharda.ac.in</v>
      </c>
      <c r="L323" s="17" t="str">
        <f>VLOOKUP(D323,[3]Sheet1!E:K,6,FALSE)</f>
        <v>7856816590</v>
      </c>
      <c r="M323" s="17" t="str">
        <f>VLOOKUP(E323,[3]Sheet1!F:L,6,FALSE)</f>
        <v>Computer Science</v>
      </c>
      <c r="O323" t="e">
        <f>VLOOKUP(C323,#REF!,12,FALSE)</f>
        <v>#REF!</v>
      </c>
    </row>
    <row r="324" spans="1:15">
      <c r="A324" s="17">
        <v>323</v>
      </c>
      <c r="B324" s="17" t="s">
        <v>341</v>
      </c>
      <c r="C324" s="17">
        <v>2022497340</v>
      </c>
      <c r="D324" s="17">
        <v>2201010409</v>
      </c>
      <c r="E324" s="17" t="s">
        <v>1808</v>
      </c>
      <c r="F324" s="17" t="e">
        <f>VLOOKUP('2501_MIS '!C324,'[1]Fast Track '!B:K,10,FALSE)</f>
        <v>#N/A</v>
      </c>
      <c r="G324" s="17" t="str">
        <f>VLOOKUP(C324,[2]Sheet7!A:D,4,FALSE)</f>
        <v>Promoted</v>
      </c>
      <c r="H324" s="45" t="s">
        <v>3645</v>
      </c>
      <c r="I324" s="26" t="s">
        <v>3656</v>
      </c>
      <c r="J324" s="17" t="s">
        <v>342</v>
      </c>
      <c r="K324" s="17" t="str">
        <f>VLOOKUP(C324,[3]Sheet1!D:J,6,FALSE)</f>
        <v>2022497340.sk@pt.sharda.ac.in</v>
      </c>
      <c r="L324" s="17" t="str">
        <f>VLOOKUP(D324,[3]Sheet1!E:K,6,FALSE)</f>
        <v>9128944978</v>
      </c>
      <c r="M324" s="17" t="s">
        <v>15</v>
      </c>
      <c r="O324" t="e">
        <f>VLOOKUP(C324,#REF!,12,FALSE)</f>
        <v>#REF!</v>
      </c>
    </row>
    <row r="325" spans="1:15">
      <c r="A325" s="17">
        <v>324</v>
      </c>
      <c r="B325" s="17" t="s">
        <v>371</v>
      </c>
      <c r="C325" s="17">
        <v>2022824586</v>
      </c>
      <c r="D325" s="17">
        <v>2201010435</v>
      </c>
      <c r="E325" s="17" t="s">
        <v>1808</v>
      </c>
      <c r="F325" s="17" t="e">
        <f>VLOOKUP('2501_MIS '!C325,'[1]Fast Track '!B:K,10,FALSE)</f>
        <v>#N/A</v>
      </c>
      <c r="G325" s="17" t="str">
        <f>VLOOKUP(C325,[2]Sheet7!A:D,4,FALSE)</f>
        <v>Promoted</v>
      </c>
      <c r="H325" s="45" t="s">
        <v>3645</v>
      </c>
      <c r="I325" s="26" t="s">
        <v>3656</v>
      </c>
      <c r="J325" s="17" t="s">
        <v>372</v>
      </c>
      <c r="K325" s="17" t="str">
        <f>VLOOKUP(C325,[3]Sheet1!D:J,6,FALSE)</f>
        <v>2022824586.msumi@pt.sharda.ac.in</v>
      </c>
      <c r="L325" s="17" t="str">
        <f>VLOOKUP(D325,[3]Sheet1!E:K,6,FALSE)</f>
        <v>960012907</v>
      </c>
      <c r="M325" s="17" t="s">
        <v>15</v>
      </c>
      <c r="O325" t="e">
        <f>VLOOKUP(C325,#REF!,12,FALSE)</f>
        <v>#REF!</v>
      </c>
    </row>
    <row r="326" spans="1:15">
      <c r="A326" s="17">
        <v>325</v>
      </c>
      <c r="B326" s="17" t="s">
        <v>351</v>
      </c>
      <c r="C326" s="17">
        <v>2022506127</v>
      </c>
      <c r="D326" s="17">
        <v>2201010521</v>
      </c>
      <c r="E326" s="17" t="s">
        <v>1808</v>
      </c>
      <c r="F326" s="17" t="e">
        <f>VLOOKUP('2501_MIS '!C326,'[1]Fast Track '!B:K,10,FALSE)</f>
        <v>#N/A</v>
      </c>
      <c r="G326" s="17" t="str">
        <f>VLOOKUP(C326,[2]Sheet7!A:D,4,FALSE)</f>
        <v>Promoted</v>
      </c>
      <c r="H326" s="45" t="s">
        <v>3645</v>
      </c>
      <c r="I326" s="26" t="s">
        <v>3656</v>
      </c>
      <c r="J326" s="17" t="s">
        <v>352</v>
      </c>
      <c r="K326" s="17" t="str">
        <f>VLOOKUP(C326,[3]Sheet1!D:J,6,FALSE)</f>
        <v>2022506127.prasantakumar@pt.sharda.ac.in</v>
      </c>
      <c r="L326" s="17" t="str">
        <f>VLOOKUP(D326,[3]Sheet1!E:K,6,FALSE)</f>
        <v>9315709293</v>
      </c>
      <c r="M326" s="17" t="s">
        <v>15</v>
      </c>
      <c r="O326" t="e">
        <f>VLOOKUP(C326,#REF!,12,FALSE)</f>
        <v>#REF!</v>
      </c>
    </row>
    <row r="327" spans="1:15">
      <c r="A327" s="17">
        <v>326</v>
      </c>
      <c r="B327" s="17" t="s">
        <v>284</v>
      </c>
      <c r="C327" s="17">
        <v>2022005567</v>
      </c>
      <c r="D327" s="17">
        <v>2201010747</v>
      </c>
      <c r="E327" s="17" t="s">
        <v>1808</v>
      </c>
      <c r="F327" s="17" t="e">
        <f>VLOOKUP('2501_MIS '!C327,'[1]Fast Track '!B:K,10,FALSE)</f>
        <v>#N/A</v>
      </c>
      <c r="G327" s="17" t="str">
        <f>VLOOKUP(C327,[2]Sheet7!A:D,4,FALSE)</f>
        <v>Promoted</v>
      </c>
      <c r="H327" s="45" t="s">
        <v>3645</v>
      </c>
      <c r="I327" s="26" t="s">
        <v>3656</v>
      </c>
      <c r="J327" s="17" t="s">
        <v>285</v>
      </c>
      <c r="K327" s="17" t="str">
        <f>VLOOKUP(C327,[3]Sheet1!D:J,6,FALSE)</f>
        <v>2022005567.rajneeshkumar@pt.sharda.ac.in</v>
      </c>
      <c r="L327" s="17" t="str">
        <f>VLOOKUP(D327,[3]Sheet1!E:K,6,FALSE)</f>
        <v>9415690996</v>
      </c>
      <c r="M327" s="17" t="s">
        <v>15</v>
      </c>
      <c r="O327" t="e">
        <f>VLOOKUP(C327,#REF!,12,FALSE)</f>
        <v>#REF!</v>
      </c>
    </row>
    <row r="328" spans="1:15">
      <c r="A328" s="17">
        <v>327</v>
      </c>
      <c r="B328" s="17" t="s">
        <v>398</v>
      </c>
      <c r="C328" s="17">
        <v>2022003287</v>
      </c>
      <c r="D328" s="17">
        <v>2201010190</v>
      </c>
      <c r="E328" s="17" t="s">
        <v>1808</v>
      </c>
      <c r="F328" s="17" t="e">
        <f>VLOOKUP('2501_MIS '!C328,'[1]Fast Track '!B:K,10,FALSE)</f>
        <v>#N/A</v>
      </c>
      <c r="G328" s="17" t="str">
        <f>VLOOKUP(C328,[2]Sheet7!A:D,4,FALSE)</f>
        <v>Promoted</v>
      </c>
      <c r="H328" s="45" t="s">
        <v>3645</v>
      </c>
      <c r="I328" s="26" t="s">
        <v>3656</v>
      </c>
      <c r="J328" s="17" t="s">
        <v>399</v>
      </c>
      <c r="K328" s="17" t="str">
        <f>VLOOKUP(C328,[3]Sheet1!D:J,6,FALSE)</f>
        <v>2022003287.chandraveer@pt.sharda.ac.in</v>
      </c>
      <c r="L328" s="17" t="str">
        <f>VLOOKUP(D328,[3]Sheet1!E:K,6,FALSE)</f>
        <v>9119729502</v>
      </c>
      <c r="M328" s="17" t="s">
        <v>15</v>
      </c>
      <c r="O328" t="e">
        <f>VLOOKUP(C328,#REF!,12,FALSE)</f>
        <v>#REF!</v>
      </c>
    </row>
    <row r="329" spans="1:15">
      <c r="A329" s="17">
        <v>328</v>
      </c>
      <c r="B329" s="17" t="s">
        <v>300</v>
      </c>
      <c r="C329" s="17">
        <v>2022307471</v>
      </c>
      <c r="D329" s="17">
        <v>2201010763</v>
      </c>
      <c r="E329" s="17" t="s">
        <v>1808</v>
      </c>
      <c r="F329" s="17" t="e">
        <f>VLOOKUP('2501_MIS '!C329,'[1]Fast Track '!B:K,10,FALSE)</f>
        <v>#N/A</v>
      </c>
      <c r="G329" s="17" t="str">
        <f>VLOOKUP(C329,[2]Sheet7!A:D,4,FALSE)</f>
        <v>Promoted</v>
      </c>
      <c r="H329" s="45" t="s">
        <v>3645</v>
      </c>
      <c r="I329" s="26" t="s">
        <v>3656</v>
      </c>
      <c r="J329" s="17" t="s">
        <v>301</v>
      </c>
      <c r="K329" s="17" t="str">
        <f>VLOOKUP(C329,[3]Sheet1!D:J,6,FALSE)</f>
        <v>2022307471.laxminarayan@pt.sharda.ac.in</v>
      </c>
      <c r="L329" s="17" t="str">
        <f>VLOOKUP(D329,[3]Sheet1!E:K,6,FALSE)</f>
        <v>6394434558</v>
      </c>
      <c r="M329" s="17" t="s">
        <v>15</v>
      </c>
      <c r="O329" t="e">
        <f>VLOOKUP(C329,#REF!,12,FALSE)</f>
        <v>#REF!</v>
      </c>
    </row>
    <row r="330" spans="1:15">
      <c r="A330" s="17">
        <v>329</v>
      </c>
      <c r="B330" s="17" t="s">
        <v>292</v>
      </c>
      <c r="C330" s="17">
        <v>2022006361</v>
      </c>
      <c r="D330" s="17">
        <v>2201010830</v>
      </c>
      <c r="E330" s="17" t="s">
        <v>1808</v>
      </c>
      <c r="F330" s="17" t="e">
        <f>VLOOKUP('2501_MIS '!C330,'[1]Fast Track '!B:K,10,FALSE)</f>
        <v>#N/A</v>
      </c>
      <c r="G330" s="17" t="str">
        <f>VLOOKUP(C330,[2]Sheet7!A:D,4,FALSE)</f>
        <v>Promoted</v>
      </c>
      <c r="H330" s="45" t="s">
        <v>3645</v>
      </c>
      <c r="I330" s="26" t="s">
        <v>3656</v>
      </c>
      <c r="J330" s="17" t="s">
        <v>293</v>
      </c>
      <c r="K330" s="17" t="str">
        <f>VLOOKUP(C330,[3]Sheet1!D:J,6,FALSE)</f>
        <v>2022006361.shyamanand@pt.sharda.ac.in</v>
      </c>
      <c r="L330" s="17" t="str">
        <f>VLOOKUP(D330,[3]Sheet1!E:K,6,FALSE)</f>
        <v>9576657850</v>
      </c>
      <c r="M330" s="17" t="s">
        <v>15</v>
      </c>
      <c r="O330" t="e">
        <f>VLOOKUP(C330,#REF!,12,FALSE)</f>
        <v>#REF!</v>
      </c>
    </row>
    <row r="331" spans="1:15">
      <c r="A331" s="17">
        <v>330</v>
      </c>
      <c r="B331" s="17" t="s">
        <v>363</v>
      </c>
      <c r="C331" s="17">
        <v>2022591631</v>
      </c>
      <c r="D331" s="17">
        <v>2201010888</v>
      </c>
      <c r="E331" s="17" t="s">
        <v>1808</v>
      </c>
      <c r="F331" s="17" t="e">
        <f>VLOOKUP('2501_MIS '!C331,'[1]Fast Track '!B:K,10,FALSE)</f>
        <v>#N/A</v>
      </c>
      <c r="G331" s="17" t="str">
        <f>VLOOKUP(C331,[2]Sheet7!A:D,4,FALSE)</f>
        <v>Promoted</v>
      </c>
      <c r="H331" s="45" t="s">
        <v>3645</v>
      </c>
      <c r="I331" s="26" t="s">
        <v>3656</v>
      </c>
      <c r="J331" s="17" t="s">
        <v>364</v>
      </c>
      <c r="K331" s="17" t="str">
        <f>VLOOKUP(C331,[3]Sheet1!D:J,6,FALSE)</f>
        <v>2022591631.ajitkumar@pt.sharda.ac.in</v>
      </c>
      <c r="L331" s="17" t="str">
        <f>VLOOKUP(D331,[3]Sheet1!E:K,6,FALSE)</f>
        <v>7979841252</v>
      </c>
      <c r="M331" s="17" t="s">
        <v>15</v>
      </c>
      <c r="O331" t="e">
        <f>VLOOKUP(C331,#REF!,12,FALSE)</f>
        <v>#REF!</v>
      </c>
    </row>
    <row r="332" spans="1:15">
      <c r="A332" s="17">
        <v>331</v>
      </c>
      <c r="B332" s="17" t="s">
        <v>454</v>
      </c>
      <c r="C332" s="17">
        <v>2022469915</v>
      </c>
      <c r="D332" s="17">
        <v>2201010008</v>
      </c>
      <c r="E332" s="17" t="s">
        <v>1808</v>
      </c>
      <c r="F332" s="17" t="e">
        <f>VLOOKUP('2501_MIS '!C332,'[1]Fast Track '!B:K,10,FALSE)</f>
        <v>#N/A</v>
      </c>
      <c r="G332" s="17" t="str">
        <f>VLOOKUP(C332,[2]Sheet7!A:D,4,FALSE)</f>
        <v>Promoted</v>
      </c>
      <c r="H332" s="45" t="s">
        <v>3645</v>
      </c>
      <c r="I332" s="26" t="s">
        <v>3656</v>
      </c>
      <c r="J332" s="17" t="s">
        <v>455</v>
      </c>
      <c r="K332" s="17" t="str">
        <f>VLOOKUP(C332,[3]Sheet1!D:J,6,FALSE)</f>
        <v>2022469915.kailash@pt.sharda.ac.in</v>
      </c>
      <c r="L332" s="17" t="str">
        <f>VLOOKUP(D332,[3]Sheet1!E:K,6,FALSE)</f>
        <v>8700390171</v>
      </c>
      <c r="M332" s="17" t="s">
        <v>15</v>
      </c>
      <c r="O332" t="e">
        <f>VLOOKUP(C332,#REF!,12,FALSE)</f>
        <v>#REF!</v>
      </c>
    </row>
    <row r="333" spans="1:15">
      <c r="A333" s="17">
        <v>332</v>
      </c>
      <c r="B333" s="17" t="s">
        <v>446</v>
      </c>
      <c r="C333" s="17">
        <v>2022448964</v>
      </c>
      <c r="D333" s="17">
        <v>2201010080</v>
      </c>
      <c r="E333" s="17" t="s">
        <v>1808</v>
      </c>
      <c r="F333" s="17" t="e">
        <f>VLOOKUP('2501_MIS '!C333,'[1]Fast Track '!B:K,10,FALSE)</f>
        <v>#N/A</v>
      </c>
      <c r="G333" s="17" t="str">
        <f>VLOOKUP(C333,[2]Sheet7!A:D,4,FALSE)</f>
        <v>Promoted</v>
      </c>
      <c r="H333" s="45" t="s">
        <v>3645</v>
      </c>
      <c r="I333" s="26" t="s">
        <v>3656</v>
      </c>
      <c r="J333" s="17" t="s">
        <v>447</v>
      </c>
      <c r="K333" s="17" t="str">
        <f>VLOOKUP(C333,[3]Sheet1!D:J,6,FALSE)</f>
        <v>2022448964.rakesh@pt.sharda.ac.in</v>
      </c>
      <c r="L333" s="17" t="str">
        <f>VLOOKUP(D333,[3]Sheet1!E:K,6,FALSE)</f>
        <v>8521759941</v>
      </c>
      <c r="M333" s="17" t="s">
        <v>15</v>
      </c>
      <c r="O333" t="e">
        <f>VLOOKUP(C333,#REF!,12,FALSE)</f>
        <v>#REF!</v>
      </c>
    </row>
    <row r="334" spans="1:15">
      <c r="A334" s="17">
        <v>333</v>
      </c>
      <c r="B334" s="17" t="s">
        <v>493</v>
      </c>
      <c r="C334" s="17">
        <v>2022531916</v>
      </c>
      <c r="D334" s="17">
        <v>2201010163</v>
      </c>
      <c r="E334" s="17" t="s">
        <v>1808</v>
      </c>
      <c r="F334" s="17" t="e">
        <f>VLOOKUP('2501_MIS '!C334,'[1]Fast Track '!B:K,10,FALSE)</f>
        <v>#N/A</v>
      </c>
      <c r="G334" s="17" t="str">
        <f>VLOOKUP(C334,[2]Sheet7!A:D,4,FALSE)</f>
        <v>Promoted</v>
      </c>
      <c r="H334" s="45" t="s">
        <v>3645</v>
      </c>
      <c r="I334" s="26" t="s">
        <v>3656</v>
      </c>
      <c r="J334" s="17" t="s">
        <v>494</v>
      </c>
      <c r="K334" s="17" t="str">
        <f>VLOOKUP(C334,[3]Sheet1!D:J,6,FALSE)</f>
        <v>2022531916.anoj@pt.sharda.ac.in</v>
      </c>
      <c r="L334" s="17" t="str">
        <f>VLOOKUP(D334,[3]Sheet1!E:K,6,FALSE)</f>
        <v>6204638315</v>
      </c>
      <c r="M334" s="17" t="s">
        <v>15</v>
      </c>
      <c r="O334" t="e">
        <f>VLOOKUP(C334,#REF!,12,FALSE)</f>
        <v>#REF!</v>
      </c>
    </row>
    <row r="335" spans="1:15">
      <c r="A335" s="17">
        <v>334</v>
      </c>
      <c r="B335" s="17" t="s">
        <v>475</v>
      </c>
      <c r="C335" s="17">
        <v>2022514536</v>
      </c>
      <c r="D335" s="17">
        <v>2201010203</v>
      </c>
      <c r="E335" s="17" t="s">
        <v>1808</v>
      </c>
      <c r="F335" s="17" t="e">
        <f>VLOOKUP('2501_MIS '!C335,'[1]Fast Track '!B:K,10,FALSE)</f>
        <v>#N/A</v>
      </c>
      <c r="G335" s="17" t="str">
        <f>VLOOKUP(C335,[2]Sheet7!A:D,4,FALSE)</f>
        <v>Promoted</v>
      </c>
      <c r="H335" s="45" t="s">
        <v>3645</v>
      </c>
      <c r="I335" s="26" t="s">
        <v>3656</v>
      </c>
      <c r="J335" s="17" t="s">
        <v>476</v>
      </c>
      <c r="K335" s="17" t="str">
        <f>VLOOKUP(C335,[3]Sheet1!D:J,6,FALSE)</f>
        <v>2022514536.brij@pt.sharda.ac.in</v>
      </c>
      <c r="L335" s="17" t="str">
        <f>VLOOKUP(D335,[3]Sheet1!E:K,6,FALSE)</f>
        <v>9772621230</v>
      </c>
      <c r="M335" s="17" t="s">
        <v>15</v>
      </c>
      <c r="O335" t="e">
        <f>VLOOKUP(C335,#REF!,12,FALSE)</f>
        <v>#REF!</v>
      </c>
    </row>
    <row r="336" spans="1:15">
      <c r="A336" s="17">
        <v>335</v>
      </c>
      <c r="B336" s="17" t="s">
        <v>452</v>
      </c>
      <c r="C336" s="17">
        <v>2022469745</v>
      </c>
      <c r="D336" s="17">
        <v>2201010306</v>
      </c>
      <c r="E336" s="17" t="s">
        <v>1808</v>
      </c>
      <c r="F336" s="17" t="e">
        <f>VLOOKUP('2501_MIS '!C336,'[1]Fast Track '!B:K,10,FALSE)</f>
        <v>#N/A</v>
      </c>
      <c r="G336" s="17" t="str">
        <f>VLOOKUP(C336,[2]Sheet7!A:D,4,FALSE)</f>
        <v>Promoted</v>
      </c>
      <c r="H336" s="45" t="s">
        <v>3645</v>
      </c>
      <c r="I336" s="26" t="s">
        <v>3656</v>
      </c>
      <c r="J336" s="17" t="s">
        <v>453</v>
      </c>
      <c r="K336" s="17" t="str">
        <f>VLOOKUP(C336,[3]Sheet1!D:J,6,FALSE)</f>
        <v>2022469745.bharat@pt.sharda.ac.in</v>
      </c>
      <c r="L336" s="17" t="str">
        <f>VLOOKUP(D336,[3]Sheet1!E:K,6,FALSE)</f>
        <v>7678437824</v>
      </c>
      <c r="M336" s="17" t="s">
        <v>15</v>
      </c>
      <c r="O336" t="e">
        <f>VLOOKUP(C336,#REF!,12,FALSE)</f>
        <v>#REF!</v>
      </c>
    </row>
    <row r="337" spans="1:15">
      <c r="A337" s="17">
        <v>336</v>
      </c>
      <c r="B337" s="17" t="s">
        <v>404</v>
      </c>
      <c r="C337" s="17">
        <v>2022003834</v>
      </c>
      <c r="D337" s="17">
        <v>2201010418</v>
      </c>
      <c r="E337" s="17" t="s">
        <v>1808</v>
      </c>
      <c r="F337" s="17" t="e">
        <f>VLOOKUP('2501_MIS '!C337,'[1]Fast Track '!B:K,10,FALSE)</f>
        <v>#N/A</v>
      </c>
      <c r="G337" s="17" t="str">
        <f>VLOOKUP(C337,[2]Sheet7!A:D,4,FALSE)</f>
        <v>Promoted</v>
      </c>
      <c r="H337" s="45" t="s">
        <v>3645</v>
      </c>
      <c r="I337" s="26" t="s">
        <v>3656</v>
      </c>
      <c r="J337" s="17" t="s">
        <v>405</v>
      </c>
      <c r="K337" s="17" t="str">
        <f>VLOOKUP(C337,[3]Sheet1!D:J,6,FALSE)</f>
        <v>2022003834.mohd@pt.sharda.ac.in</v>
      </c>
      <c r="L337" s="17" t="str">
        <f>VLOOKUP(D337,[3]Sheet1!E:K,6,FALSE)</f>
        <v>7037612173</v>
      </c>
      <c r="M337" s="17" t="s">
        <v>15</v>
      </c>
      <c r="O337" t="e">
        <f>VLOOKUP(C337,#REF!,12,FALSE)</f>
        <v>#REF!</v>
      </c>
    </row>
    <row r="338" spans="1:15">
      <c r="A338" s="17">
        <v>337</v>
      </c>
      <c r="B338" s="17" t="s">
        <v>487</v>
      </c>
      <c r="C338" s="17">
        <v>2022526278</v>
      </c>
      <c r="D338" s="17">
        <v>2201010651</v>
      </c>
      <c r="E338" s="17" t="s">
        <v>1808</v>
      </c>
      <c r="F338" s="17" t="e">
        <f>VLOOKUP('2501_MIS '!C338,'[1]Fast Track '!B:K,10,FALSE)</f>
        <v>#N/A</v>
      </c>
      <c r="G338" s="17" t="str">
        <f>VLOOKUP(C338,[2]Sheet7!A:D,4,FALSE)</f>
        <v>Promoted</v>
      </c>
      <c r="H338" s="45" t="s">
        <v>3645</v>
      </c>
      <c r="I338" s="26" t="s">
        <v>3656</v>
      </c>
      <c r="J338" s="17" t="s">
        <v>488</v>
      </c>
      <c r="K338" s="17" t="str">
        <f>VLOOKUP(C338,[3]Sheet1!D:J,6,FALSE)</f>
        <v>2022526278.kuldeepraj@pt.sharda.ac.in</v>
      </c>
      <c r="L338" s="17" t="str">
        <f>VLOOKUP(D338,[3]Sheet1!E:K,6,FALSE)</f>
        <v>9906207996</v>
      </c>
      <c r="M338" s="17" t="s">
        <v>15</v>
      </c>
      <c r="O338" t="e">
        <f>VLOOKUP(C338,#REF!,12,FALSE)</f>
        <v>#REF!</v>
      </c>
    </row>
    <row r="339" spans="1:15">
      <c r="A339" s="17">
        <v>338</v>
      </c>
      <c r="B339" s="17" t="s">
        <v>515</v>
      </c>
      <c r="C339" s="17">
        <v>2022413369</v>
      </c>
      <c r="D339" s="17">
        <v>2201010732</v>
      </c>
      <c r="E339" s="17" t="s">
        <v>1808</v>
      </c>
      <c r="F339" s="17" t="e">
        <f>VLOOKUP('2501_MIS '!C339,'[1]Fast Track '!B:K,10,FALSE)</f>
        <v>#N/A</v>
      </c>
      <c r="G339" s="17" t="str">
        <f>VLOOKUP(C339,[2]Sheet7!A:D,4,FALSE)</f>
        <v>Promoted</v>
      </c>
      <c r="H339" s="45" t="s">
        <v>3645</v>
      </c>
      <c r="I339" s="26" t="s">
        <v>3656</v>
      </c>
      <c r="J339" s="17" t="s">
        <v>516</v>
      </c>
      <c r="K339" s="17" t="str">
        <f>VLOOKUP(C339,[3]Sheet1!D:J,6,FALSE)</f>
        <v>2022413369.ranjankumar@pt.sharda.ac.in</v>
      </c>
      <c r="L339" s="17" t="str">
        <f>VLOOKUP(D339,[3]Sheet1!E:K,6,FALSE)</f>
        <v>8252741969</v>
      </c>
      <c r="M339" s="17" t="s">
        <v>15</v>
      </c>
      <c r="O339" t="e">
        <f>VLOOKUP(C339,#REF!,12,FALSE)</f>
        <v>#REF!</v>
      </c>
    </row>
    <row r="340" spans="1:15">
      <c r="A340" s="17">
        <v>339</v>
      </c>
      <c r="B340" s="17" t="s">
        <v>450</v>
      </c>
      <c r="C340" s="17">
        <v>2022457752</v>
      </c>
      <c r="D340" s="17">
        <v>2201010741</v>
      </c>
      <c r="E340" s="17" t="s">
        <v>1808</v>
      </c>
      <c r="F340" s="17" t="e">
        <f>VLOOKUP('2501_MIS '!C340,'[1]Fast Track '!B:K,10,FALSE)</f>
        <v>#N/A</v>
      </c>
      <c r="G340" s="17" t="str">
        <f>VLOOKUP(C340,[2]Sheet7!A:D,4,FALSE)</f>
        <v>Promoted</v>
      </c>
      <c r="H340" s="45" t="s">
        <v>3645</v>
      </c>
      <c r="I340" s="26" t="s">
        <v>3656</v>
      </c>
      <c r="J340" s="17" t="s">
        <v>451</v>
      </c>
      <c r="K340" s="17" t="str">
        <f>VLOOKUP(C340,[3]Sheet1!D:J,6,FALSE)</f>
        <v>2022457752.sanjeev@pt.sharda.ac.in</v>
      </c>
      <c r="L340" s="17" t="str">
        <f>VLOOKUP(D340,[3]Sheet1!E:K,6,FALSE)</f>
        <v>8532959985</v>
      </c>
      <c r="M340" s="17" t="s">
        <v>15</v>
      </c>
      <c r="O340" t="e">
        <f>VLOOKUP(C340,#REF!,12,FALSE)</f>
        <v>#REF!</v>
      </c>
    </row>
    <row r="341" spans="1:15">
      <c r="A341" s="17">
        <v>340</v>
      </c>
      <c r="B341" s="17" t="s">
        <v>495</v>
      </c>
      <c r="C341" s="17">
        <v>2022536274</v>
      </c>
      <c r="D341" s="17">
        <v>2201010878</v>
      </c>
      <c r="E341" s="17" t="s">
        <v>1808</v>
      </c>
      <c r="F341" s="17" t="e">
        <f>VLOOKUP('2501_MIS '!C341,'[1]Fast Track '!B:K,10,FALSE)</f>
        <v>#N/A</v>
      </c>
      <c r="G341" s="17" t="str">
        <f>VLOOKUP(C341,[2]Sheet7!A:D,4,FALSE)</f>
        <v>Promoted</v>
      </c>
      <c r="H341" s="45" t="s">
        <v>3645</v>
      </c>
      <c r="I341" s="26" t="s">
        <v>3656</v>
      </c>
      <c r="J341" s="17" t="s">
        <v>496</v>
      </c>
      <c r="K341" s="17" t="str">
        <f>VLOOKUP(C341,[3]Sheet1!D:J,6,FALSE)</f>
        <v>2022536274.ajay@pt.sharda.ac.in</v>
      </c>
      <c r="L341" s="17" t="str">
        <f>VLOOKUP(D341,[3]Sheet1!E:K,6,FALSE)</f>
        <v>7065509551</v>
      </c>
      <c r="M341" s="17" t="s">
        <v>15</v>
      </c>
      <c r="O341" t="e">
        <f>VLOOKUP(C341,#REF!,12,FALSE)</f>
        <v>#REF!</v>
      </c>
    </row>
    <row r="342" spans="1:15">
      <c r="A342" s="17">
        <v>341</v>
      </c>
      <c r="B342" s="17" t="s">
        <v>520</v>
      </c>
      <c r="C342" s="17">
        <v>2021369177</v>
      </c>
      <c r="D342" s="17">
        <v>210101120</v>
      </c>
      <c r="E342" s="17" t="s">
        <v>1808</v>
      </c>
      <c r="F342" s="17" t="e">
        <f>VLOOKUP('2501_MIS '!C342,'[1]Fast Track '!B:K,10,FALSE)</f>
        <v>#N/A</v>
      </c>
      <c r="G342" s="17" t="str">
        <f>VLOOKUP(C342,[2]Sheet7!A:D,4,FALSE)</f>
        <v>Not Promoted</v>
      </c>
      <c r="H342" s="45" t="s">
        <v>3645</v>
      </c>
      <c r="I342" s="26" t="s">
        <v>3656</v>
      </c>
      <c r="J342" s="17" t="s">
        <v>521</v>
      </c>
      <c r="K342" s="17" t="str">
        <f>VLOOKUP(C342,[3]Sheet1!D:J,6,FALSE)</f>
        <v>2021369177.shailendrapratap@pt.sharda.ac.in</v>
      </c>
      <c r="L342" s="17" t="str">
        <f>VLOOKUP(D342,[3]Sheet1!E:K,6,FALSE)</f>
        <v>7599538528</v>
      </c>
      <c r="M342" s="17" t="s">
        <v>15</v>
      </c>
      <c r="O342" t="e">
        <f>VLOOKUP(C342,#REF!,12,FALSE)</f>
        <v>#REF!</v>
      </c>
    </row>
    <row r="343" spans="1:15">
      <c r="A343" s="17">
        <v>342</v>
      </c>
      <c r="B343" s="17" t="s">
        <v>522</v>
      </c>
      <c r="C343" s="17">
        <v>2021375907</v>
      </c>
      <c r="D343" s="17">
        <v>210101149</v>
      </c>
      <c r="E343" s="17" t="s">
        <v>1808</v>
      </c>
      <c r="F343" s="17" t="e">
        <f>VLOOKUP('2501_MIS '!C343,'[1]Fast Track '!B:K,10,FALSE)</f>
        <v>#N/A</v>
      </c>
      <c r="G343" s="17" t="str">
        <f>VLOOKUP(C343,[2]Sheet7!A:D,4,FALSE)</f>
        <v>Not Promoted</v>
      </c>
      <c r="H343" s="45" t="s">
        <v>3645</v>
      </c>
      <c r="I343" s="26" t="s">
        <v>3656</v>
      </c>
      <c r="J343" s="17" t="s">
        <v>523</v>
      </c>
      <c r="K343" s="17" t="str">
        <f>VLOOKUP(C343,[3]Sheet1!D:J,6,FALSE)</f>
        <v>2021375907.prashantkumar@pt.sharda.ac.in</v>
      </c>
      <c r="L343" s="17" t="str">
        <f>VLOOKUP(D343,[3]Sheet1!E:K,6,FALSE)</f>
        <v>9122439887</v>
      </c>
      <c r="M343" s="17" t="s">
        <v>15</v>
      </c>
      <c r="O343" t="e">
        <f>VLOOKUP(C343,#REF!,12,FALSE)</f>
        <v>#REF!</v>
      </c>
    </row>
    <row r="344" spans="1:15">
      <c r="A344" s="17">
        <v>343</v>
      </c>
      <c r="B344" s="17" t="s">
        <v>543</v>
      </c>
      <c r="C344" s="17">
        <v>2022004546</v>
      </c>
      <c r="D344" s="17">
        <v>2201010038</v>
      </c>
      <c r="E344" s="17" t="s">
        <v>1808</v>
      </c>
      <c r="F344" s="17" t="e">
        <f>VLOOKUP('2501_MIS '!C344,'[1]Fast Track '!B:K,10,FALSE)</f>
        <v>#N/A</v>
      </c>
      <c r="G344" s="17" t="str">
        <f>VLOOKUP(C344,[2]Sheet7!A:D,4,FALSE)</f>
        <v>Promoted</v>
      </c>
      <c r="H344" s="45" t="s">
        <v>3645</v>
      </c>
      <c r="I344" s="26" t="s">
        <v>3656</v>
      </c>
      <c r="J344" s="17" t="s">
        <v>544</v>
      </c>
      <c r="K344" s="17" t="str">
        <f>VLOOKUP(C344,[3]Sheet1!D:J,6,FALSE)</f>
        <v>2022004546.premkishore@pt.sharda.ac.in</v>
      </c>
      <c r="L344" s="17" t="str">
        <f>VLOOKUP(D344,[3]Sheet1!E:K,6,FALSE)</f>
        <v>9868040160</v>
      </c>
      <c r="M344" s="17" t="s">
        <v>15</v>
      </c>
      <c r="O344" t="e">
        <f>VLOOKUP(C344,#REF!,12,FALSE)</f>
        <v>#REF!</v>
      </c>
    </row>
    <row r="345" spans="1:15">
      <c r="A345" s="17">
        <v>344</v>
      </c>
      <c r="B345" s="17" t="s">
        <v>622</v>
      </c>
      <c r="C345" s="17">
        <v>2022535859</v>
      </c>
      <c r="D345" s="17">
        <v>2201010043</v>
      </c>
      <c r="E345" s="17" t="s">
        <v>1808</v>
      </c>
      <c r="F345" s="17" t="e">
        <f>VLOOKUP('2501_MIS '!C345,'[1]Fast Track '!B:K,10,FALSE)</f>
        <v>#N/A</v>
      </c>
      <c r="G345" s="17" t="str">
        <f>VLOOKUP(C345,[2]Sheet7!A:D,4,FALSE)</f>
        <v>Promoted</v>
      </c>
      <c r="H345" s="45" t="s">
        <v>3645</v>
      </c>
      <c r="I345" s="26" t="s">
        <v>3656</v>
      </c>
      <c r="J345" s="17" t="s">
        <v>623</v>
      </c>
      <c r="K345" s="17" t="str">
        <f>VLOOKUP(C345,[3]Sheet1!D:J,6,FALSE)</f>
        <v>2022535859.manojkumar@pt.sharda.ac.in</v>
      </c>
      <c r="L345" s="17" t="str">
        <f>VLOOKUP(D345,[3]Sheet1!E:K,6,FALSE)</f>
        <v>9708761089</v>
      </c>
      <c r="M345" s="17" t="s">
        <v>15</v>
      </c>
      <c r="O345" t="e">
        <f>VLOOKUP(C345,#REF!,12,FALSE)</f>
        <v>#REF!</v>
      </c>
    </row>
    <row r="346" spans="1:15">
      <c r="A346" s="17">
        <v>345</v>
      </c>
      <c r="B346" s="17" t="s">
        <v>219</v>
      </c>
      <c r="C346" s="17">
        <v>2022536473</v>
      </c>
      <c r="D346" s="17">
        <v>2201010049</v>
      </c>
      <c r="E346" s="17" t="s">
        <v>1808</v>
      </c>
      <c r="F346" s="17" t="e">
        <f>VLOOKUP('2501_MIS '!C346,'[1]Fast Track '!B:K,10,FALSE)</f>
        <v>#N/A</v>
      </c>
      <c r="G346" s="17" t="str">
        <f>VLOOKUP(C346,[2]Sheet7!A:D,4,FALSE)</f>
        <v>Promoted</v>
      </c>
      <c r="H346" s="45" t="s">
        <v>3645</v>
      </c>
      <c r="I346" s="26" t="s">
        <v>3656</v>
      </c>
      <c r="J346" s="17" t="s">
        <v>624</v>
      </c>
      <c r="K346" s="17" t="str">
        <f>VLOOKUP(C346,[3]Sheet1!D:J,6,FALSE)</f>
        <v>2022536473.vijaykumar@pt.sharda.ac.in</v>
      </c>
      <c r="L346" s="17" t="str">
        <f>VLOOKUP(D346,[3]Sheet1!E:K,6,FALSE)</f>
        <v>8349621902</v>
      </c>
      <c r="M346" s="17" t="s">
        <v>15</v>
      </c>
      <c r="O346" t="e">
        <f>VLOOKUP(C346,#REF!,12,FALSE)</f>
        <v>#REF!</v>
      </c>
    </row>
    <row r="347" spans="1:15">
      <c r="A347" s="17">
        <v>346</v>
      </c>
      <c r="B347" s="17" t="s">
        <v>535</v>
      </c>
      <c r="C347" s="17">
        <v>2022001884</v>
      </c>
      <c r="D347" s="17">
        <v>2201010055</v>
      </c>
      <c r="E347" s="17" t="s">
        <v>1808</v>
      </c>
      <c r="F347" s="17" t="e">
        <f>VLOOKUP('2501_MIS '!C347,'[1]Fast Track '!B:K,10,FALSE)</f>
        <v>#N/A</v>
      </c>
      <c r="G347" s="17" t="str">
        <f>VLOOKUP(C347,[2]Sheet7!A:D,4,FALSE)</f>
        <v>Promoted</v>
      </c>
      <c r="H347" s="45" t="s">
        <v>3645</v>
      </c>
      <c r="I347" s="26" t="s">
        <v>3656</v>
      </c>
      <c r="J347" s="17" t="s">
        <v>536</v>
      </c>
      <c r="K347" s="17" t="str">
        <f>VLOOKUP(C347,[3]Sheet1!D:J,6,FALSE)</f>
        <v>2022001884.chandraprakash@pt.sharda.ac.in</v>
      </c>
      <c r="L347" s="17" t="str">
        <f>VLOOKUP(D347,[3]Sheet1!E:K,6,FALSE)</f>
        <v>8394910079</v>
      </c>
      <c r="M347" s="17" t="s">
        <v>15</v>
      </c>
      <c r="O347" t="e">
        <f>VLOOKUP(C347,#REF!,12,FALSE)</f>
        <v>#REF!</v>
      </c>
    </row>
    <row r="348" spans="1:15">
      <c r="A348" s="17">
        <v>347</v>
      </c>
      <c r="B348" s="17" t="s">
        <v>631</v>
      </c>
      <c r="C348" s="17">
        <v>2022559297</v>
      </c>
      <c r="D348" s="17">
        <v>2201010066</v>
      </c>
      <c r="E348" s="17" t="s">
        <v>1808</v>
      </c>
      <c r="F348" s="17" t="e">
        <f>VLOOKUP('2501_MIS '!C348,'[1]Fast Track '!B:K,10,FALSE)</f>
        <v>#N/A</v>
      </c>
      <c r="G348" s="17" t="str">
        <f>VLOOKUP(C348,[2]Sheet7!A:D,4,FALSE)</f>
        <v>Promoted</v>
      </c>
      <c r="H348" s="45" t="s">
        <v>3645</v>
      </c>
      <c r="I348" s="26" t="s">
        <v>3656</v>
      </c>
      <c r="J348" s="17" t="s">
        <v>632</v>
      </c>
      <c r="K348" s="17" t="str">
        <f>VLOOKUP(C348,[3]Sheet1!D:J,6,FALSE)</f>
        <v>2022559297.arvindkumar@pt.sharda.ac.in</v>
      </c>
      <c r="L348" s="17" t="str">
        <f>VLOOKUP(D348,[3]Sheet1!E:K,6,FALSE)</f>
        <v>9899849201</v>
      </c>
      <c r="M348" s="17" t="s">
        <v>15</v>
      </c>
      <c r="O348" t="e">
        <f>VLOOKUP(C348,#REF!,12,FALSE)</f>
        <v>#REF!</v>
      </c>
    </row>
    <row r="349" spans="1:15">
      <c r="A349" s="17">
        <v>348</v>
      </c>
      <c r="B349" s="17" t="s">
        <v>561</v>
      </c>
      <c r="C349" s="17">
        <v>2022334212</v>
      </c>
      <c r="D349" s="17">
        <v>2201010157</v>
      </c>
      <c r="E349" s="17" t="s">
        <v>1808</v>
      </c>
      <c r="F349" s="17" t="e">
        <f>VLOOKUP('2501_MIS '!C349,'[1]Fast Track '!B:K,10,FALSE)</f>
        <v>#N/A</v>
      </c>
      <c r="G349" s="17" t="str">
        <f>VLOOKUP(C349,[2]Sheet7!A:D,4,FALSE)</f>
        <v>Promoted</v>
      </c>
      <c r="H349" s="45" t="s">
        <v>3645</v>
      </c>
      <c r="I349" s="26" t="s">
        <v>3656</v>
      </c>
      <c r="J349" s="17" t="s">
        <v>562</v>
      </c>
      <c r="K349" s="17" t="str">
        <f>VLOOKUP(C349,[3]Sheet1!D:J,6,FALSE)</f>
        <v>2022334212.munish@pt.sharda.ac.in</v>
      </c>
      <c r="L349" s="17" t="str">
        <f>VLOOKUP(D349,[3]Sheet1!E:K,6,FALSE)</f>
        <v>7982794898</v>
      </c>
      <c r="M349" s="17" t="s">
        <v>15</v>
      </c>
      <c r="O349" t="e">
        <f>VLOOKUP(C349,#REF!,12,FALSE)</f>
        <v>#REF!</v>
      </c>
    </row>
    <row r="350" spans="1:15">
      <c r="A350" s="17">
        <v>349</v>
      </c>
      <c r="B350" s="17" t="s">
        <v>537</v>
      </c>
      <c r="C350" s="17">
        <v>2022002383</v>
      </c>
      <c r="D350" s="17">
        <v>2201010292</v>
      </c>
      <c r="E350" s="17" t="s">
        <v>1808</v>
      </c>
      <c r="F350" s="17" t="e">
        <f>VLOOKUP('2501_MIS '!C350,'[1]Fast Track '!B:K,10,FALSE)</f>
        <v>#N/A</v>
      </c>
      <c r="G350" s="17" t="str">
        <f>VLOOKUP(C350,[2]Sheet7!A:D,4,FALSE)</f>
        <v>Promoted</v>
      </c>
      <c r="H350" s="45" t="s">
        <v>3645</v>
      </c>
      <c r="I350" s="26" t="s">
        <v>3656</v>
      </c>
      <c r="J350" s="17" t="s">
        <v>538</v>
      </c>
      <c r="K350" s="17" t="str">
        <f>VLOOKUP(C350,[3]Sheet1!D:J,6,FALSE)</f>
        <v>2022002383.vikendra@pt.sharda.ac.in</v>
      </c>
      <c r="L350" s="17" t="str">
        <f>VLOOKUP(D350,[3]Sheet1!E:K,6,FALSE)</f>
        <v>9319854930</v>
      </c>
      <c r="M350" s="17" t="s">
        <v>15</v>
      </c>
      <c r="O350" t="e">
        <f>VLOOKUP(C350,#REF!,12,FALSE)</f>
        <v>#REF!</v>
      </c>
    </row>
    <row r="351" spans="1:15">
      <c r="A351" s="17">
        <v>350</v>
      </c>
      <c r="B351" s="17" t="s">
        <v>812</v>
      </c>
      <c r="C351" s="17">
        <v>2022004755</v>
      </c>
      <c r="D351" s="17">
        <v>2201010332</v>
      </c>
      <c r="E351" s="17" t="s">
        <v>1808</v>
      </c>
      <c r="F351" s="17" t="e">
        <f>VLOOKUP('2501_MIS '!C351,'[1]Fast Track '!B:K,10,FALSE)</f>
        <v>#N/A</v>
      </c>
      <c r="G351" s="17" t="str">
        <f>VLOOKUP(C351,[2]Sheet7!A:D,4,FALSE)</f>
        <v>Not Promoted</v>
      </c>
      <c r="H351" s="45" t="s">
        <v>3645</v>
      </c>
      <c r="I351" s="26" t="s">
        <v>3656</v>
      </c>
      <c r="J351" s="17" t="s">
        <v>813</v>
      </c>
      <c r="K351" s="17" t="str">
        <f>VLOOKUP(C351,[3]Sheet1!D:J,6,FALSE)</f>
        <v>2022004755.ajeet@pt.sharda.ac.in</v>
      </c>
      <c r="L351" s="17" t="str">
        <f>VLOOKUP(D351,[3]Sheet1!E:K,6,FALSE)</f>
        <v>9911616569</v>
      </c>
      <c r="M351" s="17" t="s">
        <v>15</v>
      </c>
      <c r="O351" t="e">
        <f>VLOOKUP(C351,#REF!,12,FALSE)</f>
        <v>#REF!</v>
      </c>
    </row>
    <row r="352" spans="1:15">
      <c r="A352" s="17">
        <v>351</v>
      </c>
      <c r="B352" s="17" t="s">
        <v>600</v>
      </c>
      <c r="C352" s="17">
        <v>2022507069</v>
      </c>
      <c r="D352" s="17">
        <v>2201010337</v>
      </c>
      <c r="E352" s="17" t="s">
        <v>1808</v>
      </c>
      <c r="F352" s="17" t="e">
        <f>VLOOKUP('2501_MIS '!C352,'[1]Fast Track '!B:K,10,FALSE)</f>
        <v>#N/A</v>
      </c>
      <c r="G352" s="17" t="str">
        <f>VLOOKUP(C352,[2]Sheet7!A:D,4,FALSE)</f>
        <v>Promoted</v>
      </c>
      <c r="H352" s="45" t="s">
        <v>3645</v>
      </c>
      <c r="I352" s="26" t="s">
        <v>3656</v>
      </c>
      <c r="J352" s="17" t="s">
        <v>601</v>
      </c>
      <c r="K352" s="17" t="str">
        <f>VLOOKUP(C352,[3]Sheet1!D:J,6,FALSE)</f>
        <v>2022507069.dinesh@pt.sharda.ac.in</v>
      </c>
      <c r="L352" s="17" t="str">
        <f>VLOOKUP(D352,[3]Sheet1!E:K,6,FALSE)</f>
        <v>8757335109</v>
      </c>
      <c r="M352" s="17" t="s">
        <v>15</v>
      </c>
      <c r="O352" t="e">
        <f>VLOOKUP(C352,#REF!,12,FALSE)</f>
        <v>#REF!</v>
      </c>
    </row>
    <row r="353" spans="1:15">
      <c r="A353" s="17">
        <v>352</v>
      </c>
      <c r="B353" s="17" t="s">
        <v>639</v>
      </c>
      <c r="C353" s="17">
        <v>2022829153</v>
      </c>
      <c r="D353" s="17">
        <v>2201010397</v>
      </c>
      <c r="E353" s="17" t="s">
        <v>1808</v>
      </c>
      <c r="F353" s="17" t="e">
        <f>VLOOKUP('2501_MIS '!C353,'[1]Fast Track '!B:K,10,FALSE)</f>
        <v>#N/A</v>
      </c>
      <c r="G353" s="17" t="str">
        <f>VLOOKUP(C353,[2]Sheet7!A:D,4,FALSE)</f>
        <v>Promoted</v>
      </c>
      <c r="H353" s="45" t="s">
        <v>3645</v>
      </c>
      <c r="I353" s="26" t="s">
        <v>3656</v>
      </c>
      <c r="J353" s="17" t="s">
        <v>640</v>
      </c>
      <c r="K353" s="17" t="str">
        <f>VLOOKUP(C353,[3]Sheet1!D:J,6,FALSE)</f>
        <v>2022829153.saiyadmahamud@pt.sharda.ac.in</v>
      </c>
      <c r="L353" s="17" t="str">
        <f>VLOOKUP(D353,[3]Sheet1!E:K,6,FALSE)</f>
        <v>91 7050193458</v>
      </c>
      <c r="M353" s="17" t="s">
        <v>15</v>
      </c>
      <c r="O353" t="e">
        <f>VLOOKUP(C353,#REF!,12,FALSE)</f>
        <v>#REF!</v>
      </c>
    </row>
    <row r="354" spans="1:15">
      <c r="A354" s="17">
        <v>353</v>
      </c>
      <c r="B354" s="17" t="s">
        <v>596</v>
      </c>
      <c r="C354" s="17">
        <v>2022506240</v>
      </c>
      <c r="D354" s="17">
        <v>2201010509</v>
      </c>
      <c r="E354" s="17" t="s">
        <v>1808</v>
      </c>
      <c r="F354" s="17" t="e">
        <f>VLOOKUP('2501_MIS '!C354,'[1]Fast Track '!B:K,10,FALSE)</f>
        <v>#N/A</v>
      </c>
      <c r="G354" s="17" t="str">
        <f>VLOOKUP(C354,[2]Sheet7!A:D,4,FALSE)</f>
        <v>Promoted</v>
      </c>
      <c r="H354" s="45" t="s">
        <v>3645</v>
      </c>
      <c r="I354" s="26" t="s">
        <v>3656</v>
      </c>
      <c r="J354" s="17" t="s">
        <v>597</v>
      </c>
      <c r="K354" s="17" t="str">
        <f>VLOOKUP(C354,[3]Sheet1!D:J,6,FALSE)</f>
        <v>2022506240.kuberchand@pt.sharda.ac.in</v>
      </c>
      <c r="L354" s="17" t="str">
        <f>VLOOKUP(D354,[3]Sheet1!E:K,6,FALSE)</f>
        <v>9999226854</v>
      </c>
      <c r="M354" s="17" t="s">
        <v>15</v>
      </c>
      <c r="O354" t="e">
        <f>VLOOKUP(C354,#REF!,12,FALSE)</f>
        <v>#REF!</v>
      </c>
    </row>
    <row r="355" spans="1:15">
      <c r="A355" s="17">
        <v>354</v>
      </c>
      <c r="B355" s="17" t="s">
        <v>588</v>
      </c>
      <c r="C355" s="17">
        <v>2022490152</v>
      </c>
      <c r="D355" s="17">
        <v>2201010517</v>
      </c>
      <c r="E355" s="17" t="s">
        <v>1808</v>
      </c>
      <c r="F355" s="17" t="e">
        <f>VLOOKUP('2501_MIS '!C355,'[1]Fast Track '!B:K,10,FALSE)</f>
        <v>#N/A</v>
      </c>
      <c r="G355" s="17" t="str">
        <f>VLOOKUP(C355,[2]Sheet7!A:D,4,FALSE)</f>
        <v>Promoted</v>
      </c>
      <c r="H355" s="46" t="s">
        <v>3645</v>
      </c>
      <c r="I355" s="26" t="s">
        <v>3656</v>
      </c>
      <c r="J355" s="17" t="s">
        <v>589</v>
      </c>
      <c r="K355" s="17" t="str">
        <f>VLOOKUP(C355,[3]Sheet1!D:J,6,FALSE)</f>
        <v>2022490152.pardeep@pt.sharda.ac.in</v>
      </c>
      <c r="L355" s="17" t="str">
        <f>VLOOKUP(D355,[3]Sheet1!E:K,6,FALSE)</f>
        <v>8222010280</v>
      </c>
      <c r="M355" s="17" t="s">
        <v>15</v>
      </c>
      <c r="O355" t="e">
        <f>VLOOKUP(C355,#REF!,12,FALSE)</f>
        <v>#REF!</v>
      </c>
    </row>
    <row r="356" spans="1:15">
      <c r="A356" s="17">
        <v>355</v>
      </c>
      <c r="B356" s="17" t="s">
        <v>573</v>
      </c>
      <c r="C356" s="17">
        <v>2022427336</v>
      </c>
      <c r="D356" s="17">
        <v>2201010611</v>
      </c>
      <c r="E356" s="17" t="s">
        <v>1808</v>
      </c>
      <c r="F356" s="17" t="e">
        <f>VLOOKUP('2501_MIS '!C356,'[1]Fast Track '!B:K,10,FALSE)</f>
        <v>#N/A</v>
      </c>
      <c r="G356" s="17" t="str">
        <f>VLOOKUP(C356,[2]Sheet7!A:D,4,FALSE)</f>
        <v>Promoted</v>
      </c>
      <c r="H356" s="45" t="s">
        <v>3644</v>
      </c>
      <c r="I356" s="26" t="s">
        <v>3657</v>
      </c>
      <c r="J356" s="17" t="s">
        <v>574</v>
      </c>
      <c r="K356" s="17" t="str">
        <f>VLOOKUP(C356,[3]Sheet1!D:J,6,FALSE)</f>
        <v>2022427336.sunildutt@pt.sharda.ac.in</v>
      </c>
      <c r="L356" s="17" t="str">
        <f>VLOOKUP(D356,[3]Sheet1!E:K,6,FALSE)</f>
        <v>9315253842</v>
      </c>
      <c r="M356" s="17" t="s">
        <v>15</v>
      </c>
      <c r="O356" t="e">
        <f>VLOOKUP(C356,#REF!,12,FALSE)</f>
        <v>#REF!</v>
      </c>
    </row>
    <row r="357" spans="1:15">
      <c r="A357" s="17">
        <v>356</v>
      </c>
      <c r="B357" s="17" t="s">
        <v>616</v>
      </c>
      <c r="C357" s="17">
        <v>2022523724</v>
      </c>
      <c r="D357" s="17">
        <v>2201010632</v>
      </c>
      <c r="E357" s="17" t="s">
        <v>1808</v>
      </c>
      <c r="F357" s="17" t="e">
        <f>VLOOKUP('2501_MIS '!C357,'[1]Fast Track '!B:K,10,FALSE)</f>
        <v>#N/A</v>
      </c>
      <c r="G357" s="17" t="str">
        <f>VLOOKUP(C357,[2]Sheet7!A:D,4,FALSE)</f>
        <v>Promoted</v>
      </c>
      <c r="H357" s="45" t="s">
        <v>3644</v>
      </c>
      <c r="I357" s="26" t="s">
        <v>3657</v>
      </c>
      <c r="J357" s="17" t="s">
        <v>617</v>
      </c>
      <c r="K357" s="17" t="str">
        <f>VLOOKUP(C357,[3]Sheet1!D:J,6,FALSE)</f>
        <v>2022523724.mohd@pt.sharda.ac.in</v>
      </c>
      <c r="L357" s="17" t="str">
        <f>VLOOKUP(D357,[3]Sheet1!E:K,6,FALSE)</f>
        <v>8800970493</v>
      </c>
      <c r="M357" s="17" t="s">
        <v>15</v>
      </c>
      <c r="O357" t="e">
        <f>VLOOKUP(C357,#REF!,12,FALSE)</f>
        <v>#REF!</v>
      </c>
    </row>
    <row r="358" spans="1:15">
      <c r="A358" s="17">
        <v>357</v>
      </c>
      <c r="B358" s="17" t="s">
        <v>565</v>
      </c>
      <c r="C358" s="17">
        <v>2022363290</v>
      </c>
      <c r="D358" s="17">
        <v>2201010711</v>
      </c>
      <c r="E358" s="17" t="s">
        <v>1808</v>
      </c>
      <c r="F358" s="17" t="e">
        <f>VLOOKUP('2501_MIS '!C358,'[1]Fast Track '!B:K,10,FALSE)</f>
        <v>#N/A</v>
      </c>
      <c r="G358" s="17" t="str">
        <f>VLOOKUP(C358,[2]Sheet7!A:D,4,FALSE)</f>
        <v>Promoted</v>
      </c>
      <c r="H358" s="45" t="s">
        <v>3644</v>
      </c>
      <c r="I358" s="26" t="s">
        <v>3657</v>
      </c>
      <c r="J358" s="17" t="s">
        <v>566</v>
      </c>
      <c r="K358" s="17" t="str">
        <f>VLOOKUP(C358,[3]Sheet1!D:J,6,FALSE)</f>
        <v>2022363290.jyotiprakash@pt.sharda.ac.in</v>
      </c>
      <c r="L358" s="17" t="str">
        <f>VLOOKUP(D358,[3]Sheet1!E:K,6,FALSE)</f>
        <v>7643814053</v>
      </c>
      <c r="M358" s="17" t="s">
        <v>15</v>
      </c>
      <c r="O358" t="e">
        <f>VLOOKUP(C358,#REF!,12,FALSE)</f>
        <v>#REF!</v>
      </c>
    </row>
    <row r="359" spans="1:15">
      <c r="A359" s="17">
        <v>358</v>
      </c>
      <c r="B359" s="17" t="s">
        <v>590</v>
      </c>
      <c r="C359" s="17">
        <v>2022498440</v>
      </c>
      <c r="D359" s="17">
        <v>2201010721</v>
      </c>
      <c r="E359" s="17" t="s">
        <v>1808</v>
      </c>
      <c r="F359" s="17" t="e">
        <f>VLOOKUP('2501_MIS '!C359,'[1]Fast Track '!B:K,10,FALSE)</f>
        <v>#N/A</v>
      </c>
      <c r="G359" s="17" t="str">
        <f>VLOOKUP(C359,[2]Sheet7!A:D,4,FALSE)</f>
        <v>Promoted</v>
      </c>
      <c r="H359" s="45" t="s">
        <v>3644</v>
      </c>
      <c r="I359" s="26" t="s">
        <v>3657</v>
      </c>
      <c r="J359" s="17" t="s">
        <v>591</v>
      </c>
      <c r="K359" s="17" t="str">
        <f>VLOOKUP(C359,[3]Sheet1!D:J,6,FALSE)</f>
        <v>2022498440.rajkumar@pt.sharda.ac.in</v>
      </c>
      <c r="L359" s="17" t="str">
        <f>VLOOKUP(D359,[3]Sheet1!E:K,6,FALSE)</f>
        <v>8354944670</v>
      </c>
      <c r="M359" s="17" t="s">
        <v>15</v>
      </c>
      <c r="O359" t="e">
        <f>VLOOKUP(C359,#REF!,12,FALSE)</f>
        <v>#REF!</v>
      </c>
    </row>
    <row r="360" spans="1:15">
      <c r="A360" s="17">
        <v>359</v>
      </c>
      <c r="B360" s="17" t="s">
        <v>553</v>
      </c>
      <c r="C360" s="17">
        <v>2022007195</v>
      </c>
      <c r="D360" s="17">
        <v>2201010837</v>
      </c>
      <c r="E360" s="17" t="s">
        <v>1808</v>
      </c>
      <c r="F360" s="17" t="e">
        <f>VLOOKUP('2501_MIS '!C360,'[1]Fast Track '!B:K,10,FALSE)</f>
        <v>#N/A</v>
      </c>
      <c r="G360" s="17" t="str">
        <f>VLOOKUP(C360,[2]Sheet7!A:D,4,FALSE)</f>
        <v>Promoted</v>
      </c>
      <c r="H360" s="45" t="s">
        <v>3644</v>
      </c>
      <c r="I360" s="26" t="s">
        <v>3657</v>
      </c>
      <c r="J360" s="17" t="s">
        <v>554</v>
      </c>
      <c r="K360" s="17" t="str">
        <f>VLOOKUP(C360,[3]Sheet1!D:J,6,FALSE)</f>
        <v>2022007195.satyapalsingh@pt.sharda.ac.in</v>
      </c>
      <c r="L360" s="17" t="str">
        <f>VLOOKUP(D360,[3]Sheet1!E:K,6,FALSE)</f>
        <v>7456007669</v>
      </c>
      <c r="M360" s="17" t="s">
        <v>15</v>
      </c>
      <c r="O360" t="e">
        <f>VLOOKUP(C360,#REF!,12,FALSE)</f>
        <v>#REF!</v>
      </c>
    </row>
    <row r="361" spans="1:15">
      <c r="A361" s="17">
        <v>360</v>
      </c>
      <c r="B361" s="17" t="s">
        <v>526</v>
      </c>
      <c r="C361" s="17">
        <v>2022536169</v>
      </c>
      <c r="D361" s="17">
        <v>2201010877</v>
      </c>
      <c r="E361" s="17" t="s">
        <v>1808</v>
      </c>
      <c r="F361" s="17" t="e">
        <f>VLOOKUP('2501_MIS '!C361,'[1]Fast Track '!B:K,10,FALSE)</f>
        <v>#N/A</v>
      </c>
      <c r="G361" s="17" t="str">
        <f>VLOOKUP(C361,[2]Sheet7!A:D,4,FALSE)</f>
        <v>Promoted</v>
      </c>
      <c r="H361" s="45" t="s">
        <v>3644</v>
      </c>
      <c r="I361" s="26" t="s">
        <v>3657</v>
      </c>
      <c r="J361" s="17" t="s">
        <v>527</v>
      </c>
      <c r="K361" s="17" t="str">
        <f>VLOOKUP(C361,[3]Sheet1!D:J,6,FALSE)</f>
        <v>2022536169.pankaj@pt.sharda.ac.in</v>
      </c>
      <c r="L361" s="17" t="str">
        <f>VLOOKUP(D361,[3]Sheet1!E:K,6,FALSE)</f>
        <v>8868830646</v>
      </c>
      <c r="M361" s="17" t="s">
        <v>15</v>
      </c>
      <c r="O361" t="e">
        <f>VLOOKUP(C361,#REF!,12,FALSE)</f>
        <v>#REF!</v>
      </c>
    </row>
    <row r="362" spans="1:15">
      <c r="A362" s="17">
        <v>361</v>
      </c>
      <c r="B362" s="17" t="s">
        <v>633</v>
      </c>
      <c r="C362" s="17">
        <v>2022573413</v>
      </c>
      <c r="D362" s="17">
        <v>2201010884</v>
      </c>
      <c r="E362" s="17" t="s">
        <v>1808</v>
      </c>
      <c r="F362" s="17" t="e">
        <f>VLOOKUP('2501_MIS '!C362,'[1]Fast Track '!B:K,10,FALSE)</f>
        <v>#N/A</v>
      </c>
      <c r="G362" s="17" t="str">
        <f>VLOOKUP(C362,[2]Sheet7!A:D,4,FALSE)</f>
        <v>Promoted</v>
      </c>
      <c r="H362" s="45" t="s">
        <v>3644</v>
      </c>
      <c r="I362" s="26" t="s">
        <v>3657</v>
      </c>
      <c r="J362" s="17" t="s">
        <v>634</v>
      </c>
      <c r="K362" s="17" t="str">
        <f>VLOOKUP(C362,[3]Sheet1!D:J,6,FALSE)</f>
        <v>2022573413.balaram@pt.sharda.ac.in</v>
      </c>
      <c r="L362" s="17" t="str">
        <f>VLOOKUP(D362,[3]Sheet1!E:K,6,FALSE)</f>
        <v>9748781285</v>
      </c>
      <c r="M362" s="17" t="s">
        <v>15</v>
      </c>
      <c r="O362" t="e">
        <f>VLOOKUP(C362,#REF!,12,FALSE)</f>
        <v>#REF!</v>
      </c>
    </row>
    <row r="363" spans="1:15">
      <c r="A363" s="17">
        <v>362</v>
      </c>
      <c r="B363" s="17" t="s">
        <v>654</v>
      </c>
      <c r="C363" s="17">
        <v>2022000245</v>
      </c>
      <c r="D363" s="17">
        <v>2201010098</v>
      </c>
      <c r="E363" s="17" t="s">
        <v>1808</v>
      </c>
      <c r="F363" s="17" t="e">
        <f>VLOOKUP('2501_MIS '!C363,'[1]Fast Track '!B:K,10,FALSE)</f>
        <v>#N/A</v>
      </c>
      <c r="G363" s="17" t="str">
        <f>VLOOKUP(C363,[2]Sheet7!A:D,4,FALSE)</f>
        <v>Promoted</v>
      </c>
      <c r="H363" s="45" t="s">
        <v>3644</v>
      </c>
      <c r="I363" s="26" t="s">
        <v>3657</v>
      </c>
      <c r="J363" s="17" t="s">
        <v>655</v>
      </c>
      <c r="K363" s="17" t="str">
        <f>VLOOKUP(C363,[3]Sheet1!D:J,6,FALSE)</f>
        <v>2022000245.jailal@pt.sharda.ac.in</v>
      </c>
      <c r="L363" s="17" t="str">
        <f>VLOOKUP(D363,[3]Sheet1!E:K,6,FALSE)</f>
        <v>7667491662</v>
      </c>
      <c r="M363" s="17" t="s">
        <v>15</v>
      </c>
      <c r="O363" t="e">
        <f>VLOOKUP(C363,#REF!,12,FALSE)</f>
        <v>#REF!</v>
      </c>
    </row>
    <row r="364" spans="1:15">
      <c r="A364" s="17">
        <v>363</v>
      </c>
      <c r="B364" s="17" t="s">
        <v>734</v>
      </c>
      <c r="C364" s="17">
        <v>2022577356</v>
      </c>
      <c r="D364" s="17">
        <v>2201010103</v>
      </c>
      <c r="E364" s="17" t="s">
        <v>1808</v>
      </c>
      <c r="F364" s="17" t="e">
        <f>VLOOKUP('2501_MIS '!C364,'[1]Fast Track '!B:K,10,FALSE)</f>
        <v>#N/A</v>
      </c>
      <c r="G364" s="17" t="str">
        <f>VLOOKUP(C364,[2]Sheet7!A:D,4,FALSE)</f>
        <v>Promoted</v>
      </c>
      <c r="H364" s="45" t="s">
        <v>3644</v>
      </c>
      <c r="I364" s="26" t="s">
        <v>3657</v>
      </c>
      <c r="J364" s="17" t="s">
        <v>735</v>
      </c>
      <c r="K364" s="17" t="str">
        <f>VLOOKUP(C364,[3]Sheet1!D:J,6,FALSE)</f>
        <v>2022577356.rahul@pt.sharda.ac.in</v>
      </c>
      <c r="L364" s="17" t="str">
        <f>VLOOKUP(D364,[3]Sheet1!E:K,6,FALSE)</f>
        <v>9905227087</v>
      </c>
      <c r="M364" s="17" t="s">
        <v>15</v>
      </c>
      <c r="O364" t="e">
        <f>VLOOKUP(C364,#REF!,12,FALSE)</f>
        <v>#REF!</v>
      </c>
    </row>
    <row r="365" spans="1:15">
      <c r="A365" s="17">
        <v>364</v>
      </c>
      <c r="B365" s="17" t="s">
        <v>743</v>
      </c>
      <c r="C365" s="17">
        <v>2022820872</v>
      </c>
      <c r="D365" s="17">
        <v>2201010182</v>
      </c>
      <c r="E365" s="17" t="s">
        <v>1808</v>
      </c>
      <c r="F365" s="17" t="e">
        <f>VLOOKUP('2501_MIS '!C365,'[1]Fast Track '!B:K,10,FALSE)</f>
        <v>#N/A</v>
      </c>
      <c r="G365" s="17" t="str">
        <f>VLOOKUP(C365,[2]Sheet7!A:D,4,FALSE)</f>
        <v>Promoted</v>
      </c>
      <c r="H365" s="45" t="s">
        <v>3644</v>
      </c>
      <c r="I365" s="26" t="s">
        <v>3657</v>
      </c>
      <c r="J365" s="17" t="s">
        <v>744</v>
      </c>
      <c r="K365" s="17" t="str">
        <f>VLOOKUP(C365,[3]Sheet1!D:J,6,FALSE)</f>
        <v>2022820872.manojanand@pt.sharda.ac.in</v>
      </c>
      <c r="L365" s="17" t="str">
        <f>VLOOKUP(D365,[3]Sheet1!E:K,6,FALSE)</f>
        <v>91 7011964628</v>
      </c>
      <c r="M365" s="17" t="s">
        <v>15</v>
      </c>
      <c r="O365" t="e">
        <f>VLOOKUP(C365,#REF!,12,FALSE)</f>
        <v>#REF!</v>
      </c>
    </row>
    <row r="366" spans="1:15">
      <c r="A366" s="17">
        <v>365</v>
      </c>
      <c r="B366" s="17" t="s">
        <v>689</v>
      </c>
      <c r="C366" s="17">
        <v>2022007055</v>
      </c>
      <c r="D366" s="17">
        <v>2201010187</v>
      </c>
      <c r="E366" s="17" t="s">
        <v>1808</v>
      </c>
      <c r="F366" s="17" t="e">
        <f>VLOOKUP('2501_MIS '!C366,'[1]Fast Track '!B:K,10,FALSE)</f>
        <v>#N/A</v>
      </c>
      <c r="G366" s="17" t="str">
        <f>VLOOKUP(C366,[2]Sheet7!A:D,4,FALSE)</f>
        <v>Promoted</v>
      </c>
      <c r="H366" s="45" t="s">
        <v>3644</v>
      </c>
      <c r="I366" s="26" t="s">
        <v>3657</v>
      </c>
      <c r="J366" s="17" t="s">
        <v>690</v>
      </c>
      <c r="K366" s="17" t="str">
        <f>VLOOKUP(C366,[3]Sheet1!D:J,6,FALSE)</f>
        <v>2022007055.ramankishor@pt.sharda.ac.in</v>
      </c>
      <c r="L366" s="17" t="str">
        <f>VLOOKUP(D366,[3]Sheet1!E:K,6,FALSE)</f>
        <v>9525902309</v>
      </c>
      <c r="M366" s="17" t="s">
        <v>15</v>
      </c>
      <c r="O366" t="e">
        <f>VLOOKUP(C366,#REF!,12,FALSE)</f>
        <v>#REF!</v>
      </c>
    </row>
    <row r="367" spans="1:15">
      <c r="A367" s="17">
        <v>366</v>
      </c>
      <c r="B367" s="17" t="s">
        <v>693</v>
      </c>
      <c r="C367" s="17">
        <v>2022007141</v>
      </c>
      <c r="D367" s="17">
        <v>2201010196</v>
      </c>
      <c r="E367" s="17" t="s">
        <v>1808</v>
      </c>
      <c r="F367" s="17" t="e">
        <f>VLOOKUP('2501_MIS '!C367,'[1]Fast Track '!B:K,10,FALSE)</f>
        <v>#N/A</v>
      </c>
      <c r="G367" s="17" t="str">
        <f>VLOOKUP(C367,[2]Sheet7!A:D,4,FALSE)</f>
        <v>Promoted</v>
      </c>
      <c r="H367" s="45" t="s">
        <v>3644</v>
      </c>
      <c r="I367" s="26" t="s">
        <v>3657</v>
      </c>
      <c r="J367" s="17" t="s">
        <v>694</v>
      </c>
      <c r="K367" s="17" t="str">
        <f>VLOOKUP(C367,[3]Sheet1!D:J,6,FALSE)</f>
        <v>2022007141.sanjay@pt.sharda.ac.in</v>
      </c>
      <c r="L367" s="17" t="str">
        <f>VLOOKUP(D367,[3]Sheet1!E:K,6,FALSE)</f>
        <v>7417242229</v>
      </c>
      <c r="M367" s="17" t="s">
        <v>15</v>
      </c>
      <c r="O367" t="e">
        <f>VLOOKUP(C367,#REF!,12,FALSE)</f>
        <v>#REF!</v>
      </c>
    </row>
    <row r="368" spans="1:15">
      <c r="A368" s="17">
        <v>367</v>
      </c>
      <c r="B368" s="17" t="s">
        <v>749</v>
      </c>
      <c r="C368" s="17">
        <v>2022833385</v>
      </c>
      <c r="D368" s="17">
        <v>2201010199</v>
      </c>
      <c r="E368" s="17" t="s">
        <v>1808</v>
      </c>
      <c r="F368" s="17" t="e">
        <f>VLOOKUP('2501_MIS '!C368,'[1]Fast Track '!B:K,10,FALSE)</f>
        <v>#N/A</v>
      </c>
      <c r="G368" s="17" t="str">
        <f>VLOOKUP(C368,[2]Sheet7!A:D,4,FALSE)</f>
        <v>Promoted</v>
      </c>
      <c r="H368" s="45" t="s">
        <v>3644</v>
      </c>
      <c r="I368" s="26" t="s">
        <v>3657</v>
      </c>
      <c r="J368" s="17" t="s">
        <v>750</v>
      </c>
      <c r="K368" s="17" t="str">
        <f>VLOOKUP(C368,[3]Sheet1!D:J,6,FALSE)</f>
        <v>2022833385.thabang@pt.sharda.ac.in</v>
      </c>
      <c r="L368" s="17" t="str">
        <f>VLOOKUP(D368,[3]Sheet1!E:K,6,FALSE)</f>
        <v>58870955</v>
      </c>
      <c r="M368" s="17" t="s">
        <v>15</v>
      </c>
      <c r="O368" t="e">
        <f>VLOOKUP(C368,#REF!,12,FALSE)</f>
        <v>#REF!</v>
      </c>
    </row>
    <row r="369" spans="1:15">
      <c r="A369" s="17">
        <v>368</v>
      </c>
      <c r="B369" s="17" t="s">
        <v>741</v>
      </c>
      <c r="C369" s="17">
        <v>2022816874</v>
      </c>
      <c r="D369" s="17">
        <v>2201010252</v>
      </c>
      <c r="E369" s="17" t="s">
        <v>1808</v>
      </c>
      <c r="F369" s="17" t="e">
        <f>VLOOKUP('2501_MIS '!C369,'[1]Fast Track '!B:K,10,FALSE)</f>
        <v>#N/A</v>
      </c>
      <c r="G369" s="17" t="str">
        <f>VLOOKUP(C369,[2]Sheet7!A:D,4,FALSE)</f>
        <v>Promoted</v>
      </c>
      <c r="H369" s="45" t="s">
        <v>3644</v>
      </c>
      <c r="I369" s="26" t="s">
        <v>3657</v>
      </c>
      <c r="J369" s="17" t="s">
        <v>742</v>
      </c>
      <c r="K369" s="17" t="str">
        <f>VLOOKUP(C369,[3]Sheet1!D:J,6,FALSE)</f>
        <v>2022816874.bishnukant@pt.sharda.ac.in</v>
      </c>
      <c r="L369" s="17" t="str">
        <f>VLOOKUP(D369,[3]Sheet1!E:K,6,FALSE)</f>
        <v>91 7676535597</v>
      </c>
      <c r="M369" s="17" t="s">
        <v>15</v>
      </c>
      <c r="O369" t="e">
        <f>VLOOKUP(C369,#REF!,12,FALSE)</f>
        <v>#REF!</v>
      </c>
    </row>
    <row r="370" spans="1:15">
      <c r="A370" s="17">
        <v>369</v>
      </c>
      <c r="B370" s="17" t="s">
        <v>658</v>
      </c>
      <c r="C370" s="17">
        <v>2022006870</v>
      </c>
      <c r="D370" s="17">
        <v>2201010310</v>
      </c>
      <c r="E370" s="17" t="s">
        <v>1808</v>
      </c>
      <c r="F370" s="17" t="e">
        <f>VLOOKUP('2501_MIS '!C370,'[1]Fast Track '!B:K,10,FALSE)</f>
        <v>#N/A</v>
      </c>
      <c r="G370" s="17" t="str">
        <f>VLOOKUP(C370,[2]Sheet7!A:D,4,FALSE)</f>
        <v>Promoted</v>
      </c>
      <c r="H370" s="45" t="s">
        <v>3644</v>
      </c>
      <c r="I370" s="26" t="s">
        <v>3657</v>
      </c>
      <c r="J370" s="17" t="s">
        <v>659</v>
      </c>
      <c r="K370" s="17" t="str">
        <f>VLOOKUP(C370,[3]Sheet1!D:J,6,FALSE)</f>
        <v>2022006870.binod@pt.sharda.ac.in</v>
      </c>
      <c r="L370" s="17" t="str">
        <f>VLOOKUP(D370,[3]Sheet1!E:K,6,FALSE)</f>
        <v>6200170281</v>
      </c>
      <c r="M370" s="17" t="s">
        <v>15</v>
      </c>
      <c r="O370" t="e">
        <f>VLOOKUP(C370,#REF!,12,FALSE)</f>
        <v>#REF!</v>
      </c>
    </row>
    <row r="371" spans="1:15">
      <c r="A371" s="17">
        <v>370</v>
      </c>
      <c r="B371" s="17" t="s">
        <v>664</v>
      </c>
      <c r="C371" s="17">
        <v>2022444658</v>
      </c>
      <c r="D371" s="17">
        <v>2201010334</v>
      </c>
      <c r="E371" s="17" t="s">
        <v>1808</v>
      </c>
      <c r="F371" s="17" t="e">
        <f>VLOOKUP('2501_MIS '!C371,'[1]Fast Track '!B:K,10,FALSE)</f>
        <v>#N/A</v>
      </c>
      <c r="G371" s="17" t="str">
        <f>VLOOKUP(C371,[2]Sheet7!A:D,4,FALSE)</f>
        <v>Promoted</v>
      </c>
      <c r="H371" s="45" t="s">
        <v>3644</v>
      </c>
      <c r="I371" s="26" t="s">
        <v>3657</v>
      </c>
      <c r="J371" s="17" t="s">
        <v>665</v>
      </c>
      <c r="K371" s="17" t="str">
        <f>VLOOKUP(C371,[3]Sheet1!D:J,6,FALSE)</f>
        <v>2022444658.vindhyachalsingh@pt.sharda.ac.in</v>
      </c>
      <c r="L371" s="17" t="str">
        <f>VLOOKUP(D371,[3]Sheet1!E:K,6,FALSE)</f>
        <v>7081066123</v>
      </c>
      <c r="M371" s="17" t="s">
        <v>15</v>
      </c>
      <c r="O371" t="e">
        <f>VLOOKUP(C371,#REF!,12,FALSE)</f>
        <v>#REF!</v>
      </c>
    </row>
    <row r="372" spans="1:15">
      <c r="A372" s="17">
        <v>371</v>
      </c>
      <c r="B372" s="17" t="s">
        <v>672</v>
      </c>
      <c r="C372" s="17">
        <v>2022540866</v>
      </c>
      <c r="D372" s="17">
        <v>2201010382</v>
      </c>
      <c r="E372" s="17" t="s">
        <v>1808</v>
      </c>
      <c r="F372" s="17" t="e">
        <f>VLOOKUP('2501_MIS '!C372,'[1]Fast Track '!B:K,10,FALSE)</f>
        <v>#N/A</v>
      </c>
      <c r="G372" s="17" t="str">
        <f>VLOOKUP(C372,[2]Sheet7!A:D,4,FALSE)</f>
        <v>Promoted</v>
      </c>
      <c r="H372" s="45" t="s">
        <v>3644</v>
      </c>
      <c r="I372" s="26" t="s">
        <v>3657</v>
      </c>
      <c r="J372" s="17" t="s">
        <v>673</v>
      </c>
      <c r="K372" s="17" t="str">
        <f>VLOOKUP(C372,[3]Sheet1!D:J,6,FALSE)</f>
        <v>2022540866.reyazahmed@pt.sharda.ac.in</v>
      </c>
      <c r="L372" s="17" t="str">
        <f>VLOOKUP(D372,[3]Sheet1!E:K,6,FALSE)</f>
        <v>9102569677</v>
      </c>
      <c r="M372" s="17" t="s">
        <v>15</v>
      </c>
      <c r="O372" t="e">
        <f>VLOOKUP(C372,#REF!,12,FALSE)</f>
        <v>#REF!</v>
      </c>
    </row>
    <row r="373" spans="1:15">
      <c r="A373" s="17">
        <v>372</v>
      </c>
      <c r="B373" s="17" t="s">
        <v>703</v>
      </c>
      <c r="C373" s="17">
        <v>2022309654</v>
      </c>
      <c r="D373" s="17">
        <v>2201010383</v>
      </c>
      <c r="E373" s="17" t="s">
        <v>1808</v>
      </c>
      <c r="F373" s="17" t="e">
        <f>VLOOKUP('2501_MIS '!C373,'[1]Fast Track '!B:K,10,FALSE)</f>
        <v>#N/A</v>
      </c>
      <c r="G373" s="17" t="str">
        <f>VLOOKUP(C373,[2]Sheet7!A:D,4,FALSE)</f>
        <v>Promoted</v>
      </c>
      <c r="H373" s="45" t="s">
        <v>3644</v>
      </c>
      <c r="I373" s="26" t="s">
        <v>3657</v>
      </c>
      <c r="J373" s="17" t="s">
        <v>704</v>
      </c>
      <c r="K373" s="17" t="str">
        <f>VLOOKUP(C373,[3]Sheet1!D:J,6,FALSE)</f>
        <v>2022309654.vimal@pt.sharda.ac.in</v>
      </c>
      <c r="L373" s="17" t="str">
        <f>VLOOKUP(D373,[3]Sheet1!E:K,6,FALSE)</f>
        <v>7644063616</v>
      </c>
      <c r="M373" s="17" t="s">
        <v>15</v>
      </c>
      <c r="O373" t="e">
        <f>VLOOKUP(C373,#REF!,12,FALSE)</f>
        <v>#REF!</v>
      </c>
    </row>
    <row r="374" spans="1:15">
      <c r="A374" s="17">
        <v>373</v>
      </c>
      <c r="B374" s="17" t="s">
        <v>763</v>
      </c>
      <c r="C374" s="17">
        <v>2022505407</v>
      </c>
      <c r="D374" s="17">
        <v>2201010387</v>
      </c>
      <c r="E374" s="17" t="s">
        <v>1808</v>
      </c>
      <c r="F374" s="17" t="e">
        <f>VLOOKUP('2501_MIS '!C374,'[1]Fast Track '!B:K,10,FALSE)</f>
        <v>#N/A</v>
      </c>
      <c r="G374" s="17" t="str">
        <f>VLOOKUP(C374,[2]Sheet7!A:D,4,FALSE)</f>
        <v>Not Promoted</v>
      </c>
      <c r="H374" s="45" t="s">
        <v>3644</v>
      </c>
      <c r="I374" s="26" t="s">
        <v>3657</v>
      </c>
      <c r="J374" s="17" t="s">
        <v>764</v>
      </c>
      <c r="K374" s="17" t="str">
        <f>VLOOKUP(C374,[3]Sheet1!D:J,6,FALSE)</f>
        <v>2022505407.mdsayeedul@pt.sharda.ac.in</v>
      </c>
      <c r="L374" s="17" t="str">
        <f>VLOOKUP(D374,[3]Sheet1!E:K,6,FALSE)</f>
        <v>8986447723</v>
      </c>
      <c r="M374" s="17" t="s">
        <v>15</v>
      </c>
      <c r="O374" t="e">
        <f>VLOOKUP(C374,#REF!,12,FALSE)</f>
        <v>#REF!</v>
      </c>
    </row>
    <row r="375" spans="1:15">
      <c r="A375" s="17">
        <v>374</v>
      </c>
      <c r="B375" s="17" t="s">
        <v>745</v>
      </c>
      <c r="C375" s="17">
        <v>2022832103</v>
      </c>
      <c r="D375" s="17">
        <v>2201010413</v>
      </c>
      <c r="E375" s="17" t="s">
        <v>1808</v>
      </c>
      <c r="F375" s="17" t="e">
        <f>VLOOKUP('2501_MIS '!C375,'[1]Fast Track '!B:K,10,FALSE)</f>
        <v>#N/A</v>
      </c>
      <c r="G375" s="17" t="str">
        <f>VLOOKUP(C375,[2]Sheet7!A:D,4,FALSE)</f>
        <v>Not Promoted</v>
      </c>
      <c r="H375" s="45" t="s">
        <v>3644</v>
      </c>
      <c r="I375" s="26" t="s">
        <v>3657</v>
      </c>
      <c r="J375" s="17" t="s">
        <v>746</v>
      </c>
      <c r="K375" s="17" t="str">
        <f>VLOOKUP(C375,[3]Sheet1!D:J,6,FALSE)</f>
        <v>2022832103.dilshad@pt.sharda.ac.in</v>
      </c>
      <c r="L375" s="17" t="str">
        <f>VLOOKUP(D375,[3]Sheet1!E:K,6,FALSE)</f>
        <v>966 504144013</v>
      </c>
      <c r="M375" s="17" t="s">
        <v>15</v>
      </c>
      <c r="O375" t="e">
        <f>VLOOKUP(C375,#REF!,12,FALSE)</f>
        <v>#REF!</v>
      </c>
    </row>
    <row r="376" spans="1:15">
      <c r="A376" s="17">
        <v>375</v>
      </c>
      <c r="B376" s="17" t="s">
        <v>668</v>
      </c>
      <c r="C376" s="17">
        <v>2022005063</v>
      </c>
      <c r="D376" s="17">
        <v>2201010420</v>
      </c>
      <c r="E376" s="17" t="s">
        <v>1808</v>
      </c>
      <c r="F376" s="17" t="e">
        <f>VLOOKUP('2501_MIS '!C376,'[1]Fast Track '!B:K,10,FALSE)</f>
        <v>#N/A</v>
      </c>
      <c r="G376" s="17" t="str">
        <f>VLOOKUP(C376,[2]Sheet7!A:D,4,FALSE)</f>
        <v>Promoted</v>
      </c>
      <c r="H376" s="45" t="s">
        <v>3644</v>
      </c>
      <c r="I376" s="26" t="s">
        <v>3657</v>
      </c>
      <c r="J376" s="17" t="s">
        <v>669</v>
      </c>
      <c r="K376" s="17" t="str">
        <f>VLOOKUP(C376,[3]Sheet1!D:J,6,FALSE)</f>
        <v>2022005063.shakeel@pt.sharda.ac.in</v>
      </c>
      <c r="L376" s="17" t="str">
        <f>VLOOKUP(D376,[3]Sheet1!E:K,6,FALSE)</f>
        <v>8923559251</v>
      </c>
      <c r="M376" s="17" t="s">
        <v>15</v>
      </c>
      <c r="O376" t="e">
        <f>VLOOKUP(C376,#REF!,12,FALSE)</f>
        <v>#REF!</v>
      </c>
    </row>
    <row r="377" spans="1:15">
      <c r="A377" s="17">
        <v>376</v>
      </c>
      <c r="B377" s="17" t="s">
        <v>676</v>
      </c>
      <c r="C377" s="17">
        <v>2022447440</v>
      </c>
      <c r="D377" s="17">
        <v>2201010432</v>
      </c>
      <c r="E377" s="17" t="s">
        <v>1808</v>
      </c>
      <c r="F377" s="17" t="e">
        <f>VLOOKUP('2501_MIS '!C377,'[1]Fast Track '!B:K,10,FALSE)</f>
        <v>#N/A</v>
      </c>
      <c r="G377" s="17" t="str">
        <f>VLOOKUP(C377,[2]Sheet7!A:D,4,FALSE)</f>
        <v>Promoted</v>
      </c>
      <c r="H377" s="45" t="s">
        <v>3644</v>
      </c>
      <c r="I377" s="26" t="s">
        <v>3657</v>
      </c>
      <c r="J377" s="17" t="s">
        <v>677</v>
      </c>
      <c r="K377" s="17" t="str">
        <f>VLOOKUP(C377,[3]Sheet1!D:J,6,FALSE)</f>
        <v>2022447440.girijashankar@pt.sharda.ac.in</v>
      </c>
      <c r="L377" s="17" t="str">
        <f>VLOOKUP(D377,[3]Sheet1!E:K,6,FALSE)</f>
        <v>8319379307</v>
      </c>
      <c r="M377" s="17" t="s">
        <v>15</v>
      </c>
      <c r="O377" t="e">
        <f>VLOOKUP(C377,#REF!,12,FALSE)</f>
        <v>#REF!</v>
      </c>
    </row>
    <row r="378" spans="1:15">
      <c r="A378" s="17">
        <v>377</v>
      </c>
      <c r="B378" s="17" t="s">
        <v>656</v>
      </c>
      <c r="C378" s="17">
        <v>2022006827</v>
      </c>
      <c r="D378" s="17">
        <v>2201010832</v>
      </c>
      <c r="E378" s="17" t="s">
        <v>1808</v>
      </c>
      <c r="F378" s="17" t="e">
        <f>VLOOKUP('2501_MIS '!C378,'[1]Fast Track '!B:K,10,FALSE)</f>
        <v>#N/A</v>
      </c>
      <c r="G378" s="17" t="str">
        <f>VLOOKUP(C378,[2]Sheet7!A:D,4,FALSE)</f>
        <v>Promoted</v>
      </c>
      <c r="H378" s="45" t="s">
        <v>3644</v>
      </c>
      <c r="I378" s="26" t="s">
        <v>3657</v>
      </c>
      <c r="J378" s="17" t="s">
        <v>657</v>
      </c>
      <c r="K378" s="17" t="str">
        <f>VLOOKUP(C378,[3]Sheet1!D:J,6,FALSE)</f>
        <v>2022006827.ganesh@pt.sharda.ac.in</v>
      </c>
      <c r="L378" s="17" t="str">
        <f>VLOOKUP(D378,[3]Sheet1!E:K,6,FALSE)</f>
        <v>7739168024</v>
      </c>
      <c r="M378" s="17" t="s">
        <v>15</v>
      </c>
      <c r="O378" t="e">
        <f>VLOOKUP(C378,#REF!,12,FALSE)</f>
        <v>#REF!</v>
      </c>
    </row>
    <row r="379" spans="1:15">
      <c r="A379" s="17">
        <v>378</v>
      </c>
      <c r="B379" s="17" t="s">
        <v>687</v>
      </c>
      <c r="C379" s="17">
        <v>2022006845</v>
      </c>
      <c r="D379" s="17">
        <v>2201010833</v>
      </c>
      <c r="E379" s="17" t="s">
        <v>1808</v>
      </c>
      <c r="F379" s="17" t="e">
        <f>VLOOKUP('2501_MIS '!C379,'[1]Fast Track '!B:K,10,FALSE)</f>
        <v>#N/A</v>
      </c>
      <c r="G379" s="17" t="str">
        <f>VLOOKUP(C379,[2]Sheet7!A:D,4,FALSE)</f>
        <v>Promoted</v>
      </c>
      <c r="H379" s="45" t="s">
        <v>3644</v>
      </c>
      <c r="I379" s="26" t="s">
        <v>3657</v>
      </c>
      <c r="J379" s="17" t="s">
        <v>688</v>
      </c>
      <c r="K379" s="17" t="str">
        <f>VLOOKUP(C379,[3]Sheet1!D:J,6,FALSE)</f>
        <v>2022006845.ikleshkumar@pt.sharda.ac.in</v>
      </c>
      <c r="L379" s="17" t="str">
        <f>VLOOKUP(D379,[3]Sheet1!E:K,6,FALSE)</f>
        <v>9897705302</v>
      </c>
      <c r="M379" s="17" t="s">
        <v>15</v>
      </c>
      <c r="O379" t="e">
        <f>VLOOKUP(C379,#REF!,12,FALSE)</f>
        <v>#REF!</v>
      </c>
    </row>
    <row r="380" spans="1:15">
      <c r="A380" s="17">
        <v>379</v>
      </c>
      <c r="B380" s="17" t="s">
        <v>408</v>
      </c>
      <c r="C380" s="17">
        <v>2022005252</v>
      </c>
      <c r="D380" s="17">
        <v>2201010278</v>
      </c>
      <c r="E380" s="17" t="s">
        <v>1808</v>
      </c>
      <c r="F380" s="17" t="e">
        <f>VLOOKUP('2501_MIS '!C380,'[1]Fast Track '!B:K,10,FALSE)</f>
        <v>#N/A</v>
      </c>
      <c r="G380" s="17" t="str">
        <f>VLOOKUP(C380,[2]Sheet7!A:D,4,FALSE)</f>
        <v>Promoted</v>
      </c>
      <c r="H380" s="45" t="s">
        <v>3645</v>
      </c>
      <c r="I380" s="26" t="s">
        <v>3656</v>
      </c>
      <c r="J380" s="17" t="s">
        <v>409</v>
      </c>
      <c r="K380" s="17" t="str">
        <f>VLOOKUP(C380,[3]Sheet1!D:J,6,FALSE)</f>
        <v>2022005252.sunil@pt.sharda.ac.in</v>
      </c>
      <c r="L380" s="17" t="str">
        <f>VLOOKUP(D380,[3]Sheet1!E:K,6,FALSE)</f>
        <v>9548484695</v>
      </c>
      <c r="M380" s="17" t="s">
        <v>15</v>
      </c>
      <c r="O380" t="e">
        <f>VLOOKUP(C380,#REF!,12,FALSE)</f>
        <v>#REF!</v>
      </c>
    </row>
    <row r="381" spans="1:15">
      <c r="A381" s="17">
        <v>380</v>
      </c>
      <c r="B381" s="17" t="s">
        <v>757</v>
      </c>
      <c r="C381" s="17">
        <v>2022007320</v>
      </c>
      <c r="D381" s="17">
        <v>2201010842</v>
      </c>
      <c r="E381" s="17" t="s">
        <v>1808</v>
      </c>
      <c r="F381" s="17" t="e">
        <f>VLOOKUP('2501_MIS '!C381,'[1]Fast Track '!B:K,10,FALSE)</f>
        <v>#N/A</v>
      </c>
      <c r="G381" s="17" t="str">
        <f>VLOOKUP(C381,[2]Sheet7!A:D,4,FALSE)</f>
        <v>Promoted</v>
      </c>
      <c r="H381" s="45" t="s">
        <v>3644</v>
      </c>
      <c r="I381" s="26" t="s">
        <v>3657</v>
      </c>
      <c r="J381" s="17" t="s">
        <v>758</v>
      </c>
      <c r="K381" s="17" t="str">
        <f>VLOOKUP(C381,[3]Sheet1!D:J,6,FALSE)</f>
        <v>2022007320.santoshkumar@pt.sharda.ac.in</v>
      </c>
      <c r="L381" s="17" t="str">
        <f>VLOOKUP(D381,[3]Sheet1!E:K,6,FALSE)</f>
        <v>7563084668</v>
      </c>
      <c r="M381" s="17" t="s">
        <v>15</v>
      </c>
      <c r="O381" t="e">
        <f>VLOOKUP(C381,#REF!,12,FALSE)</f>
        <v>#REF!</v>
      </c>
    </row>
    <row r="382" spans="1:15">
      <c r="A382" s="17">
        <v>381</v>
      </c>
      <c r="B382" s="17" t="s">
        <v>674</v>
      </c>
      <c r="C382" s="17">
        <v>2022007438</v>
      </c>
      <c r="D382" s="17">
        <v>2201010848</v>
      </c>
      <c r="E382" s="17" t="s">
        <v>1808</v>
      </c>
      <c r="F382" s="17" t="e">
        <f>VLOOKUP('2501_MIS '!C382,'[1]Fast Track '!B:K,10,FALSE)</f>
        <v>#N/A</v>
      </c>
      <c r="G382" s="17" t="str">
        <f>VLOOKUP(C382,[2]Sheet7!A:D,4,FALSE)</f>
        <v>Promoted</v>
      </c>
      <c r="H382" s="45" t="s">
        <v>3644</v>
      </c>
      <c r="I382" s="26" t="s">
        <v>3657</v>
      </c>
      <c r="J382" s="17" t="s">
        <v>675</v>
      </c>
      <c r="K382" s="17" t="str">
        <f>VLOOKUP(C382,[3]Sheet1!D:J,6,FALSE)</f>
        <v>2022007438.sandeep@pt.sharda.ac.in</v>
      </c>
      <c r="L382" s="17" t="str">
        <f>VLOOKUP(D382,[3]Sheet1!E:K,6,FALSE)</f>
        <v>9368983852</v>
      </c>
      <c r="M382" s="17" t="s">
        <v>15</v>
      </c>
      <c r="O382" t="e">
        <f>VLOOKUP(C382,#REF!,12,FALSE)</f>
        <v>#REF!</v>
      </c>
    </row>
    <row r="383" spans="1:15">
      <c r="A383" s="17">
        <v>382</v>
      </c>
      <c r="B383" s="17" t="s">
        <v>660</v>
      </c>
      <c r="C383" s="17">
        <v>2022007661</v>
      </c>
      <c r="D383" s="17">
        <v>2201010855</v>
      </c>
      <c r="E383" s="17" t="s">
        <v>1808</v>
      </c>
      <c r="F383" s="17" t="e">
        <f>VLOOKUP('2501_MIS '!C383,'[1]Fast Track '!B:K,10,FALSE)</f>
        <v>#N/A</v>
      </c>
      <c r="G383" s="17" t="str">
        <f>VLOOKUP(C383,[2]Sheet7!A:D,4,FALSE)</f>
        <v>Not Promoted</v>
      </c>
      <c r="H383" s="45" t="s">
        <v>3644</v>
      </c>
      <c r="I383" s="26" t="s">
        <v>3657</v>
      </c>
      <c r="J383" s="17" t="s">
        <v>661</v>
      </c>
      <c r="K383" s="17" t="str">
        <f>VLOOKUP(C383,[3]Sheet1!D:J,6,FALSE)</f>
        <v>2022007661.narendrakumar@pt.sharda.ac.in</v>
      </c>
      <c r="L383" s="17" t="str">
        <f>VLOOKUP(D383,[3]Sheet1!E:K,6,FALSE)</f>
        <v>8051118373</v>
      </c>
      <c r="M383" s="17" t="s">
        <v>15</v>
      </c>
      <c r="O383" t="e">
        <f>VLOOKUP(C383,#REF!,12,FALSE)</f>
        <v>#REF!</v>
      </c>
    </row>
    <row r="384" spans="1:15">
      <c r="A384" s="17">
        <v>383</v>
      </c>
      <c r="B384" s="17" t="s">
        <v>697</v>
      </c>
      <c r="C384" s="17">
        <v>2022007718</v>
      </c>
      <c r="D384" s="17">
        <v>2201010860</v>
      </c>
      <c r="E384" s="17" t="s">
        <v>1808</v>
      </c>
      <c r="F384" s="17" t="e">
        <f>VLOOKUP('2501_MIS '!C384,'[1]Fast Track '!B:K,10,FALSE)</f>
        <v>#N/A</v>
      </c>
      <c r="G384" s="17" t="str">
        <f>VLOOKUP(C384,[2]Sheet7!A:D,4,FALSE)</f>
        <v>Promoted</v>
      </c>
      <c r="H384" s="45" t="s">
        <v>3644</v>
      </c>
      <c r="I384" s="26" t="s">
        <v>3657</v>
      </c>
      <c r="J384" s="17" t="s">
        <v>698</v>
      </c>
      <c r="K384" s="17" t="str">
        <f>VLOOKUP(C384,[3]Sheet1!D:J,6,FALSE)</f>
        <v>2022007718.satbir@pt.sharda.ac.in</v>
      </c>
      <c r="L384" s="17" t="str">
        <f>VLOOKUP(D384,[3]Sheet1!E:K,6,FALSE)</f>
        <v>9034293489</v>
      </c>
      <c r="M384" s="17" t="s">
        <v>15</v>
      </c>
      <c r="O384" t="e">
        <f>VLOOKUP(C384,#REF!,12,FALSE)</f>
        <v>#REF!</v>
      </c>
    </row>
    <row r="385" spans="1:15">
      <c r="A385" s="17">
        <v>384</v>
      </c>
      <c r="B385" s="17" t="s">
        <v>761</v>
      </c>
      <c r="C385" s="17">
        <v>2022364256</v>
      </c>
      <c r="D385" s="17">
        <v>2201010869</v>
      </c>
      <c r="E385" s="17" t="s">
        <v>1808</v>
      </c>
      <c r="F385" s="17" t="e">
        <f>VLOOKUP('2501_MIS '!C385,'[1]Fast Track '!B:K,10,FALSE)</f>
        <v>#N/A</v>
      </c>
      <c r="G385" s="17" t="str">
        <f>VLOOKUP(C385,[2]Sheet7!A:D,4,FALSE)</f>
        <v>Promoted</v>
      </c>
      <c r="H385" s="45" t="s">
        <v>3644</v>
      </c>
      <c r="I385" s="26" t="s">
        <v>3657</v>
      </c>
      <c r="J385" s="17" t="s">
        <v>762</v>
      </c>
      <c r="K385" s="17" t="str">
        <f>VLOOKUP(C385,[3]Sheet1!D:J,6,FALSE)</f>
        <v>2022364256.mahender@pt.sharda.ac.in</v>
      </c>
      <c r="L385" s="17" t="str">
        <f>VLOOKUP(D385,[3]Sheet1!E:K,6,FALSE)</f>
        <v>9990700671</v>
      </c>
      <c r="M385" s="17" t="s">
        <v>15</v>
      </c>
      <c r="O385" t="e">
        <f>VLOOKUP(C385,#REF!,12,FALSE)</f>
        <v>#REF!</v>
      </c>
    </row>
    <row r="386" spans="1:15">
      <c r="A386" s="17">
        <v>385</v>
      </c>
      <c r="B386" s="17" t="s">
        <v>724</v>
      </c>
      <c r="C386" s="17">
        <v>2022540836</v>
      </c>
      <c r="D386" s="17">
        <v>2201010879</v>
      </c>
      <c r="E386" s="17" t="s">
        <v>1808</v>
      </c>
      <c r="F386" s="17" t="e">
        <f>VLOOKUP('2501_MIS '!C386,'[1]Fast Track '!B:K,10,FALSE)</f>
        <v>#N/A</v>
      </c>
      <c r="G386" s="17" t="str">
        <f>VLOOKUP(C386,[2]Sheet7!A:D,4,FALSE)</f>
        <v>Promoted</v>
      </c>
      <c r="H386" s="45" t="s">
        <v>3644</v>
      </c>
      <c r="I386" s="26" t="s">
        <v>3657</v>
      </c>
      <c r="J386" s="17" t="s">
        <v>725</v>
      </c>
      <c r="K386" s="17" t="str">
        <f>VLOOKUP(C386,[3]Sheet1!D:J,6,FALSE)</f>
        <v>2022540836.pratapsingh@pt.sharda.ac.in</v>
      </c>
      <c r="L386" s="17" t="str">
        <f>VLOOKUP(D386,[3]Sheet1!E:K,6,FALSE)</f>
        <v>7017833594</v>
      </c>
      <c r="M386" s="17" t="s">
        <v>15</v>
      </c>
      <c r="O386" t="e">
        <f>VLOOKUP(C386,#REF!,12,FALSE)</f>
        <v>#REF!</v>
      </c>
    </row>
    <row r="387" spans="1:15">
      <c r="A387" s="17">
        <v>386</v>
      </c>
      <c r="B387" s="17" t="s">
        <v>666</v>
      </c>
      <c r="C387" s="17">
        <v>2022594458</v>
      </c>
      <c r="D387" s="17">
        <v>2201010892</v>
      </c>
      <c r="E387" s="17" t="s">
        <v>1808</v>
      </c>
      <c r="F387" s="17" t="e">
        <f>VLOOKUP('2501_MIS '!C387,'[1]Fast Track '!B:K,10,FALSE)</f>
        <v>#N/A</v>
      </c>
      <c r="G387" s="17" t="str">
        <f>VLOOKUP(C387,[2]Sheet7!A:D,4,FALSE)</f>
        <v>Promoted</v>
      </c>
      <c r="H387" s="45" t="s">
        <v>3644</v>
      </c>
      <c r="I387" s="26" t="s">
        <v>3657</v>
      </c>
      <c r="J387" s="17" t="s">
        <v>667</v>
      </c>
      <c r="K387" s="17" t="str">
        <f>VLOOKUP(C387,[3]Sheet1!D:J,6,FALSE)</f>
        <v>2022594458.nirajkumar@pt.sharda.ac.in</v>
      </c>
      <c r="L387" s="17" t="str">
        <f>VLOOKUP(D387,[3]Sheet1!E:K,6,FALSE)</f>
        <v>6201156707</v>
      </c>
      <c r="M387" s="17" t="s">
        <v>15</v>
      </c>
      <c r="O387" t="e">
        <f>VLOOKUP(C387,#REF!,12,FALSE)</f>
        <v>#REF!</v>
      </c>
    </row>
    <row r="388" spans="1:15">
      <c r="A388" s="17">
        <v>387</v>
      </c>
      <c r="B388" s="17" t="s">
        <v>1373</v>
      </c>
      <c r="C388" s="17">
        <v>2023503067</v>
      </c>
      <c r="D388" s="17">
        <v>2301017006</v>
      </c>
      <c r="E388" s="17" t="s">
        <v>1808</v>
      </c>
      <c r="F388" s="17" t="e">
        <f>VLOOKUP('2501_MIS '!C388,'[1]Fast Track '!B:K,10,FALSE)</f>
        <v>#N/A</v>
      </c>
      <c r="G388" s="17" t="str">
        <f>VLOOKUP(C388,[2]Sheet7!A:D,4,FALSE)</f>
        <v>Not Promoted</v>
      </c>
      <c r="H388" s="45" t="s">
        <v>3644</v>
      </c>
      <c r="I388" s="26" t="s">
        <v>3657</v>
      </c>
      <c r="J388" s="17" t="s">
        <v>1374</v>
      </c>
      <c r="K388" s="17" t="str">
        <f>VLOOKUP(C388,[3]Sheet1!D:J,6,FALSE)</f>
        <v>2023503067.pratyush@pt.sharda.ac.in</v>
      </c>
      <c r="L388" s="17" t="str">
        <f>VLOOKUP(D388,[3]Sheet1!E:K,6,FALSE)</f>
        <v>7683936276</v>
      </c>
      <c r="M388" s="17" t="s">
        <v>15</v>
      </c>
      <c r="O388" t="e">
        <f>VLOOKUP(C388,#REF!,12,FALSE)</f>
        <v>#REF!</v>
      </c>
    </row>
    <row r="389" spans="1:15">
      <c r="A389" s="17">
        <v>388</v>
      </c>
      <c r="B389" s="17" t="s">
        <v>22</v>
      </c>
      <c r="C389" s="17">
        <v>2022002562</v>
      </c>
      <c r="D389" s="17">
        <v>2201010041</v>
      </c>
      <c r="E389" s="17" t="s">
        <v>1807</v>
      </c>
      <c r="F389" s="17" t="e">
        <f>VLOOKUP('2501_MIS '!C389,'[1]Fast Track '!B:K,10,FALSE)</f>
        <v>#N/A</v>
      </c>
      <c r="G389" s="17" t="str">
        <f>VLOOKUP(C389,[2]Sheet7!A:D,4,FALSE)</f>
        <v>Promoted</v>
      </c>
      <c r="H389" s="45" t="s">
        <v>3645</v>
      </c>
      <c r="I389" s="26" t="s">
        <v>3658</v>
      </c>
      <c r="J389" s="17" t="s">
        <v>23</v>
      </c>
      <c r="K389" s="17" t="str">
        <f>VLOOKUP(C389,[3]Sheet1!D:J,6,FALSE)</f>
        <v>2022002562.jayprakash@pt.sharda.ac.in</v>
      </c>
      <c r="L389" s="17" t="str">
        <f>VLOOKUP(D389,[3]Sheet1!E:K,6,FALSE)</f>
        <v>8434107666</v>
      </c>
      <c r="M389" s="17" t="s">
        <v>15</v>
      </c>
      <c r="O389" t="e">
        <f>VLOOKUP(C389,#REF!,12,FALSE)</f>
        <v>#REF!</v>
      </c>
    </row>
    <row r="390" spans="1:15">
      <c r="A390" s="17">
        <v>389</v>
      </c>
      <c r="B390" s="17" t="s">
        <v>126</v>
      </c>
      <c r="C390" s="17">
        <v>2022439077</v>
      </c>
      <c r="D390" s="17">
        <v>2201010048</v>
      </c>
      <c r="E390" s="17" t="s">
        <v>1807</v>
      </c>
      <c r="F390" s="17" t="e">
        <f>VLOOKUP('2501_MIS '!C390,'[1]Fast Track '!B:K,10,FALSE)</f>
        <v>#N/A</v>
      </c>
      <c r="G390" s="17" t="str">
        <f>VLOOKUP(C390,[2]Sheet7!A:D,4,FALSE)</f>
        <v>Promoted</v>
      </c>
      <c r="H390" s="45" t="s">
        <v>3645</v>
      </c>
      <c r="I390" s="26" t="s">
        <v>3658</v>
      </c>
      <c r="J390" s="17" t="s">
        <v>127</v>
      </c>
      <c r="K390" s="17" t="str">
        <f>VLOOKUP(C390,[3]Sheet1!D:J,6,FALSE)</f>
        <v>2022439077.ramakant@pt.sharda.ac.in</v>
      </c>
      <c r="L390" s="17" t="str">
        <f>VLOOKUP(D390,[3]Sheet1!E:K,6,FALSE)</f>
        <v>9693396195</v>
      </c>
      <c r="M390" s="17" t="s">
        <v>15</v>
      </c>
      <c r="O390" t="e">
        <f>VLOOKUP(C390,#REF!,12,FALSE)</f>
        <v>#REF!</v>
      </c>
    </row>
    <row r="391" spans="1:15">
      <c r="A391" s="17">
        <v>390</v>
      </c>
      <c r="B391" s="17" t="s">
        <v>113</v>
      </c>
      <c r="C391" s="17">
        <v>2022526282</v>
      </c>
      <c r="D391" s="17">
        <v>2201010053</v>
      </c>
      <c r="E391" s="17" t="s">
        <v>1807</v>
      </c>
      <c r="F391" s="17" t="e">
        <f>VLOOKUP('2501_MIS '!C391,'[1]Fast Track '!B:K,10,FALSE)</f>
        <v>#N/A</v>
      </c>
      <c r="G391" s="17" t="str">
        <f>VLOOKUP(C391,[2]Sheet7!A:D,4,FALSE)</f>
        <v>Promoted</v>
      </c>
      <c r="H391" s="45" t="s">
        <v>3645</v>
      </c>
      <c r="I391" s="26" t="s">
        <v>3658</v>
      </c>
      <c r="J391" s="17" t="s">
        <v>114</v>
      </c>
      <c r="K391" s="17" t="str">
        <f>VLOOKUP(C391,[3]Sheet1!D:J,6,FALSE)</f>
        <v>2022526282.sunil@pt.sharda.ac.in</v>
      </c>
      <c r="L391" s="17" t="str">
        <f>VLOOKUP(D391,[3]Sheet1!E:K,6,FALSE)</f>
        <v>6393992008</v>
      </c>
      <c r="M391" s="17" t="s">
        <v>15</v>
      </c>
      <c r="O391" t="e">
        <f>VLOOKUP(C391,#REF!,12,FALSE)</f>
        <v>#REF!</v>
      </c>
    </row>
    <row r="392" spans="1:15">
      <c r="A392" s="17">
        <v>391</v>
      </c>
      <c r="B392" s="17" t="s">
        <v>31</v>
      </c>
      <c r="C392" s="17">
        <v>2022003597</v>
      </c>
      <c r="D392" s="17">
        <v>2201010086</v>
      </c>
      <c r="E392" s="17" t="s">
        <v>1807</v>
      </c>
      <c r="F392" s="17" t="e">
        <f>VLOOKUP('2501_MIS '!C392,'[1]Fast Track '!B:K,10,FALSE)</f>
        <v>#N/A</v>
      </c>
      <c r="G392" s="17" t="str">
        <f>VLOOKUP(C392,[2]Sheet7!A:D,4,FALSE)</f>
        <v>Promoted</v>
      </c>
      <c r="H392" s="45" t="s">
        <v>3644</v>
      </c>
      <c r="I392" s="26" t="s">
        <v>3659</v>
      </c>
      <c r="J392" s="17" t="s">
        <v>32</v>
      </c>
      <c r="K392" s="17" t="str">
        <f>VLOOKUP(C392,[3]Sheet1!D:J,6,FALSE)</f>
        <v>2022003597.avdheshkumar@pt.sharda.ac.in</v>
      </c>
      <c r="L392" s="17" t="str">
        <f>VLOOKUP(D392,[3]Sheet1!E:K,6,FALSE)</f>
        <v>9411419825</v>
      </c>
      <c r="M392" s="17" t="s">
        <v>15</v>
      </c>
      <c r="O392" t="e">
        <f>VLOOKUP(C392,#REF!,12,FALSE)</f>
        <v>#REF!</v>
      </c>
    </row>
    <row r="393" spans="1:15">
      <c r="A393" s="17">
        <v>392</v>
      </c>
      <c r="B393" s="17" t="s">
        <v>35</v>
      </c>
      <c r="C393" s="17">
        <v>2022004609</v>
      </c>
      <c r="D393" s="17">
        <v>2201010110</v>
      </c>
      <c r="E393" s="17" t="s">
        <v>1807</v>
      </c>
      <c r="F393" s="17" t="e">
        <f>VLOOKUP('2501_MIS '!C393,'[1]Fast Track '!B:K,10,FALSE)</f>
        <v>#N/A</v>
      </c>
      <c r="G393" s="17" t="str">
        <f>VLOOKUP(C393,[2]Sheet7!A:D,4,FALSE)</f>
        <v>Promoted</v>
      </c>
      <c r="H393" s="45" t="s">
        <v>3645</v>
      </c>
      <c r="I393" s="26" t="s">
        <v>3658</v>
      </c>
      <c r="J393" s="17" t="s">
        <v>36</v>
      </c>
      <c r="K393" s="17" t="str">
        <f>VLOOKUP(C393,[3]Sheet1!D:J,6,FALSE)</f>
        <v>2022004609.khyalsingh@pt.sharda.ac.in</v>
      </c>
      <c r="L393" s="17" t="str">
        <f>VLOOKUP(D393,[3]Sheet1!E:K,6,FALSE)</f>
        <v>8851283033</v>
      </c>
      <c r="M393" s="17" t="s">
        <v>15</v>
      </c>
      <c r="O393" t="e">
        <f>VLOOKUP(C393,#REF!,12,FALSE)</f>
        <v>#REF!</v>
      </c>
    </row>
    <row r="394" spans="1:15">
      <c r="A394" s="17">
        <v>393</v>
      </c>
      <c r="B394" s="17" t="s">
        <v>499</v>
      </c>
      <c r="C394" s="17">
        <v>2022541296</v>
      </c>
      <c r="D394" s="17">
        <v>2201010466</v>
      </c>
      <c r="E394" s="17" t="s">
        <v>1807</v>
      </c>
      <c r="F394" s="17" t="e">
        <f>VLOOKUP('2501_MIS '!C394,'[1]Fast Track '!B:K,10,FALSE)</f>
        <v>#N/A</v>
      </c>
      <c r="G394" s="17" t="str">
        <f>VLOOKUP(C394,[2]Sheet7!A:D,4,FALSE)</f>
        <v>Promoted</v>
      </c>
      <c r="H394" s="45" t="s">
        <v>3645</v>
      </c>
      <c r="I394" s="26" t="s">
        <v>3658</v>
      </c>
      <c r="J394" s="17" t="s">
        <v>500</v>
      </c>
      <c r="K394" s="17" t="str">
        <f>VLOOKUP(C394,[3]Sheet1!D:J,6,FALSE)</f>
        <v>2022541296.mdagsar@pt.sharda.ac.in</v>
      </c>
      <c r="L394" s="17" t="str">
        <f>VLOOKUP(D394,[3]Sheet1!E:K,6,FALSE)</f>
        <v>6367679744</v>
      </c>
      <c r="M394" s="17" t="s">
        <v>15</v>
      </c>
      <c r="O394" t="e">
        <f>VLOOKUP(C394,#REF!,12,FALSE)</f>
        <v>#REF!</v>
      </c>
    </row>
    <row r="395" spans="1:15">
      <c r="A395" s="17">
        <v>394</v>
      </c>
      <c r="B395" s="17" t="s">
        <v>58</v>
      </c>
      <c r="C395" s="17">
        <v>2022386541</v>
      </c>
      <c r="D395" s="17">
        <v>2201010141</v>
      </c>
      <c r="E395" s="17" t="s">
        <v>1807</v>
      </c>
      <c r="F395" s="17" t="e">
        <f>VLOOKUP('2501_MIS '!C395,'[1]Fast Track '!B:K,10,FALSE)</f>
        <v>#N/A</v>
      </c>
      <c r="G395" s="17" t="str">
        <f>VLOOKUP(C395,[2]Sheet7!A:D,4,FALSE)</f>
        <v>Promoted</v>
      </c>
      <c r="H395" s="45" t="s">
        <v>3645</v>
      </c>
      <c r="I395" s="26" t="s">
        <v>3658</v>
      </c>
      <c r="J395" s="17" t="s">
        <v>59</v>
      </c>
      <c r="K395" s="17" t="str">
        <f>VLOOKUP(C395,[3]Sheet1!D:J,6,FALSE)</f>
        <v>2022386541.brahma@pt.sharda.ac.in</v>
      </c>
      <c r="L395" s="17" t="str">
        <f>VLOOKUP(D395,[3]Sheet1!E:K,6,FALSE)</f>
        <v>8737099769</v>
      </c>
      <c r="M395" s="17" t="s">
        <v>15</v>
      </c>
      <c r="O395" t="e">
        <f>VLOOKUP(C395,#REF!,12,FALSE)</f>
        <v>#REF!</v>
      </c>
    </row>
    <row r="396" spans="1:15">
      <c r="A396" s="17">
        <v>395</v>
      </c>
      <c r="B396" s="17" t="s">
        <v>70</v>
      </c>
      <c r="C396" s="17">
        <v>2022429052</v>
      </c>
      <c r="D396" s="17">
        <v>2201010207</v>
      </c>
      <c r="E396" s="17" t="s">
        <v>1807</v>
      </c>
      <c r="F396" s="17" t="e">
        <f>VLOOKUP('2501_MIS '!C396,'[1]Fast Track '!B:K,10,FALSE)</f>
        <v>#N/A</v>
      </c>
      <c r="G396" s="17" t="str">
        <f>VLOOKUP(C396,[2]Sheet7!A:D,4,FALSE)</f>
        <v>Promoted</v>
      </c>
      <c r="H396" s="45" t="s">
        <v>3645</v>
      </c>
      <c r="I396" s="26" t="s">
        <v>3658</v>
      </c>
      <c r="J396" s="17" t="s">
        <v>71</v>
      </c>
      <c r="K396" s="17" t="str">
        <f>VLOOKUP(C396,[3]Sheet1!D:J,6,FALSE)</f>
        <v>2022429052.indal@pt.sharda.ac.in</v>
      </c>
      <c r="L396" s="17" t="str">
        <f>VLOOKUP(D396,[3]Sheet1!E:K,6,FALSE)</f>
        <v>9151344811</v>
      </c>
      <c r="M396" s="17" t="s">
        <v>15</v>
      </c>
      <c r="O396" t="e">
        <f>VLOOKUP(C396,#REF!,12,FALSE)</f>
        <v>#REF!</v>
      </c>
    </row>
    <row r="397" spans="1:15">
      <c r="A397" s="17">
        <v>396</v>
      </c>
      <c r="B397" s="17" t="s">
        <v>50</v>
      </c>
      <c r="C397" s="17">
        <v>2022330872</v>
      </c>
      <c r="D397" s="17">
        <v>2201010220</v>
      </c>
      <c r="E397" s="17" t="s">
        <v>1807</v>
      </c>
      <c r="F397" s="17" t="e">
        <f>VLOOKUP('2501_MIS '!C397,'[1]Fast Track '!B:K,10,FALSE)</f>
        <v>#N/A</v>
      </c>
      <c r="G397" s="17" t="str">
        <f>VLOOKUP(C397,[2]Sheet7!A:D,4,FALSE)</f>
        <v>Promoted</v>
      </c>
      <c r="H397" s="45" t="s">
        <v>3645</v>
      </c>
      <c r="I397" s="26" t="s">
        <v>3658</v>
      </c>
      <c r="J397" s="17" t="s">
        <v>51</v>
      </c>
      <c r="K397" s="17" t="str">
        <f>VLOOKUP(C397,[3]Sheet1!D:J,6,FALSE)</f>
        <v>2022330872.nanigopal@pt.sharda.ac.in</v>
      </c>
      <c r="L397" s="17" t="str">
        <f>VLOOKUP(D397,[3]Sheet1!E:K,6,FALSE)</f>
        <v>9583532701</v>
      </c>
      <c r="M397" s="17" t="s">
        <v>15</v>
      </c>
      <c r="O397" t="e">
        <f>VLOOKUP(C397,#REF!,12,FALSE)</f>
        <v>#REF!</v>
      </c>
    </row>
    <row r="398" spans="1:15">
      <c r="A398" s="17">
        <v>397</v>
      </c>
      <c r="B398" s="17" t="s">
        <v>109</v>
      </c>
      <c r="C398" s="17">
        <v>2022511372</v>
      </c>
      <c r="D398" s="17">
        <v>2201010225</v>
      </c>
      <c r="E398" s="17" t="s">
        <v>1807</v>
      </c>
      <c r="F398" s="17" t="e">
        <f>VLOOKUP('2501_MIS '!C398,'[1]Fast Track '!B:K,10,FALSE)</f>
        <v>#N/A</v>
      </c>
      <c r="G398" s="17" t="str">
        <f>VLOOKUP(C398,[2]Sheet7!A:D,4,FALSE)</f>
        <v>Promoted</v>
      </c>
      <c r="H398" s="45" t="s">
        <v>3644</v>
      </c>
      <c r="I398" s="26" t="s">
        <v>3659</v>
      </c>
      <c r="J398" s="17" t="s">
        <v>110</v>
      </c>
      <c r="K398" s="17" t="str">
        <f>VLOOKUP(C398,[3]Sheet1!D:J,6,FALSE)</f>
        <v>2022511372.sukhraj@pt.sharda.ac.in</v>
      </c>
      <c r="L398" s="17" t="str">
        <f>VLOOKUP(D398,[3]Sheet1!E:K,6,FALSE)</f>
        <v>7380553501</v>
      </c>
      <c r="M398" s="17" t="s">
        <v>15</v>
      </c>
      <c r="O398" t="e">
        <f>VLOOKUP(C398,#REF!,12,FALSE)</f>
        <v>#REF!</v>
      </c>
    </row>
    <row r="399" spans="1:15">
      <c r="A399" s="17">
        <v>398</v>
      </c>
      <c r="B399" s="17" t="s">
        <v>82</v>
      </c>
      <c r="C399" s="17">
        <v>2022470752</v>
      </c>
      <c r="D399" s="17">
        <v>2201010235</v>
      </c>
      <c r="E399" s="17" t="s">
        <v>1807</v>
      </c>
      <c r="F399" s="17" t="e">
        <f>VLOOKUP('2501_MIS '!C399,'[1]Fast Track '!B:K,10,FALSE)</f>
        <v>#N/A</v>
      </c>
      <c r="G399" s="17" t="str">
        <f>VLOOKUP(C399,[2]Sheet7!A:D,4,FALSE)</f>
        <v>Promoted</v>
      </c>
      <c r="H399" s="45" t="s">
        <v>3645</v>
      </c>
      <c r="I399" s="26" t="s">
        <v>3658</v>
      </c>
      <c r="J399" s="17" t="s">
        <v>83</v>
      </c>
      <c r="K399" s="17" t="str">
        <f>VLOOKUP(C399,[3]Sheet1!D:J,6,FALSE)</f>
        <v>2022470752.ekhlaque@pt.sharda.ac.in</v>
      </c>
      <c r="L399" s="17" t="str">
        <f>VLOOKUP(D399,[3]Sheet1!E:K,6,FALSE)</f>
        <v>8076579399</v>
      </c>
      <c r="M399" s="17" t="s">
        <v>15</v>
      </c>
      <c r="O399" t="e">
        <f>VLOOKUP(C399,#REF!,12,FALSE)</f>
        <v>#REF!</v>
      </c>
    </row>
    <row r="400" spans="1:15">
      <c r="A400" s="17">
        <v>399</v>
      </c>
      <c r="B400" s="17" t="s">
        <v>124</v>
      </c>
      <c r="C400" s="17">
        <v>2022811342</v>
      </c>
      <c r="D400" s="17">
        <v>2201010391</v>
      </c>
      <c r="E400" s="17" t="s">
        <v>1807</v>
      </c>
      <c r="F400" s="17" t="e">
        <f>VLOOKUP('2501_MIS '!C400,'[1]Fast Track '!B:K,10,FALSE)</f>
        <v>#N/A</v>
      </c>
      <c r="G400" s="17" t="str">
        <f>VLOOKUP(C400,[2]Sheet7!A:D,4,FALSE)</f>
        <v>Not Promoted</v>
      </c>
      <c r="H400" s="45" t="s">
        <v>3645</v>
      </c>
      <c r="I400" s="26" t="s">
        <v>3658</v>
      </c>
      <c r="J400" s="17" t="s">
        <v>125</v>
      </c>
      <c r="K400" s="17" t="str">
        <f>VLOOKUP(C400,[3]Sheet1!D:J,6,FALSE)</f>
        <v>2022811342.manjur@pt.sharda.ac.in</v>
      </c>
      <c r="L400" s="17" t="str">
        <f>VLOOKUP(D400,[3]Sheet1!E:K,6,FALSE)</f>
        <v>+91 9873842259</v>
      </c>
      <c r="M400" s="17" t="s">
        <v>15</v>
      </c>
      <c r="O400" t="e">
        <f>VLOOKUP(C400,#REF!,12,FALSE)</f>
        <v>#REF!</v>
      </c>
    </row>
    <row r="401" spans="1:15">
      <c r="A401" s="17">
        <v>400</v>
      </c>
      <c r="B401" s="17" t="s">
        <v>98</v>
      </c>
      <c r="C401" s="17">
        <v>2022499099</v>
      </c>
      <c r="D401" s="17">
        <v>2201010392</v>
      </c>
      <c r="E401" s="17" t="s">
        <v>1807</v>
      </c>
      <c r="F401" s="17" t="e">
        <f>VLOOKUP('2501_MIS '!C401,'[1]Fast Track '!B:K,10,FALSE)</f>
        <v>#N/A</v>
      </c>
      <c r="G401" s="17" t="str">
        <f>VLOOKUP(C401,[2]Sheet7!A:D,4,FALSE)</f>
        <v>Promoted</v>
      </c>
      <c r="H401" s="45" t="s">
        <v>3645</v>
      </c>
      <c r="I401" s="26" t="s">
        <v>3658</v>
      </c>
      <c r="J401" s="17" t="s">
        <v>99</v>
      </c>
      <c r="K401" s="17" t="str">
        <f>VLOOKUP(C401,[3]Sheet1!D:J,6,FALSE)</f>
        <v>2022499099.mustak@pt.sharda.ac.in</v>
      </c>
      <c r="L401" s="17" t="str">
        <f>VLOOKUP(D401,[3]Sheet1!E:K,6,FALSE)</f>
        <v>9523464177</v>
      </c>
      <c r="M401" s="17" t="s">
        <v>15</v>
      </c>
      <c r="O401" t="e">
        <f>VLOOKUP(C401,#REF!,12,FALSE)</f>
        <v>#REF!</v>
      </c>
    </row>
    <row r="402" spans="1:15">
      <c r="A402" s="17">
        <v>401</v>
      </c>
      <c r="B402" s="17" t="s">
        <v>64</v>
      </c>
      <c r="C402" s="17">
        <v>2022400915</v>
      </c>
      <c r="D402" s="17">
        <v>2201010431</v>
      </c>
      <c r="E402" s="17" t="s">
        <v>1807</v>
      </c>
      <c r="F402" s="17" t="e">
        <f>VLOOKUP('2501_MIS '!C402,'[1]Fast Track '!B:K,10,FALSE)</f>
        <v>#N/A</v>
      </c>
      <c r="G402" s="17" t="str">
        <f>VLOOKUP(C402,[2]Sheet7!A:D,4,FALSE)</f>
        <v>Promoted</v>
      </c>
      <c r="H402" s="45" t="s">
        <v>3645</v>
      </c>
      <c r="I402" s="26" t="s">
        <v>3658</v>
      </c>
      <c r="J402" s="17" t="s">
        <v>65</v>
      </c>
      <c r="K402" s="17" t="str">
        <f>VLOOKUP(C402,[3]Sheet1!D:J,6,FALSE)</f>
        <v>2022400915.brahamanand@pt.sharda.ac.in</v>
      </c>
      <c r="L402" s="17" t="str">
        <f>VLOOKUP(D402,[3]Sheet1!E:K,6,FALSE)</f>
        <v>7378077197</v>
      </c>
      <c r="M402" s="17" t="s">
        <v>15</v>
      </c>
      <c r="O402" t="e">
        <f>VLOOKUP(C402,#REF!,12,FALSE)</f>
        <v>#REF!</v>
      </c>
    </row>
    <row r="403" spans="1:15">
      <c r="A403" s="17">
        <v>402</v>
      </c>
      <c r="B403" s="17" t="s">
        <v>92</v>
      </c>
      <c r="C403" s="17">
        <v>2022492019</v>
      </c>
      <c r="D403" s="17">
        <v>2201010540</v>
      </c>
      <c r="E403" s="17" t="s">
        <v>1807</v>
      </c>
      <c r="F403" s="17" t="e">
        <f>VLOOKUP('2501_MIS '!C403,'[1]Fast Track '!B:K,10,FALSE)</f>
        <v>#N/A</v>
      </c>
      <c r="G403" s="17" t="str">
        <f>VLOOKUP(C403,[2]Sheet7!A:D,4,FALSE)</f>
        <v>Promoted</v>
      </c>
      <c r="H403" s="45" t="s">
        <v>3644</v>
      </c>
      <c r="I403" s="26" t="s">
        <v>3659</v>
      </c>
      <c r="J403" s="17" t="s">
        <v>93</v>
      </c>
      <c r="K403" s="17" t="str">
        <f>VLOOKUP(C403,[3]Sheet1!D:J,6,FALSE)</f>
        <v>2022492019.nathusingh@pt.sharda.ac.in</v>
      </c>
      <c r="L403" s="17" t="str">
        <f>VLOOKUP(D403,[3]Sheet1!E:K,6,FALSE)</f>
        <v>8882668278</v>
      </c>
      <c r="M403" s="17" t="s">
        <v>15</v>
      </c>
      <c r="O403" t="e">
        <f>VLOOKUP(C403,#REF!,12,FALSE)</f>
        <v>#REF!</v>
      </c>
    </row>
    <row r="404" spans="1:15">
      <c r="A404" s="17">
        <v>403</v>
      </c>
      <c r="B404" s="17" t="s">
        <v>111</v>
      </c>
      <c r="C404" s="17">
        <v>2022523416</v>
      </c>
      <c r="D404" s="17">
        <v>2201010550</v>
      </c>
      <c r="E404" s="17" t="s">
        <v>1807</v>
      </c>
      <c r="F404" s="17" t="e">
        <f>VLOOKUP('2501_MIS '!C404,'[1]Fast Track '!B:K,10,FALSE)</f>
        <v>#N/A</v>
      </c>
      <c r="G404" s="17" t="str">
        <f>VLOOKUP(C404,[2]Sheet7!A:D,4,FALSE)</f>
        <v>Promoted</v>
      </c>
      <c r="H404" s="45" t="s">
        <v>3645</v>
      </c>
      <c r="I404" s="26" t="s">
        <v>3658</v>
      </c>
      <c r="J404" s="17" t="s">
        <v>112</v>
      </c>
      <c r="K404" s="17" t="str">
        <f>VLOOKUP(C404,[3]Sheet1!D:J,6,FALSE)</f>
        <v>2022523416.ramesh@pt.sharda.ac.in</v>
      </c>
      <c r="L404" s="17" t="str">
        <f>VLOOKUP(D404,[3]Sheet1!E:K,6,FALSE)</f>
        <v>8252824437</v>
      </c>
      <c r="M404" s="17" t="s">
        <v>15</v>
      </c>
      <c r="O404" t="e">
        <f>VLOOKUP(C404,#REF!,12,FALSE)</f>
        <v>#REF!</v>
      </c>
    </row>
    <row r="405" spans="1:15">
      <c r="A405" s="17">
        <v>404</v>
      </c>
      <c r="B405" s="17" t="s">
        <v>90</v>
      </c>
      <c r="C405" s="17">
        <v>2022487397</v>
      </c>
      <c r="D405" s="17">
        <v>2201010665</v>
      </c>
      <c r="E405" s="17" t="s">
        <v>1807</v>
      </c>
      <c r="F405" s="17" t="e">
        <f>VLOOKUP('2501_MIS '!C405,'[1]Fast Track '!B:K,10,FALSE)</f>
        <v>#N/A</v>
      </c>
      <c r="G405" s="17" t="str">
        <f>VLOOKUP(C405,[2]Sheet7!A:D,4,FALSE)</f>
        <v>Promoted</v>
      </c>
      <c r="H405" s="45" t="s">
        <v>3645</v>
      </c>
      <c r="I405" s="26" t="s">
        <v>3658</v>
      </c>
      <c r="J405" s="17" t="s">
        <v>91</v>
      </c>
      <c r="K405" s="17" t="str">
        <f>VLOOKUP(C405,[3]Sheet1!D:J,6,FALSE)</f>
        <v>2022487397.harishankar@pt.sharda.ac.in</v>
      </c>
      <c r="L405" s="17" t="str">
        <f>VLOOKUP(D405,[3]Sheet1!E:K,6,FALSE)</f>
        <v>7619898558</v>
      </c>
      <c r="M405" s="17" t="s">
        <v>15</v>
      </c>
      <c r="O405" t="e">
        <f>VLOOKUP(C405,#REF!,12,FALSE)</f>
        <v>#REF!</v>
      </c>
    </row>
    <row r="406" spans="1:15">
      <c r="A406" s="17">
        <v>405</v>
      </c>
      <c r="B406" s="17" t="s">
        <v>54</v>
      </c>
      <c r="C406" s="17">
        <v>2022360071</v>
      </c>
      <c r="D406" s="17">
        <v>2201010737</v>
      </c>
      <c r="E406" s="17" t="s">
        <v>1807</v>
      </c>
      <c r="F406" s="17" t="e">
        <f>VLOOKUP('2501_MIS '!C406,'[1]Fast Track '!B:K,10,FALSE)</f>
        <v>#N/A</v>
      </c>
      <c r="G406" s="17" t="str">
        <f>VLOOKUP(C406,[2]Sheet7!A:D,4,FALSE)</f>
        <v>Promoted</v>
      </c>
      <c r="H406" s="45" t="s">
        <v>3645</v>
      </c>
      <c r="I406" s="26" t="s">
        <v>3658</v>
      </c>
      <c r="J406" s="17" t="s">
        <v>55</v>
      </c>
      <c r="K406" s="17" t="str">
        <f>VLOOKUP(C406,[3]Sheet1!D:J,6,FALSE)</f>
        <v>2022360071.irfan@pt.sharda.ac.in</v>
      </c>
      <c r="L406" s="17" t="str">
        <f>VLOOKUP(D406,[3]Sheet1!E:K,6,FALSE)</f>
        <v>8510981104</v>
      </c>
      <c r="M406" s="17" t="s">
        <v>15</v>
      </c>
      <c r="O406" t="e">
        <f>VLOOKUP(C406,#REF!,12,FALSE)</f>
        <v>#REF!</v>
      </c>
    </row>
    <row r="407" spans="1:15">
      <c r="A407" s="17">
        <v>406</v>
      </c>
      <c r="B407" s="17" t="s">
        <v>422</v>
      </c>
      <c r="C407" s="17">
        <v>2022346624</v>
      </c>
      <c r="D407" s="17">
        <v>2201010537</v>
      </c>
      <c r="E407" s="17" t="s">
        <v>1807</v>
      </c>
      <c r="F407" s="17" t="e">
        <f>VLOOKUP('2501_MIS '!C407,'[1]Fast Track '!B:K,10,FALSE)</f>
        <v>#N/A</v>
      </c>
      <c r="G407" s="17" t="str">
        <f>VLOOKUP(C407,[2]Sheet7!A:D,4,FALSE)</f>
        <v>Promoted</v>
      </c>
      <c r="H407" s="45" t="s">
        <v>3645</v>
      </c>
      <c r="I407" s="26" t="s">
        <v>3658</v>
      </c>
      <c r="J407" s="17" t="s">
        <v>423</v>
      </c>
      <c r="K407" s="17" t="str">
        <f>VLOOKUP(C407,[3]Sheet1!D:J,6,FALSE)</f>
        <v>2022346624.amresh@pt.sharda.ac.in</v>
      </c>
      <c r="L407" s="17" t="str">
        <f>VLOOKUP(D407,[3]Sheet1!E:K,6,FALSE)</f>
        <v>7007466990</v>
      </c>
      <c r="M407" s="17" t="s">
        <v>15</v>
      </c>
      <c r="O407" t="e">
        <f>VLOOKUP(C407,#REF!,12,FALSE)</f>
        <v>#REF!</v>
      </c>
    </row>
    <row r="408" spans="1:15">
      <c r="A408" s="17">
        <v>407</v>
      </c>
      <c r="B408" s="17" t="s">
        <v>72</v>
      </c>
      <c r="C408" s="17">
        <v>2022433386</v>
      </c>
      <c r="D408" s="17">
        <v>2201010825</v>
      </c>
      <c r="E408" s="17" t="s">
        <v>1807</v>
      </c>
      <c r="F408" s="17" t="e">
        <f>VLOOKUP('2501_MIS '!C408,'[1]Fast Track '!B:K,10,FALSE)</f>
        <v>#N/A</v>
      </c>
      <c r="G408" s="17" t="str">
        <f>VLOOKUP(C408,[2]Sheet7!A:D,4,FALSE)</f>
        <v>Promoted</v>
      </c>
      <c r="H408" s="45" t="s">
        <v>3645</v>
      </c>
      <c r="I408" s="26" t="s">
        <v>3658</v>
      </c>
      <c r="J408" s="17" t="s">
        <v>73</v>
      </c>
      <c r="K408" s="17" t="str">
        <f>VLOOKUP(C408,[3]Sheet1!D:J,6,FALSE)</f>
        <v>2022433386.rajeshkumar@pt.sharda.ac.in</v>
      </c>
      <c r="L408" s="17" t="str">
        <f>VLOOKUP(D408,[3]Sheet1!E:K,6,FALSE)</f>
        <v>9054021639</v>
      </c>
      <c r="M408" s="17" t="s">
        <v>15</v>
      </c>
      <c r="O408" t="e">
        <f>VLOOKUP(C408,#REF!,12,FALSE)</f>
        <v>#REF!</v>
      </c>
    </row>
    <row r="409" spans="1:15">
      <c r="A409" s="17">
        <v>408</v>
      </c>
      <c r="B409" s="17" t="s">
        <v>45</v>
      </c>
      <c r="C409" s="17">
        <v>2022007676</v>
      </c>
      <c r="D409" s="17">
        <v>2201010856</v>
      </c>
      <c r="E409" s="17" t="s">
        <v>1807</v>
      </c>
      <c r="F409" s="17" t="e">
        <f>VLOOKUP('2501_MIS '!C409,'[1]Fast Track '!B:K,10,FALSE)</f>
        <v>#N/A</v>
      </c>
      <c r="G409" s="17" t="str">
        <f>VLOOKUP(C409,[2]Sheet7!A:D,4,FALSE)</f>
        <v>Promoted</v>
      </c>
      <c r="H409" s="45" t="s">
        <v>3644</v>
      </c>
      <c r="I409" s="26" t="s">
        <v>3659</v>
      </c>
      <c r="J409" s="17" t="s">
        <v>46</v>
      </c>
      <c r="K409" s="17" t="str">
        <f>VLOOKUP(C409,[3]Sheet1!D:J,6,FALSE)</f>
        <v>2022007676.jamal@pt.sharda.ac.in</v>
      </c>
      <c r="L409" s="17" t="str">
        <f>VLOOKUP(D409,[3]Sheet1!E:K,6,FALSE)</f>
        <v>7827143813</v>
      </c>
      <c r="M409" s="17" t="s">
        <v>15</v>
      </c>
      <c r="O409" t="e">
        <f>VLOOKUP(C409,#REF!,12,FALSE)</f>
        <v>#REF!</v>
      </c>
    </row>
    <row r="410" spans="1:15">
      <c r="A410" s="17">
        <v>409</v>
      </c>
      <c r="B410" s="17" t="s">
        <v>122</v>
      </c>
      <c r="C410" s="17">
        <v>2022591296</v>
      </c>
      <c r="D410" s="17">
        <v>2201010887</v>
      </c>
      <c r="E410" s="17" t="s">
        <v>1807</v>
      </c>
      <c r="F410" s="17" t="e">
        <f>VLOOKUP('2501_MIS '!C410,'[1]Fast Track '!B:K,10,FALSE)</f>
        <v>#N/A</v>
      </c>
      <c r="G410" s="17" t="str">
        <f>VLOOKUP(C410,[2]Sheet7!A:D,4,FALSE)</f>
        <v>Promoted</v>
      </c>
      <c r="H410" s="45" t="s">
        <v>3645</v>
      </c>
      <c r="I410" s="26" t="s">
        <v>3658</v>
      </c>
      <c r="J410" s="17" t="s">
        <v>123</v>
      </c>
      <c r="K410" s="17" t="str">
        <f>VLOOKUP(C410,[3]Sheet1!D:J,6,FALSE)</f>
        <v>2022591296.radhakrishna@pt.sharda.ac.in</v>
      </c>
      <c r="L410" s="17" t="str">
        <f>VLOOKUP(D410,[3]Sheet1!E:K,6,FALSE)</f>
        <v>9398191226</v>
      </c>
      <c r="M410" s="17" t="s">
        <v>15</v>
      </c>
      <c r="O410" t="e">
        <f>VLOOKUP(C410,#REF!,12,FALSE)</f>
        <v>#REF!</v>
      </c>
    </row>
    <row r="411" spans="1:15">
      <c r="A411" s="17">
        <v>410</v>
      </c>
      <c r="B411" s="17" t="s">
        <v>141</v>
      </c>
      <c r="C411" s="17">
        <v>2022539291</v>
      </c>
      <c r="D411" s="17">
        <v>2201010030</v>
      </c>
      <c r="E411" s="17" t="s">
        <v>1807</v>
      </c>
      <c r="F411" s="17" t="e">
        <f>VLOOKUP('2501_MIS '!C411,'[1]Fast Track '!B:K,10,FALSE)</f>
        <v>#N/A</v>
      </c>
      <c r="G411" s="17" t="str">
        <f>VLOOKUP(C411,[2]Sheet7!A:D,4,FALSE)</f>
        <v>Promoted</v>
      </c>
      <c r="H411" s="45" t="s">
        <v>3645</v>
      </c>
      <c r="I411" s="26" t="s">
        <v>3658</v>
      </c>
      <c r="J411" s="17" t="s">
        <v>142</v>
      </c>
      <c r="K411" s="17" t="str">
        <f>VLOOKUP(C411,[3]Sheet1!D:J,6,FALSE)</f>
        <v>2022539291.binodkumar@pt.sharda.ac.in</v>
      </c>
      <c r="L411" s="17" t="str">
        <f>VLOOKUP(D411,[3]Sheet1!E:K,6,FALSE)</f>
        <v>9310107899</v>
      </c>
      <c r="M411" s="17" t="s">
        <v>15</v>
      </c>
      <c r="O411" t="e">
        <f>VLOOKUP(C411,#REF!,12,FALSE)</f>
        <v>#REF!</v>
      </c>
    </row>
    <row r="412" spans="1:15">
      <c r="A412" s="17">
        <v>411</v>
      </c>
      <c r="B412" s="17" t="s">
        <v>211</v>
      </c>
      <c r="C412" s="17">
        <v>2022508626</v>
      </c>
      <c r="D412" s="17">
        <v>2201010032</v>
      </c>
      <c r="E412" s="17" t="s">
        <v>1807</v>
      </c>
      <c r="F412" s="17" t="e">
        <f>VLOOKUP('2501_MIS '!C412,'[1]Fast Track '!B:K,10,FALSE)</f>
        <v>#N/A</v>
      </c>
      <c r="G412" s="17" t="str">
        <f>VLOOKUP(C412,[2]Sheet7!A:D,4,FALSE)</f>
        <v>Promoted</v>
      </c>
      <c r="H412" s="45" t="s">
        <v>3645</v>
      </c>
      <c r="I412" s="26" t="s">
        <v>3658</v>
      </c>
      <c r="J412" s="17" t="s">
        <v>212</v>
      </c>
      <c r="K412" s="17" t="str">
        <f>VLOOKUP(C412,[3]Sheet1!D:J,6,FALSE)</f>
        <v>2022508626.harendrakumar@pt.sharda.ac.in</v>
      </c>
      <c r="L412" s="17" t="str">
        <f>VLOOKUP(D412,[3]Sheet1!E:K,6,FALSE)</f>
        <v>8734821969</v>
      </c>
      <c r="M412" s="17" t="s">
        <v>15</v>
      </c>
      <c r="O412" t="e">
        <f>VLOOKUP(C412,#REF!,12,FALSE)</f>
        <v>#REF!</v>
      </c>
    </row>
    <row r="413" spans="1:15">
      <c r="A413" s="17">
        <v>412</v>
      </c>
      <c r="B413" s="17" t="s">
        <v>219</v>
      </c>
      <c r="C413" s="17">
        <v>2022558776</v>
      </c>
      <c r="D413" s="17">
        <v>2201010050</v>
      </c>
      <c r="E413" s="17" t="s">
        <v>1807</v>
      </c>
      <c r="F413" s="17" t="e">
        <f>VLOOKUP('2501_MIS '!C413,'[1]Fast Track '!B:K,10,FALSE)</f>
        <v>#N/A</v>
      </c>
      <c r="G413" s="17" t="str">
        <f>VLOOKUP(C413,[2]Sheet7!A:D,4,FALSE)</f>
        <v>Promoted</v>
      </c>
      <c r="H413" s="45" t="s">
        <v>3645</v>
      </c>
      <c r="I413" s="26" t="s">
        <v>3658</v>
      </c>
      <c r="J413" s="17" t="s">
        <v>220</v>
      </c>
      <c r="K413" s="17" t="str">
        <f>VLOOKUP(C413,[3]Sheet1!D:J,6,FALSE)</f>
        <v>2022558776.anoop@pt.sharda.ac.in</v>
      </c>
      <c r="L413" s="17" t="str">
        <f>VLOOKUP(D413,[3]Sheet1!E:K,6,FALSE)</f>
        <v>7455836193</v>
      </c>
      <c r="M413" s="17" t="s">
        <v>15</v>
      </c>
      <c r="O413" t="e">
        <f>VLOOKUP(C413,#REF!,12,FALSE)</f>
        <v>#REF!</v>
      </c>
    </row>
    <row r="414" spans="1:15">
      <c r="A414" s="17">
        <v>413</v>
      </c>
      <c r="B414" s="17" t="s">
        <v>197</v>
      </c>
      <c r="C414" s="17">
        <v>2022476104</v>
      </c>
      <c r="D414" s="17">
        <v>2201010058</v>
      </c>
      <c r="E414" s="17" t="s">
        <v>1807</v>
      </c>
      <c r="F414" s="17" t="e">
        <f>VLOOKUP('2501_MIS '!C414,'[1]Fast Track '!B:K,10,FALSE)</f>
        <v>#N/A</v>
      </c>
      <c r="G414" s="17" t="str">
        <f>VLOOKUP(C414,[2]Sheet7!A:D,4,FALSE)</f>
        <v>Promoted</v>
      </c>
      <c r="H414" s="45" t="s">
        <v>3645</v>
      </c>
      <c r="I414" s="26" t="s">
        <v>3658</v>
      </c>
      <c r="J414" s="17" t="s">
        <v>198</v>
      </c>
      <c r="K414" s="17" t="str">
        <f>VLOOKUP(C414,[3]Sheet1!D:J,6,FALSE)</f>
        <v>2022476104.gaurishankar@pt.sharda.ac.in</v>
      </c>
      <c r="L414" s="17" t="str">
        <f>VLOOKUP(D414,[3]Sheet1!E:K,6,FALSE)</f>
        <v>9162384894</v>
      </c>
      <c r="M414" s="17" t="s">
        <v>15</v>
      </c>
      <c r="O414" t="e">
        <f>VLOOKUP(C414,#REF!,12,FALSE)</f>
        <v>#REF!</v>
      </c>
    </row>
    <row r="415" spans="1:15">
      <c r="A415" s="17">
        <v>414</v>
      </c>
      <c r="B415" s="17" t="s">
        <v>122</v>
      </c>
      <c r="C415" s="17">
        <v>2022511918</v>
      </c>
      <c r="D415" s="17">
        <v>2201010090</v>
      </c>
      <c r="E415" s="17" t="s">
        <v>1807</v>
      </c>
      <c r="F415" s="17" t="e">
        <f>VLOOKUP('2501_MIS '!C415,'[1]Fast Track '!B:K,10,FALSE)</f>
        <v>#N/A</v>
      </c>
      <c r="G415" s="17" t="str">
        <f>VLOOKUP(C415,[2]Sheet7!A:D,4,FALSE)</f>
        <v>Promoted</v>
      </c>
      <c r="H415" s="45" t="s">
        <v>3644</v>
      </c>
      <c r="I415" s="26" t="s">
        <v>3659</v>
      </c>
      <c r="J415" s="17" t="s">
        <v>140</v>
      </c>
      <c r="K415" s="17" t="str">
        <f>VLOOKUP(C415,[3]Sheet1!D:J,6,FALSE)</f>
        <v>2022511918.arvindkumar@pt.sharda.ac.in</v>
      </c>
      <c r="L415" s="17" t="str">
        <f>VLOOKUP(D415,[3]Sheet1!E:K,6,FALSE)</f>
        <v>8881122192</v>
      </c>
      <c r="M415" s="17" t="s">
        <v>15</v>
      </c>
      <c r="O415" t="e">
        <f>VLOOKUP(C415,#REF!,12,FALSE)</f>
        <v>#REF!</v>
      </c>
    </row>
    <row r="416" spans="1:15">
      <c r="A416" s="17">
        <v>415</v>
      </c>
      <c r="B416" s="17" t="s">
        <v>189</v>
      </c>
      <c r="C416" s="17">
        <v>2022407716</v>
      </c>
      <c r="D416" s="17">
        <v>2201010097</v>
      </c>
      <c r="E416" s="17" t="s">
        <v>1807</v>
      </c>
      <c r="F416" s="17" t="e">
        <f>VLOOKUP('2501_MIS '!C416,'[1]Fast Track '!B:K,10,FALSE)</f>
        <v>#N/A</v>
      </c>
      <c r="G416" s="17" t="str">
        <f>VLOOKUP(C416,[2]Sheet7!A:D,4,FALSE)</f>
        <v>Promoted</v>
      </c>
      <c r="H416" s="45" t="s">
        <v>3645</v>
      </c>
      <c r="I416" s="26" t="s">
        <v>3658</v>
      </c>
      <c r="J416" s="17" t="s">
        <v>190</v>
      </c>
      <c r="K416" s="17" t="str">
        <f>VLOOKUP(C416,[3]Sheet1!D:J,6,FALSE)</f>
        <v>2022407716.naresh@pt.sharda.ac.in</v>
      </c>
      <c r="L416" s="17" t="str">
        <f>VLOOKUP(D416,[3]Sheet1!E:K,6,FALSE)</f>
        <v>7903369953</v>
      </c>
      <c r="M416" s="17" t="s">
        <v>15</v>
      </c>
      <c r="O416" t="e">
        <f>VLOOKUP(C416,#REF!,12,FALSE)</f>
        <v>#REF!</v>
      </c>
    </row>
    <row r="417" spans="1:15">
      <c r="A417" s="17">
        <v>416</v>
      </c>
      <c r="B417" s="17" t="s">
        <v>469</v>
      </c>
      <c r="C417" s="17">
        <v>2022501361</v>
      </c>
      <c r="D417" s="17">
        <v>2201010601</v>
      </c>
      <c r="E417" s="17" t="s">
        <v>1807</v>
      </c>
      <c r="F417" s="17" t="e">
        <f>VLOOKUP('2501_MIS '!C417,'[1]Fast Track '!B:K,10,FALSE)</f>
        <v>#N/A</v>
      </c>
      <c r="G417" s="17" t="str">
        <f>VLOOKUP(C417,[2]Sheet7!A:D,4,FALSE)</f>
        <v>Promoted</v>
      </c>
      <c r="H417" s="45" t="s">
        <v>3645</v>
      </c>
      <c r="I417" s="26" t="s">
        <v>3658</v>
      </c>
      <c r="J417" s="17" t="s">
        <v>470</v>
      </c>
      <c r="K417" s="17" t="str">
        <f>VLOOKUP(C417,[3]Sheet1!D:J,6,FALSE)</f>
        <v>2022501361.rajiv@pt.sharda.ac.in</v>
      </c>
      <c r="L417" s="17" t="str">
        <f>VLOOKUP(D417,[3]Sheet1!E:K,6,FALSE)</f>
        <v>8809669347</v>
      </c>
      <c r="M417" s="17" t="s">
        <v>15</v>
      </c>
      <c r="O417" t="e">
        <f>VLOOKUP(C417,#REF!,12,FALSE)</f>
        <v>#REF!</v>
      </c>
    </row>
    <row r="418" spans="1:15">
      <c r="A418" s="17">
        <v>417</v>
      </c>
      <c r="B418" s="17" t="s">
        <v>201</v>
      </c>
      <c r="C418" s="17">
        <v>2022484200</v>
      </c>
      <c r="D418" s="17">
        <v>2201010156</v>
      </c>
      <c r="E418" s="17" t="s">
        <v>1807</v>
      </c>
      <c r="F418" s="17" t="e">
        <f>VLOOKUP('2501_MIS '!C418,'[1]Fast Track '!B:K,10,FALSE)</f>
        <v>#N/A</v>
      </c>
      <c r="G418" s="17" t="str">
        <f>VLOOKUP(C418,[2]Sheet7!A:D,4,FALSE)</f>
        <v>Promoted</v>
      </c>
      <c r="H418" s="45" t="s">
        <v>3645</v>
      </c>
      <c r="I418" s="26" t="s">
        <v>3658</v>
      </c>
      <c r="J418" s="17" t="s">
        <v>202</v>
      </c>
      <c r="K418" s="17" t="str">
        <f>VLOOKUP(C418,[3]Sheet1!D:J,6,FALSE)</f>
        <v>2022484200.chandra@pt.sharda.ac.in</v>
      </c>
      <c r="L418" s="17" t="str">
        <f>VLOOKUP(D418,[3]Sheet1!E:K,6,FALSE)</f>
        <v>8588846755</v>
      </c>
      <c r="M418" s="17" t="s">
        <v>15</v>
      </c>
      <c r="O418" t="e">
        <f>VLOOKUP(C418,#REF!,12,FALSE)</f>
        <v>#REF!</v>
      </c>
    </row>
    <row r="419" spans="1:15">
      <c r="A419" s="17">
        <v>418</v>
      </c>
      <c r="B419" s="17" t="s">
        <v>137</v>
      </c>
      <c r="C419" s="17">
        <v>2022506998</v>
      </c>
      <c r="D419" s="17">
        <v>2201010247</v>
      </c>
      <c r="E419" s="17" t="s">
        <v>1807</v>
      </c>
      <c r="F419" s="17" t="e">
        <f>VLOOKUP('2501_MIS '!C419,'[1]Fast Track '!B:K,10,FALSE)</f>
        <v>#N/A</v>
      </c>
      <c r="G419" s="17" t="str">
        <f>VLOOKUP(C419,[2]Sheet7!A:D,4,FALSE)</f>
        <v>Promoted</v>
      </c>
      <c r="H419" s="45" t="s">
        <v>3645</v>
      </c>
      <c r="I419" s="26" t="s">
        <v>3658</v>
      </c>
      <c r="J419" s="17" t="s">
        <v>138</v>
      </c>
      <c r="K419" s="17" t="str">
        <f>VLOOKUP(C419,[3]Sheet1!D:J,6,FALSE)</f>
        <v>2022506998.ganeshprasad@pt.sharda.ac.in</v>
      </c>
      <c r="L419" s="17" t="str">
        <f>VLOOKUP(D419,[3]Sheet1!E:K,6,FALSE)</f>
        <v>8126368250</v>
      </c>
      <c r="M419" s="17" t="s">
        <v>15</v>
      </c>
      <c r="O419" t="e">
        <f>VLOOKUP(C419,#REF!,12,FALSE)</f>
        <v>#REF!</v>
      </c>
    </row>
    <row r="420" spans="1:15">
      <c r="A420" s="17">
        <v>419</v>
      </c>
      <c r="B420" s="17" t="s">
        <v>152</v>
      </c>
      <c r="C420" s="17">
        <v>2022006162</v>
      </c>
      <c r="D420" s="17">
        <v>2201010279</v>
      </c>
      <c r="E420" s="17" t="s">
        <v>1807</v>
      </c>
      <c r="F420" s="17" t="e">
        <f>VLOOKUP('2501_MIS '!C420,'[1]Fast Track '!B:K,10,FALSE)</f>
        <v>#N/A</v>
      </c>
      <c r="G420" s="17" t="str">
        <f>VLOOKUP(C420,[2]Sheet7!A:D,4,FALSE)</f>
        <v>Promoted</v>
      </c>
      <c r="H420" s="45" t="s">
        <v>3645</v>
      </c>
      <c r="I420" s="26" t="s">
        <v>3658</v>
      </c>
      <c r="J420" s="17" t="s">
        <v>153</v>
      </c>
      <c r="K420" s="17" t="str">
        <f>VLOOKUP(C420,[3]Sheet1!D:J,6,FALSE)</f>
        <v>2022006162.sanjeev@pt.sharda.ac.in</v>
      </c>
      <c r="L420" s="17" t="str">
        <f>VLOOKUP(D420,[3]Sheet1!E:K,6,FALSE)</f>
        <v>7249903144</v>
      </c>
      <c r="M420" s="17" t="s">
        <v>15</v>
      </c>
      <c r="O420" t="e">
        <f>VLOOKUP(C420,#REF!,12,FALSE)</f>
        <v>#REF!</v>
      </c>
    </row>
    <row r="421" spans="1:15">
      <c r="A421" s="17">
        <v>420</v>
      </c>
      <c r="B421" s="17" t="s">
        <v>229</v>
      </c>
      <c r="C421" s="17">
        <v>2022570019</v>
      </c>
      <c r="D421" s="17">
        <v>2201010293</v>
      </c>
      <c r="E421" s="17" t="s">
        <v>1807</v>
      </c>
      <c r="F421" s="17" t="e">
        <f>VLOOKUP('2501_MIS '!C421,'[1]Fast Track '!B:K,10,FALSE)</f>
        <v>#N/A</v>
      </c>
      <c r="G421" s="17" t="str">
        <f>VLOOKUP(C421,[2]Sheet7!A:D,4,FALSE)</f>
        <v>Promoted</v>
      </c>
      <c r="H421" s="45" t="s">
        <v>3644</v>
      </c>
      <c r="I421" s="26" t="s">
        <v>3659</v>
      </c>
      <c r="J421" s="17" t="s">
        <v>230</v>
      </c>
      <c r="K421" s="17" t="str">
        <f>VLOOKUP(C421,[3]Sheet1!D:J,6,FALSE)</f>
        <v>2022570019.naveen@pt.sharda.ac.in</v>
      </c>
      <c r="L421" s="17" t="str">
        <f>VLOOKUP(D421,[3]Sheet1!E:K,6,FALSE)</f>
        <v>7454817315</v>
      </c>
      <c r="M421" s="17" t="s">
        <v>15</v>
      </c>
      <c r="O421" t="e">
        <f>VLOOKUP(C421,#REF!,12,FALSE)</f>
        <v>#REF!</v>
      </c>
    </row>
    <row r="422" spans="1:15">
      <c r="A422" s="17">
        <v>421</v>
      </c>
      <c r="B422" s="17" t="s">
        <v>233</v>
      </c>
      <c r="C422" s="17">
        <v>2022582150</v>
      </c>
      <c r="D422" s="17">
        <v>2201010304</v>
      </c>
      <c r="E422" s="17" t="s">
        <v>1807</v>
      </c>
      <c r="F422" s="17" t="e">
        <f>VLOOKUP('2501_MIS '!C422,'[1]Fast Track '!B:K,10,FALSE)</f>
        <v>#N/A</v>
      </c>
      <c r="G422" s="17" t="str">
        <f>VLOOKUP(C422,[2]Sheet7!A:D,4,FALSE)</f>
        <v>Promoted</v>
      </c>
      <c r="H422" s="45" t="s">
        <v>3644</v>
      </c>
      <c r="I422" s="26" t="s">
        <v>3659</v>
      </c>
      <c r="J422" s="17" t="s">
        <v>234</v>
      </c>
      <c r="K422" s="17" t="str">
        <f>VLOOKUP(C422,[3]Sheet1!D:J,6,FALSE)</f>
        <v>2022582150.jagbir@pt.sharda.ac.in</v>
      </c>
      <c r="L422" s="17" t="str">
        <f>VLOOKUP(D422,[3]Sheet1!E:K,6,FALSE)</f>
        <v>9588522558</v>
      </c>
      <c r="M422" s="17" t="s">
        <v>15</v>
      </c>
      <c r="O422" t="e">
        <f>VLOOKUP(C422,#REF!,12,FALSE)</f>
        <v>#REF!</v>
      </c>
    </row>
    <row r="423" spans="1:15">
      <c r="A423" s="17">
        <v>422</v>
      </c>
      <c r="B423" s="17" t="s">
        <v>185</v>
      </c>
      <c r="C423" s="17">
        <v>2022359778</v>
      </c>
      <c r="D423" s="17">
        <v>2201010340</v>
      </c>
      <c r="E423" s="17" t="s">
        <v>1807</v>
      </c>
      <c r="F423" s="17" t="e">
        <f>VLOOKUP('2501_MIS '!C423,'[1]Fast Track '!B:K,10,FALSE)</f>
        <v>#N/A</v>
      </c>
      <c r="G423" s="17" t="str">
        <f>VLOOKUP(C423,[2]Sheet7!A:D,4,FALSE)</f>
        <v>Promoted</v>
      </c>
      <c r="H423" s="45" t="s">
        <v>3644</v>
      </c>
      <c r="I423" s="26" t="s">
        <v>3659</v>
      </c>
      <c r="J423" s="17" t="s">
        <v>186</v>
      </c>
      <c r="K423" s="17" t="str">
        <f>VLOOKUP(C423,[3]Sheet1!D:J,6,FALSE)</f>
        <v>2022359778.navin@pt.sharda.ac.in</v>
      </c>
      <c r="L423" s="17" t="str">
        <f>VLOOKUP(D423,[3]Sheet1!E:K,6,FALSE)</f>
        <v>7701935118</v>
      </c>
      <c r="M423" s="17" t="s">
        <v>15</v>
      </c>
      <c r="O423" t="e">
        <f>VLOOKUP(C423,#REF!,12,FALSE)</f>
        <v>#REF!</v>
      </c>
    </row>
    <row r="424" spans="1:15">
      <c r="A424" s="17">
        <v>423</v>
      </c>
      <c r="B424" s="17" t="s">
        <v>158</v>
      </c>
      <c r="C424" s="17">
        <v>2022006582</v>
      </c>
      <c r="D424" s="17">
        <v>2201010354</v>
      </c>
      <c r="E424" s="17" t="s">
        <v>1807</v>
      </c>
      <c r="F424" s="17" t="e">
        <f>VLOOKUP('2501_MIS '!C424,'[1]Fast Track '!B:K,10,FALSE)</f>
        <v>#N/A</v>
      </c>
      <c r="G424" s="17" t="str">
        <f>VLOOKUP(C424,[2]Sheet7!A:D,4,FALSE)</f>
        <v>Promoted</v>
      </c>
      <c r="H424" s="45" t="s">
        <v>3644</v>
      </c>
      <c r="I424" s="26" t="s">
        <v>3659</v>
      </c>
      <c r="J424" s="17" t="s">
        <v>159</v>
      </c>
      <c r="K424" s="17" t="str">
        <f>VLOOKUP(C424,[3]Sheet1!D:J,6,FALSE)</f>
        <v>2022006582.shashikant@pt.sharda.ac.in</v>
      </c>
      <c r="L424" s="17" t="str">
        <f>VLOOKUP(D424,[3]Sheet1!E:K,6,FALSE)</f>
        <v>7568023948</v>
      </c>
      <c r="M424" s="17" t="s">
        <v>15</v>
      </c>
      <c r="O424" t="e">
        <f>VLOOKUP(C424,#REF!,12,FALSE)</f>
        <v>#REF!</v>
      </c>
    </row>
    <row r="425" spans="1:15">
      <c r="A425" s="17">
        <v>424</v>
      </c>
      <c r="B425" s="17" t="s">
        <v>247</v>
      </c>
      <c r="C425" s="17">
        <v>2022831935</v>
      </c>
      <c r="D425" s="17">
        <v>2201010404</v>
      </c>
      <c r="E425" s="17" t="s">
        <v>1807</v>
      </c>
      <c r="F425" s="17" t="e">
        <f>VLOOKUP('2501_MIS '!C425,'[1]Fast Track '!B:K,10,FALSE)</f>
        <v>#N/A</v>
      </c>
      <c r="G425" s="17" t="str">
        <f>VLOOKUP(C425,[2]Sheet7!A:D,4,FALSE)</f>
        <v>Promoted</v>
      </c>
      <c r="H425" s="45" t="s">
        <v>3644</v>
      </c>
      <c r="I425" s="26" t="s">
        <v>3659</v>
      </c>
      <c r="J425" s="17" t="s">
        <v>248</v>
      </c>
      <c r="K425" s="17" t="str">
        <f>VLOOKUP(C425,[3]Sheet1!D:J,6,FALSE)</f>
        <v>2022831935.khemnath@pt.sharda.ac.in</v>
      </c>
      <c r="L425" s="17" t="str">
        <f>VLOOKUP(D425,[3]Sheet1!E:K,6,FALSE)</f>
        <v>91 8293135088</v>
      </c>
      <c r="M425" s="17" t="s">
        <v>15</v>
      </c>
      <c r="O425" t="e">
        <f>VLOOKUP(C425,#REF!,12,FALSE)</f>
        <v>#REF!</v>
      </c>
    </row>
    <row r="426" spans="1:15">
      <c r="A426" s="17">
        <v>425</v>
      </c>
      <c r="B426" s="17" t="s">
        <v>448</v>
      </c>
      <c r="C426" s="17">
        <v>2022452725</v>
      </c>
      <c r="D426" s="17">
        <v>2201010603</v>
      </c>
      <c r="E426" s="17" t="s">
        <v>1807</v>
      </c>
      <c r="F426" s="17" t="e">
        <f>VLOOKUP('2501_MIS '!C426,'[1]Fast Track '!B:K,10,FALSE)</f>
        <v>#N/A</v>
      </c>
      <c r="G426" s="17" t="str">
        <f>VLOOKUP(C426,[2]Sheet7!A:D,4,FALSE)</f>
        <v>Promoted</v>
      </c>
      <c r="H426" s="45" t="s">
        <v>3644</v>
      </c>
      <c r="I426" s="26" t="s">
        <v>3659</v>
      </c>
      <c r="J426" s="17" t="s">
        <v>449</v>
      </c>
      <c r="K426" s="17" t="str">
        <f>VLOOKUP(C426,[3]Sheet1!D:J,6,FALSE)</f>
        <v>2022452725.rajendra@pt.sharda.ac.in</v>
      </c>
      <c r="L426" s="17" t="str">
        <f>VLOOKUP(D426,[3]Sheet1!E:K,6,FALSE)</f>
        <v>9627722971</v>
      </c>
      <c r="M426" s="17" t="s">
        <v>15</v>
      </c>
      <c r="O426" t="e">
        <f>VLOOKUP(C426,#REF!,12,FALSE)</f>
        <v>#REF!</v>
      </c>
    </row>
    <row r="427" spans="1:15">
      <c r="A427" s="17">
        <v>426</v>
      </c>
      <c r="B427" s="17" t="s">
        <v>164</v>
      </c>
      <c r="C427" s="17">
        <v>2022006799</v>
      </c>
      <c r="D427" s="17">
        <v>2201010456</v>
      </c>
      <c r="E427" s="17" t="s">
        <v>1807</v>
      </c>
      <c r="F427" s="17" t="e">
        <f>VLOOKUP('2501_MIS '!C427,'[1]Fast Track '!B:K,10,FALSE)</f>
        <v>#N/A</v>
      </c>
      <c r="G427" s="17" t="str">
        <f>VLOOKUP(C427,[2]Sheet7!A:D,4,FALSE)</f>
        <v>Promoted</v>
      </c>
      <c r="H427" s="45" t="s">
        <v>3644</v>
      </c>
      <c r="I427" s="26" t="s">
        <v>3659</v>
      </c>
      <c r="J427" s="17" t="s">
        <v>165</v>
      </c>
      <c r="K427" s="17" t="str">
        <f>VLOOKUP(C427,[3]Sheet1!D:J,6,FALSE)</f>
        <v>2022006799.satyanarayan@pt.sharda.ac.in</v>
      </c>
      <c r="L427" s="17" t="str">
        <f>VLOOKUP(D427,[3]Sheet1!E:K,6,FALSE)</f>
        <v>7033787816</v>
      </c>
      <c r="M427" s="17" t="s">
        <v>15</v>
      </c>
      <c r="O427" t="e">
        <f>VLOOKUP(C427,#REF!,12,FALSE)</f>
        <v>#REF!</v>
      </c>
    </row>
    <row r="428" spans="1:15">
      <c r="A428" s="17">
        <v>427</v>
      </c>
      <c r="B428" s="17" t="s">
        <v>143</v>
      </c>
      <c r="C428" s="17">
        <v>2022559558</v>
      </c>
      <c r="D428" s="17">
        <v>2201010530</v>
      </c>
      <c r="E428" s="17" t="s">
        <v>1807</v>
      </c>
      <c r="F428" s="17" t="e">
        <f>VLOOKUP('2501_MIS '!C428,'[1]Fast Track '!B:K,10,FALSE)</f>
        <v>#N/A</v>
      </c>
      <c r="G428" s="17" t="str">
        <f>VLOOKUP(C428,[2]Sheet7!A:D,4,FALSE)</f>
        <v>Promoted</v>
      </c>
      <c r="H428" s="45" t="s">
        <v>3644</v>
      </c>
      <c r="I428" s="26" t="s">
        <v>3659</v>
      </c>
      <c r="J428" s="17" t="s">
        <v>144</v>
      </c>
      <c r="K428" s="17" t="str">
        <f>VLOOKUP(C428,[3]Sheet1!D:J,6,FALSE)</f>
        <v>2022559558.triloksingh@pt.sharda.ac.in</v>
      </c>
      <c r="L428" s="17" t="str">
        <f>VLOOKUP(D428,[3]Sheet1!E:K,6,FALSE)</f>
        <v>6396950928</v>
      </c>
      <c r="M428" s="17" t="s">
        <v>15</v>
      </c>
      <c r="O428" t="e">
        <f>VLOOKUP(C428,#REF!,12,FALSE)</f>
        <v>#REF!</v>
      </c>
    </row>
    <row r="429" spans="1:15">
      <c r="A429" s="17">
        <v>428</v>
      </c>
      <c r="B429" s="17" t="s">
        <v>195</v>
      </c>
      <c r="C429" s="17">
        <v>2022446209</v>
      </c>
      <c r="D429" s="17">
        <v>2201010565</v>
      </c>
      <c r="E429" s="17" t="s">
        <v>1807</v>
      </c>
      <c r="F429" s="17" t="e">
        <f>VLOOKUP('2501_MIS '!C429,'[1]Fast Track '!B:K,10,FALSE)</f>
        <v>#N/A</v>
      </c>
      <c r="G429" s="17" t="str">
        <f>VLOOKUP(C429,[2]Sheet7!A:D,4,FALSE)</f>
        <v>Promoted</v>
      </c>
      <c r="H429" s="45" t="s">
        <v>3644</v>
      </c>
      <c r="I429" s="26" t="s">
        <v>3659</v>
      </c>
      <c r="J429" s="17" t="s">
        <v>196</v>
      </c>
      <c r="K429" s="17" t="str">
        <f>VLOOKUP(C429,[3]Sheet1!D:J,6,FALSE)</f>
        <v>2022446209.saleemakhtar@pt.sharda.ac.in</v>
      </c>
      <c r="L429" s="17" t="str">
        <f>VLOOKUP(D429,[3]Sheet1!E:K,6,FALSE)</f>
        <v>7906944241</v>
      </c>
      <c r="M429" s="17" t="s">
        <v>15</v>
      </c>
      <c r="O429" t="e">
        <f>VLOOKUP(C429,#REF!,12,FALSE)</f>
        <v>#REF!</v>
      </c>
    </row>
    <row r="430" spans="1:15">
      <c r="A430" s="17">
        <v>429</v>
      </c>
      <c r="B430" s="17" t="s">
        <v>245</v>
      </c>
      <c r="C430" s="17">
        <v>2022829568</v>
      </c>
      <c r="D430" s="17">
        <v>2201010568</v>
      </c>
      <c r="E430" s="17" t="s">
        <v>1807</v>
      </c>
      <c r="F430" s="17" t="e">
        <f>VLOOKUP('2501_MIS '!C430,'[1]Fast Track '!B:K,10,FALSE)</f>
        <v>#N/A</v>
      </c>
      <c r="G430" s="17" t="str">
        <f>VLOOKUP(C430,[2]Sheet7!A:D,4,FALSE)</f>
        <v>Promoted</v>
      </c>
      <c r="H430" s="45" t="s">
        <v>3644</v>
      </c>
      <c r="I430" s="26" t="s">
        <v>3659</v>
      </c>
      <c r="J430" s="17" t="s">
        <v>246</v>
      </c>
      <c r="K430" s="17" t="str">
        <f>VLOOKUP(C430,[3]Sheet1!D:J,6,FALSE)</f>
        <v>2022829568.gopalprasad@pt.sharda.ac.in</v>
      </c>
      <c r="L430" s="17" t="str">
        <f>VLOOKUP(D430,[3]Sheet1!E:K,6,FALSE)</f>
        <v>9812872299</v>
      </c>
      <c r="M430" s="17" t="s">
        <v>15</v>
      </c>
      <c r="O430" t="e">
        <f>VLOOKUP(C430,#REF!,12,FALSE)</f>
        <v>#REF!</v>
      </c>
    </row>
    <row r="431" spans="1:15">
      <c r="A431" s="17">
        <v>430</v>
      </c>
      <c r="B431" s="17" t="s">
        <v>239</v>
      </c>
      <c r="C431" s="17">
        <v>2022818891</v>
      </c>
      <c r="D431" s="17">
        <v>2201010617</v>
      </c>
      <c r="E431" s="17" t="s">
        <v>1807</v>
      </c>
      <c r="F431" s="17" t="e">
        <f>VLOOKUP('2501_MIS '!C431,'[1]Fast Track '!B:K,10,FALSE)</f>
        <v>#N/A</v>
      </c>
      <c r="G431" s="17" t="str">
        <f>VLOOKUP(C431,[2]Sheet7!A:D,4,FALSE)</f>
        <v>Promoted</v>
      </c>
      <c r="H431" s="45" t="s">
        <v>3644</v>
      </c>
      <c r="I431" s="26" t="s">
        <v>3659</v>
      </c>
      <c r="J431" s="17" t="s">
        <v>240</v>
      </c>
      <c r="K431" s="17" t="str">
        <f>VLOOKUP(C431,[3]Sheet1!D:J,6,FALSE)</f>
        <v>2022818891.binodkumar@pt.sharda.ac.in</v>
      </c>
      <c r="L431" s="17" t="str">
        <f>VLOOKUP(D431,[3]Sheet1!E:K,6,FALSE)</f>
        <v>9335394969</v>
      </c>
      <c r="M431" s="17" t="s">
        <v>15</v>
      </c>
      <c r="O431" t="e">
        <f>VLOOKUP(C431,#REF!,12,FALSE)</f>
        <v>#REF!</v>
      </c>
    </row>
    <row r="432" spans="1:15">
      <c r="A432" s="17">
        <v>431</v>
      </c>
      <c r="B432" s="17" t="s">
        <v>207</v>
      </c>
      <c r="C432" s="17">
        <v>2022502747</v>
      </c>
      <c r="D432" s="17">
        <v>2201010642</v>
      </c>
      <c r="E432" s="17" t="s">
        <v>1807</v>
      </c>
      <c r="F432" s="17" t="e">
        <f>VLOOKUP('2501_MIS '!C432,'[1]Fast Track '!B:K,10,FALSE)</f>
        <v>#N/A</v>
      </c>
      <c r="G432" s="17" t="str">
        <f>VLOOKUP(C432,[2]Sheet7!A:D,4,FALSE)</f>
        <v>Promoted</v>
      </c>
      <c r="H432" s="45" t="s">
        <v>3644</v>
      </c>
      <c r="I432" s="26" t="s">
        <v>3659</v>
      </c>
      <c r="J432" s="17" t="s">
        <v>208</v>
      </c>
      <c r="K432" s="17" t="str">
        <f>VLOOKUP(C432,[3]Sheet1!D:J,6,FALSE)</f>
        <v>2022502747.vikram@pt.sharda.ac.in</v>
      </c>
      <c r="L432" s="17" t="str">
        <f>VLOOKUP(D432,[3]Sheet1!E:K,6,FALSE)</f>
        <v>8881431450</v>
      </c>
      <c r="M432" s="17" t="s">
        <v>15</v>
      </c>
      <c r="O432" t="e">
        <f>VLOOKUP(C432,#REF!,12,FALSE)</f>
        <v>#REF!</v>
      </c>
    </row>
    <row r="433" spans="1:15">
      <c r="A433" s="17">
        <v>432</v>
      </c>
      <c r="B433" s="17" t="s">
        <v>162</v>
      </c>
      <c r="C433" s="17">
        <v>2022006694</v>
      </c>
      <c r="D433" s="17">
        <v>2201010660</v>
      </c>
      <c r="E433" s="17" t="s">
        <v>1807</v>
      </c>
      <c r="F433" s="17" t="e">
        <f>VLOOKUP('2501_MIS '!C433,'[1]Fast Track '!B:K,10,FALSE)</f>
        <v>#N/A</v>
      </c>
      <c r="G433" s="17" t="str">
        <f>VLOOKUP(C433,[2]Sheet7!A:D,4,FALSE)</f>
        <v>Promoted</v>
      </c>
      <c r="H433" s="45" t="s">
        <v>3644</v>
      </c>
      <c r="I433" s="26" t="s">
        <v>3659</v>
      </c>
      <c r="J433" s="17" t="s">
        <v>163</v>
      </c>
      <c r="K433" s="17" t="str">
        <f>VLOOKUP(C433,[3]Sheet1!D:J,6,FALSE)</f>
        <v>2022006694.manojkumar@pt.sharda.ac.in</v>
      </c>
      <c r="L433" s="17" t="str">
        <f>VLOOKUP(D433,[3]Sheet1!E:K,6,FALSE)</f>
        <v>8081669849</v>
      </c>
      <c r="M433" s="17" t="s">
        <v>15</v>
      </c>
      <c r="O433" t="e">
        <f>VLOOKUP(C433,#REF!,12,FALSE)</f>
        <v>#REF!</v>
      </c>
    </row>
    <row r="434" spans="1:15">
      <c r="A434" s="17">
        <v>433</v>
      </c>
      <c r="B434" s="17" t="s">
        <v>166</v>
      </c>
      <c r="C434" s="17">
        <v>2022006868</v>
      </c>
      <c r="D434" s="17">
        <v>2201010673</v>
      </c>
      <c r="E434" s="17" t="s">
        <v>1807</v>
      </c>
      <c r="F434" s="17" t="e">
        <f>VLOOKUP('2501_MIS '!C434,'[1]Fast Track '!B:K,10,FALSE)</f>
        <v>#N/A</v>
      </c>
      <c r="G434" s="17" t="str">
        <f>VLOOKUP(C434,[2]Sheet7!A:D,4,FALSE)</f>
        <v>Promoted</v>
      </c>
      <c r="H434" s="45" t="s">
        <v>3644</v>
      </c>
      <c r="I434" s="26" t="s">
        <v>3659</v>
      </c>
      <c r="J434" s="17" t="s">
        <v>167</v>
      </c>
      <c r="K434" s="17" t="str">
        <f>VLOOKUP(C434,[3]Sheet1!D:J,6,FALSE)</f>
        <v>2022006868.sanjeev@pt.sharda.ac.in</v>
      </c>
      <c r="L434" s="17" t="str">
        <f>VLOOKUP(D434,[3]Sheet1!E:K,6,FALSE)</f>
        <v>7644822120</v>
      </c>
      <c r="M434" s="17" t="s">
        <v>15</v>
      </c>
      <c r="O434" t="e">
        <f>VLOOKUP(C434,#REF!,12,FALSE)</f>
        <v>#REF!</v>
      </c>
    </row>
    <row r="435" spans="1:15">
      <c r="A435" s="17">
        <v>434</v>
      </c>
      <c r="B435" s="17" t="s">
        <v>135</v>
      </c>
      <c r="C435" s="17">
        <v>2022338616</v>
      </c>
      <c r="D435" s="17">
        <v>2201010695</v>
      </c>
      <c r="E435" s="17" t="s">
        <v>1807</v>
      </c>
      <c r="F435" s="17" t="e">
        <f>VLOOKUP('2501_MIS '!C435,'[1]Fast Track '!B:K,10,FALSE)</f>
        <v>#N/A</v>
      </c>
      <c r="G435" s="17" t="str">
        <f>VLOOKUP(C435,[2]Sheet7!A:D,4,FALSE)</f>
        <v>Promoted</v>
      </c>
      <c r="H435" s="45" t="s">
        <v>3644</v>
      </c>
      <c r="I435" s="26" t="s">
        <v>3659</v>
      </c>
      <c r="J435" s="17" t="s">
        <v>136</v>
      </c>
      <c r="K435" s="17" t="str">
        <f>VLOOKUP(C435,[3]Sheet1!D:J,6,FALSE)</f>
        <v>2022338616.manoj@pt.sharda.ac.in</v>
      </c>
      <c r="L435" s="17" t="str">
        <f>VLOOKUP(D435,[3]Sheet1!E:K,6,FALSE)</f>
        <v>7827186921</v>
      </c>
      <c r="M435" s="17" t="s">
        <v>15</v>
      </c>
      <c r="O435" t="e">
        <f>VLOOKUP(C435,#REF!,12,FALSE)</f>
        <v>#REF!</v>
      </c>
    </row>
    <row r="436" spans="1:15">
      <c r="A436" s="17">
        <v>435</v>
      </c>
      <c r="B436" s="17" t="s">
        <v>213</v>
      </c>
      <c r="C436" s="17">
        <v>2022508695</v>
      </c>
      <c r="D436" s="17">
        <v>2201010720</v>
      </c>
      <c r="E436" s="17" t="s">
        <v>1807</v>
      </c>
      <c r="F436" s="17" t="e">
        <f>VLOOKUP('2501_MIS '!C436,'[1]Fast Track '!B:K,10,FALSE)</f>
        <v>#N/A</v>
      </c>
      <c r="G436" s="17" t="str">
        <f>VLOOKUP(C436,[2]Sheet7!A:D,4,FALSE)</f>
        <v>Promoted</v>
      </c>
      <c r="H436" s="45" t="s">
        <v>3644</v>
      </c>
      <c r="I436" s="26" t="s">
        <v>3659</v>
      </c>
      <c r="J436" s="17" t="s">
        <v>214</v>
      </c>
      <c r="K436" s="17" t="str">
        <f>VLOOKUP(C436,[3]Sheet1!D:J,6,FALSE)</f>
        <v>2022508695.omprakash@pt.sharda.ac.in</v>
      </c>
      <c r="L436" s="17" t="str">
        <f>VLOOKUP(D436,[3]Sheet1!E:K,6,FALSE)</f>
        <v>9548741286</v>
      </c>
      <c r="M436" s="17" t="s">
        <v>15</v>
      </c>
      <c r="O436" t="e">
        <f>VLOOKUP(C436,#REF!,12,FALSE)</f>
        <v>#REF!</v>
      </c>
    </row>
    <row r="437" spans="1:15">
      <c r="A437" s="17">
        <v>436</v>
      </c>
      <c r="B437" s="17" t="s">
        <v>430</v>
      </c>
      <c r="C437" s="17">
        <v>2022404783</v>
      </c>
      <c r="D437" s="17">
        <v>2201010679</v>
      </c>
      <c r="E437" s="17" t="s">
        <v>1807</v>
      </c>
      <c r="F437" s="17" t="e">
        <f>VLOOKUP('2501_MIS '!C437,'[1]Fast Track '!B:K,10,FALSE)</f>
        <v>#N/A</v>
      </c>
      <c r="G437" s="17" t="str">
        <f>VLOOKUP(C437,[2]Sheet7!A:D,4,FALSE)</f>
        <v>Promoted</v>
      </c>
      <c r="H437" s="45" t="s">
        <v>3644</v>
      </c>
      <c r="I437" s="26" t="s">
        <v>3659</v>
      </c>
      <c r="J437" s="17" t="s">
        <v>431</v>
      </c>
      <c r="K437" s="17" t="str">
        <f>VLOOKUP(C437,[3]Sheet1!D:J,6,FALSE)</f>
        <v>2022404783.sudhirkumar@pt.sharda.ac.in</v>
      </c>
      <c r="L437" s="17" t="str">
        <f>VLOOKUP(D437,[3]Sheet1!E:K,6,FALSE)</f>
        <v>8979566862</v>
      </c>
      <c r="M437" s="17" t="s">
        <v>15</v>
      </c>
      <c r="O437" t="e">
        <f>VLOOKUP(C437,#REF!,12,FALSE)</f>
        <v>#REF!</v>
      </c>
    </row>
    <row r="438" spans="1:15">
      <c r="A438" s="17">
        <v>437</v>
      </c>
      <c r="B438" s="17" t="s">
        <v>172</v>
      </c>
      <c r="C438" s="17">
        <v>2022007342</v>
      </c>
      <c r="D438" s="17">
        <v>2201010845</v>
      </c>
      <c r="E438" s="17" t="s">
        <v>1807</v>
      </c>
      <c r="F438" s="17" t="e">
        <f>VLOOKUP('2501_MIS '!C438,'[1]Fast Track '!B:K,10,FALSE)</f>
        <v>#N/A</v>
      </c>
      <c r="G438" s="17" t="str">
        <f>VLOOKUP(C438,[2]Sheet7!A:D,4,FALSE)</f>
        <v>Promoted</v>
      </c>
      <c r="H438" s="45" t="s">
        <v>3644</v>
      </c>
      <c r="I438" s="26" t="s">
        <v>3659</v>
      </c>
      <c r="J438" s="17" t="s">
        <v>173</v>
      </c>
      <c r="K438" s="17" t="str">
        <f>VLOOKUP(C438,[3]Sheet1!D:J,6,FALSE)</f>
        <v>2022007342.mahendra@pt.sharda.ac.in</v>
      </c>
      <c r="L438" s="17" t="str">
        <f>VLOOKUP(D438,[3]Sheet1!E:K,6,FALSE)</f>
        <v>9149220680</v>
      </c>
      <c r="M438" s="17" t="s">
        <v>15</v>
      </c>
      <c r="O438" t="e">
        <f>VLOOKUP(C438,#REF!,12,FALSE)</f>
        <v>#REF!</v>
      </c>
    </row>
    <row r="439" spans="1:15">
      <c r="A439" s="17">
        <v>438</v>
      </c>
      <c r="B439" s="17" t="s">
        <v>175</v>
      </c>
      <c r="C439" s="17">
        <v>2022007381</v>
      </c>
      <c r="D439" s="17">
        <v>2201010846</v>
      </c>
      <c r="E439" s="17" t="s">
        <v>1807</v>
      </c>
      <c r="F439" s="17" t="e">
        <f>VLOOKUP('2501_MIS '!C439,'[1]Fast Track '!B:K,10,FALSE)</f>
        <v>#N/A</v>
      </c>
      <c r="G439" s="17" t="str">
        <f>VLOOKUP(C439,[2]Sheet7!A:D,4,FALSE)</f>
        <v>Promoted</v>
      </c>
      <c r="H439" s="45" t="s">
        <v>3644</v>
      </c>
      <c r="I439" s="26" t="s">
        <v>3659</v>
      </c>
      <c r="J439" s="17" t="s">
        <v>176</v>
      </c>
      <c r="K439" s="17" t="str">
        <f>VLOOKUP(C439,[3]Sheet1!D:J,6,FALSE)</f>
        <v>2022007381.virendra@pt.sharda.ac.in</v>
      </c>
      <c r="L439" s="17" t="str">
        <f>VLOOKUP(D439,[3]Sheet1!E:K,6,FALSE)</f>
        <v>7759816393</v>
      </c>
      <c r="M439" s="17" t="s">
        <v>15</v>
      </c>
      <c r="O439" t="e">
        <f>VLOOKUP(C439,#REF!,12,FALSE)</f>
        <v>#REF!</v>
      </c>
    </row>
    <row r="440" spans="1:15">
      <c r="A440" s="17">
        <v>439</v>
      </c>
      <c r="B440" s="17" t="s">
        <v>217</v>
      </c>
      <c r="C440" s="17">
        <v>2022558410</v>
      </c>
      <c r="D440" s="17">
        <v>2201010882</v>
      </c>
      <c r="E440" s="17" t="s">
        <v>1807</v>
      </c>
      <c r="F440" s="17" t="e">
        <f>VLOOKUP('2501_MIS '!C440,'[1]Fast Track '!B:K,10,FALSE)</f>
        <v>#N/A</v>
      </c>
      <c r="G440" s="17" t="str">
        <f>VLOOKUP(C440,[2]Sheet7!A:D,4,FALSE)</f>
        <v>Promoted</v>
      </c>
      <c r="H440" s="45" t="s">
        <v>3644</v>
      </c>
      <c r="I440" s="26" t="s">
        <v>3659</v>
      </c>
      <c r="J440" s="17" t="s">
        <v>218</v>
      </c>
      <c r="K440" s="17" t="str">
        <f>VLOOKUP(C440,[3]Sheet1!D:J,6,FALSE)</f>
        <v>2022558410.mdahsan@pt.sharda.ac.in</v>
      </c>
      <c r="L440" s="17" t="str">
        <f>VLOOKUP(D440,[3]Sheet1!E:K,6,FALSE)</f>
        <v>7033913503</v>
      </c>
      <c r="M440" s="17" t="s">
        <v>15</v>
      </c>
      <c r="O440" t="e">
        <f>VLOOKUP(C440,#REF!,12,FALSE)</f>
        <v>#REF!</v>
      </c>
    </row>
    <row r="441" spans="1:15">
      <c r="A441" s="17">
        <v>440</v>
      </c>
      <c r="B441" s="17" t="s">
        <v>235</v>
      </c>
      <c r="C441" s="17">
        <v>2022621767</v>
      </c>
      <c r="D441" s="17">
        <v>2201010905</v>
      </c>
      <c r="E441" s="17" t="s">
        <v>1807</v>
      </c>
      <c r="F441" s="17" t="e">
        <f>VLOOKUP('2501_MIS '!C441,'[1]Fast Track '!B:K,10,FALSE)</f>
        <v>#N/A</v>
      </c>
      <c r="G441" s="17" t="str">
        <f>VLOOKUP(C441,[2]Sheet7!A:D,4,FALSE)</f>
        <v>Promoted</v>
      </c>
      <c r="H441" s="45" t="s">
        <v>3644</v>
      </c>
      <c r="I441" s="26" t="s">
        <v>3659</v>
      </c>
      <c r="J441" s="17" t="s">
        <v>236</v>
      </c>
      <c r="K441" s="17" t="str">
        <f>VLOOKUP(C441,[3]Sheet1!D:J,6,FALSE)</f>
        <v>2022621767.chandran@pt.sharda.ac.in</v>
      </c>
      <c r="L441" s="17" t="str">
        <f>VLOOKUP(D441,[3]Sheet1!E:K,6,FALSE)</f>
        <v>9479557386</v>
      </c>
      <c r="M441" s="17" t="s">
        <v>15</v>
      </c>
      <c r="O441" t="e">
        <f>VLOOKUP(C441,#REF!,12,FALSE)</f>
        <v>#REF!</v>
      </c>
    </row>
    <row r="442" spans="1:15">
      <c r="A442" s="17">
        <v>441</v>
      </c>
      <c r="B442" s="17" t="s">
        <v>88</v>
      </c>
      <c r="C442" s="17">
        <v>2022484684</v>
      </c>
      <c r="D442" s="17">
        <v>2201010056</v>
      </c>
      <c r="E442" s="17" t="s">
        <v>1807</v>
      </c>
      <c r="F442" s="17" t="e">
        <f>VLOOKUP('2501_MIS '!C442,'[1]Fast Track '!B:K,10,FALSE)</f>
        <v>#N/A</v>
      </c>
      <c r="G442" s="17" t="str">
        <f>VLOOKUP(C442,[2]Sheet7!A:D,4,FALSE)</f>
        <v>Promoted</v>
      </c>
      <c r="H442" s="45" t="s">
        <v>3644</v>
      </c>
      <c r="I442" s="26" t="s">
        <v>3659</v>
      </c>
      <c r="J442" s="17" t="s">
        <v>89</v>
      </c>
      <c r="K442" s="17" t="str">
        <f>VLOOKUP(C442,[3]Sheet1!D:J,6,FALSE)</f>
        <v>2022484684.mohammad@pt.sharda.ac.in</v>
      </c>
      <c r="L442" s="17" t="str">
        <f>VLOOKUP(D442,[3]Sheet1!E:K,6,FALSE)</f>
        <v>7840080567</v>
      </c>
      <c r="M442" s="17" t="s">
        <v>15</v>
      </c>
      <c r="O442" t="e">
        <f>VLOOKUP(C442,#REF!,12,FALSE)</f>
        <v>#REF!</v>
      </c>
    </row>
    <row r="443" spans="1:15">
      <c r="A443" s="17">
        <v>442</v>
      </c>
      <c r="B443" s="17" t="s">
        <v>74</v>
      </c>
      <c r="C443" s="17">
        <v>2022434676</v>
      </c>
      <c r="D443" s="17">
        <v>2201010091</v>
      </c>
      <c r="E443" s="17" t="s">
        <v>1807</v>
      </c>
      <c r="F443" s="17" t="e">
        <f>VLOOKUP('2501_MIS '!C443,'[1]Fast Track '!B:K,10,FALSE)</f>
        <v>#N/A</v>
      </c>
      <c r="G443" s="17" t="str">
        <f>VLOOKUP(C443,[2]Sheet7!A:D,4,FALSE)</f>
        <v>Promoted</v>
      </c>
      <c r="H443" s="45" t="s">
        <v>3644</v>
      </c>
      <c r="I443" s="26" t="s">
        <v>3659</v>
      </c>
      <c r="J443" s="17" t="s">
        <v>75</v>
      </c>
      <c r="K443" s="17" t="str">
        <f>VLOOKUP(C443,[3]Sheet1!D:J,6,FALSE)</f>
        <v>2022434676.vishwanath@pt.sharda.ac.in</v>
      </c>
      <c r="L443" s="17" t="str">
        <f>VLOOKUP(D443,[3]Sheet1!E:K,6,FALSE)</f>
        <v>9835339700</v>
      </c>
      <c r="M443" s="17" t="s">
        <v>15</v>
      </c>
      <c r="O443" t="e">
        <f>VLOOKUP(C443,#REF!,12,FALSE)</f>
        <v>#REF!</v>
      </c>
    </row>
    <row r="444" spans="1:15">
      <c r="A444" s="17">
        <v>443</v>
      </c>
      <c r="B444" s="17" t="s">
        <v>105</v>
      </c>
      <c r="C444" s="17">
        <v>2022506408</v>
      </c>
      <c r="D444" s="17">
        <v>2201010430</v>
      </c>
      <c r="E444" s="17" t="s">
        <v>1807</v>
      </c>
      <c r="F444" s="17" t="e">
        <f>VLOOKUP('2501_MIS '!C444,'[1]Fast Track '!B:K,10,FALSE)</f>
        <v>#N/A</v>
      </c>
      <c r="G444" s="17" t="str">
        <f>VLOOKUP(C444,[2]Sheet7!A:D,4,FALSE)</f>
        <v>Promoted</v>
      </c>
      <c r="H444" s="45" t="s">
        <v>3644</v>
      </c>
      <c r="I444" s="26" t="s">
        <v>3659</v>
      </c>
      <c r="J444" s="17" t="s">
        <v>106</v>
      </c>
      <c r="K444" s="17" t="str">
        <f>VLOOKUP(C444,[3]Sheet1!D:J,6,FALSE)</f>
        <v>2022506408.umesh@pt.sharda.ac.in</v>
      </c>
      <c r="L444" s="17" t="str">
        <f>VLOOKUP(D444,[3]Sheet1!E:K,6,FALSE)</f>
        <v>9905593696</v>
      </c>
      <c r="M444" s="17" t="s">
        <v>15</v>
      </c>
      <c r="O444" t="e">
        <f>VLOOKUP(C444,#REF!,12,FALSE)</f>
        <v>#REF!</v>
      </c>
    </row>
    <row r="445" spans="1:15">
      <c r="A445" s="17">
        <v>444</v>
      </c>
      <c r="B445" s="17" t="s">
        <v>29</v>
      </c>
      <c r="C445" s="17">
        <v>2022003474</v>
      </c>
      <c r="D445" s="17">
        <v>2201010499</v>
      </c>
      <c r="E445" s="17" t="s">
        <v>1807</v>
      </c>
      <c r="F445" s="17" t="e">
        <f>VLOOKUP('2501_MIS '!C445,'[1]Fast Track '!B:K,10,FALSE)</f>
        <v>#N/A</v>
      </c>
      <c r="G445" s="17" t="str">
        <f>VLOOKUP(C445,[2]Sheet7!A:D,4,FALSE)</f>
        <v>Promoted</v>
      </c>
      <c r="H445" s="45" t="s">
        <v>3644</v>
      </c>
      <c r="I445" s="26" t="s">
        <v>3659</v>
      </c>
      <c r="J445" s="17" t="s">
        <v>30</v>
      </c>
      <c r="K445" s="17" t="str">
        <f>VLOOKUP(C445,[3]Sheet1!D:J,6,FALSE)</f>
        <v>2022003474.munna@pt.sharda.ac.in</v>
      </c>
      <c r="L445" s="17" t="str">
        <f>VLOOKUP(D445,[3]Sheet1!E:K,6,FALSE)</f>
        <v>6397729725</v>
      </c>
      <c r="M445" s="17" t="s">
        <v>15</v>
      </c>
      <c r="O445" t="e">
        <f>VLOOKUP(C445,#REF!,12,FALSE)</f>
        <v>#REF!</v>
      </c>
    </row>
    <row r="446" spans="1:15">
      <c r="A446" s="17">
        <v>445</v>
      </c>
      <c r="B446" s="17" t="s">
        <v>52</v>
      </c>
      <c r="C446" s="17">
        <v>2022344698</v>
      </c>
      <c r="D446" s="17">
        <v>2201010539</v>
      </c>
      <c r="E446" s="17" t="s">
        <v>1807</v>
      </c>
      <c r="F446" s="17" t="e">
        <f>VLOOKUP('2501_MIS '!C446,'[1]Fast Track '!B:K,10,FALSE)</f>
        <v>#N/A</v>
      </c>
      <c r="G446" s="17" t="str">
        <f>VLOOKUP(C446,[2]Sheet7!A:D,4,FALSE)</f>
        <v>Promoted</v>
      </c>
      <c r="H446" s="45" t="s">
        <v>3644</v>
      </c>
      <c r="I446" s="26" t="s">
        <v>3659</v>
      </c>
      <c r="J446" s="17" t="s">
        <v>53</v>
      </c>
      <c r="K446" s="17" t="str">
        <f>VLOOKUP(C446,[3]Sheet1!D:J,6,FALSE)</f>
        <v>2022344698.mantu@pt.sharda.ac.in</v>
      </c>
      <c r="L446" s="17" t="str">
        <f>VLOOKUP(D446,[3]Sheet1!E:K,6,FALSE)</f>
        <v>9693330760</v>
      </c>
      <c r="M446" s="17" t="s">
        <v>15</v>
      </c>
      <c r="O446" t="e">
        <f>VLOOKUP(C446,#REF!,12,FALSE)</f>
        <v>#REF!</v>
      </c>
    </row>
    <row r="447" spans="1:15">
      <c r="A447" s="17">
        <v>446</v>
      </c>
      <c r="B447" s="17" t="s">
        <v>37</v>
      </c>
      <c r="C447" s="17">
        <v>2022004614</v>
      </c>
      <c r="D447" s="17">
        <v>2201010561</v>
      </c>
      <c r="E447" s="17" t="s">
        <v>1807</v>
      </c>
      <c r="F447" s="17" t="e">
        <f>VLOOKUP('2501_MIS '!C447,'[1]Fast Track '!B:K,10,FALSE)</f>
        <v>#N/A</v>
      </c>
      <c r="G447" s="17" t="str">
        <f>VLOOKUP(C447,[2]Sheet7!A:D,4,FALSE)</f>
        <v>Promoted</v>
      </c>
      <c r="H447" s="45" t="s">
        <v>3644</v>
      </c>
      <c r="I447" s="26" t="s">
        <v>3659</v>
      </c>
      <c r="J447" s="17" t="s">
        <v>38</v>
      </c>
      <c r="K447" s="17" t="str">
        <f>VLOOKUP(C447,[3]Sheet1!D:J,6,FALSE)</f>
        <v>2022004614.pankaj@pt.sharda.ac.in</v>
      </c>
      <c r="L447" s="17" t="str">
        <f>VLOOKUP(D447,[3]Sheet1!E:K,6,FALSE)</f>
        <v>9910132791</v>
      </c>
      <c r="M447" s="17" t="s">
        <v>15</v>
      </c>
      <c r="O447" t="e">
        <f>VLOOKUP(C447,#REF!,12,FALSE)</f>
        <v>#REF!</v>
      </c>
    </row>
    <row r="448" spans="1:15">
      <c r="A448" s="17">
        <v>447</v>
      </c>
      <c r="B448" s="17" t="s">
        <v>12</v>
      </c>
      <c r="C448" s="17">
        <v>2022000799</v>
      </c>
      <c r="D448" s="17">
        <v>2201010619</v>
      </c>
      <c r="E448" s="17" t="s">
        <v>1807</v>
      </c>
      <c r="F448" s="17" t="e">
        <f>VLOOKUP('2501_MIS '!C448,'[1]Fast Track '!B:K,10,FALSE)</f>
        <v>#N/A</v>
      </c>
      <c r="G448" s="17" t="str">
        <f>VLOOKUP(C448,[2]Sheet7!A:D,4,FALSE)</f>
        <v>Promoted</v>
      </c>
      <c r="H448" s="45" t="s">
        <v>3644</v>
      </c>
      <c r="I448" s="26" t="s">
        <v>3659</v>
      </c>
      <c r="J448" s="17" t="s">
        <v>14</v>
      </c>
      <c r="K448" s="17" t="str">
        <f>VLOOKUP(C448,[3]Sheet1!D:J,6,FALSE)</f>
        <v>2022000799.baseer@pt.sharda.ac.in</v>
      </c>
      <c r="L448" s="17">
        <f>VLOOKUP(D448,[3]Sheet1!E:K,6,FALSE)</f>
        <v>0</v>
      </c>
      <c r="M448" s="17" t="s">
        <v>15</v>
      </c>
      <c r="O448" t="e">
        <f>VLOOKUP(C448,#REF!,12,FALSE)</f>
        <v>#REF!</v>
      </c>
    </row>
    <row r="449" spans="1:15">
      <c r="A449" s="17">
        <v>448</v>
      </c>
      <c r="B449" s="17" t="s">
        <v>19</v>
      </c>
      <c r="C449" s="17">
        <v>2022001198</v>
      </c>
      <c r="D449" s="17">
        <v>2201010620</v>
      </c>
      <c r="E449" s="17" t="s">
        <v>1807</v>
      </c>
      <c r="F449" s="17" t="e">
        <f>VLOOKUP('2501_MIS '!C449,'[1]Fast Track '!B:K,10,FALSE)</f>
        <v>#N/A</v>
      </c>
      <c r="G449" s="17" t="str">
        <f>VLOOKUP(C449,[2]Sheet7!A:D,4,FALSE)</f>
        <v>Promoted</v>
      </c>
      <c r="H449" s="45" t="s">
        <v>3644</v>
      </c>
      <c r="I449" s="26" t="s">
        <v>3659</v>
      </c>
      <c r="J449" s="17" t="s">
        <v>20</v>
      </c>
      <c r="K449" s="17" t="str">
        <f>VLOOKUP(C449,[3]Sheet1!D:J,6,FALSE)</f>
        <v>2022001198.farid@pt.sharda.ac.in</v>
      </c>
      <c r="L449" s="17" t="str">
        <f>VLOOKUP(D449,[3]Sheet1!E:K,6,FALSE)</f>
        <v>960445800</v>
      </c>
      <c r="M449" s="17" t="s">
        <v>15</v>
      </c>
      <c r="O449" t="e">
        <f>VLOOKUP(C449,#REF!,12,FALSE)</f>
        <v>#REF!</v>
      </c>
    </row>
    <row r="450" spans="1:15">
      <c r="A450" s="17">
        <v>449</v>
      </c>
      <c r="B450" s="17" t="s">
        <v>66</v>
      </c>
      <c r="C450" s="17">
        <v>2022408033</v>
      </c>
      <c r="D450" s="17">
        <v>2201010723</v>
      </c>
      <c r="E450" s="17" t="s">
        <v>1807</v>
      </c>
      <c r="F450" s="17" t="e">
        <f>VLOOKUP('2501_MIS '!C450,'[1]Fast Track '!B:K,10,FALSE)</f>
        <v>#N/A</v>
      </c>
      <c r="G450" s="17" t="str">
        <f>VLOOKUP(C450,[2]Sheet7!A:D,4,FALSE)</f>
        <v>Promoted</v>
      </c>
      <c r="H450" s="45" t="s">
        <v>3644</v>
      </c>
      <c r="I450" s="26" t="s">
        <v>3659</v>
      </c>
      <c r="J450" s="17" t="s">
        <v>67</v>
      </c>
      <c r="K450" s="17" t="str">
        <f>VLOOKUP(C450,[3]Sheet1!D:J,6,FALSE)</f>
        <v>2022408033.prakashchandra@pt.sharda.ac.in</v>
      </c>
      <c r="L450" s="17" t="str">
        <f>VLOOKUP(D450,[3]Sheet1!E:K,6,FALSE)</f>
        <v>9958635595</v>
      </c>
      <c r="M450" s="17"/>
      <c r="O450" t="e">
        <f>VLOOKUP(C450,#REF!,12,FALSE)</f>
        <v>#REF!</v>
      </c>
    </row>
    <row r="451" spans="1:15">
      <c r="A451" s="17">
        <v>450</v>
      </c>
      <c r="B451" s="17" t="s">
        <v>96</v>
      </c>
      <c r="C451" s="17">
        <v>2022498602</v>
      </c>
      <c r="D451" s="17">
        <v>2201010724</v>
      </c>
      <c r="E451" s="17" t="s">
        <v>1807</v>
      </c>
      <c r="F451" s="17" t="e">
        <f>VLOOKUP('2501_MIS '!C451,'[1]Fast Track '!B:K,10,FALSE)</f>
        <v>#N/A</v>
      </c>
      <c r="G451" s="17" t="str">
        <f>VLOOKUP(C451,[2]Sheet7!A:D,4,FALSE)</f>
        <v>Promoted</v>
      </c>
      <c r="H451" s="45" t="s">
        <v>3644</v>
      </c>
      <c r="I451" s="26" t="s">
        <v>3659</v>
      </c>
      <c r="J451" s="17" t="s">
        <v>97</v>
      </c>
      <c r="K451" s="17" t="str">
        <f>VLOOKUP(C451,[3]Sheet1!D:J,6,FALSE)</f>
        <v>2022498602.laldev@pt.sharda.ac.in</v>
      </c>
      <c r="L451" s="17" t="str">
        <f>VLOOKUP(D451,[3]Sheet1!E:K,6,FALSE)</f>
        <v>9838391937</v>
      </c>
      <c r="M451" s="17"/>
      <c r="O451" t="e">
        <f>VLOOKUP(C451,#REF!,12,FALSE)</f>
        <v>#REF!</v>
      </c>
    </row>
    <row r="452" spans="1:15">
      <c r="A452" s="17">
        <v>451</v>
      </c>
      <c r="B452" s="17" t="s">
        <v>60</v>
      </c>
      <c r="C452" s="17">
        <v>2022393356</v>
      </c>
      <c r="D452" s="17">
        <v>2201010771</v>
      </c>
      <c r="E452" s="17" t="s">
        <v>1807</v>
      </c>
      <c r="F452" s="17" t="e">
        <f>VLOOKUP('2501_MIS '!C452,'[1]Fast Track '!B:K,10,FALSE)</f>
        <v>#N/A</v>
      </c>
      <c r="G452" s="17" t="str">
        <f>VLOOKUP(C452,[2]Sheet7!A:D,4,FALSE)</f>
        <v>Not Promoted</v>
      </c>
      <c r="H452" s="45" t="s">
        <v>3644</v>
      </c>
      <c r="I452" s="26" t="s">
        <v>3659</v>
      </c>
      <c r="J452" s="17" t="s">
        <v>61</v>
      </c>
      <c r="K452" s="17" t="str">
        <f>VLOOKUP(C452,[3]Sheet1!D:J,6,FALSE)</f>
        <v>2022393356.jaiprakash@pt.sharda.ac.in</v>
      </c>
      <c r="L452" s="17" t="str">
        <f>VLOOKUP(D452,[3]Sheet1!E:K,6,FALSE)</f>
        <v>8810607038</v>
      </c>
      <c r="M452" s="17"/>
      <c r="O452" t="e">
        <f>VLOOKUP(C452,#REF!,12,FALSE)</f>
        <v>#REF!</v>
      </c>
    </row>
    <row r="453" spans="1:15">
      <c r="A453" s="17">
        <v>452</v>
      </c>
      <c r="B453" s="17" t="s">
        <v>791</v>
      </c>
      <c r="C453" s="17">
        <v>2021316862</v>
      </c>
      <c r="D453" s="17">
        <v>210101007</v>
      </c>
      <c r="E453" s="17" t="s">
        <v>1809</v>
      </c>
      <c r="F453" s="17" t="e">
        <f>VLOOKUP('2501_MIS '!C453,'[1]Fast Track '!B:K,10,FALSE)</f>
        <v>#N/A</v>
      </c>
      <c r="G453" s="17" t="str">
        <f>VLOOKUP(C453,[2]Sheet7!A:D,4,FALSE)</f>
        <v>Not Promoted</v>
      </c>
      <c r="H453" s="45" t="s">
        <v>3645</v>
      </c>
      <c r="I453" s="26" t="s">
        <v>3660</v>
      </c>
      <c r="J453" s="17" t="s">
        <v>792</v>
      </c>
      <c r="K453" s="17" t="str">
        <f>VLOOKUP(C453,[3]Sheet1!D:J,6,FALSE)</f>
        <v>2021316862.moses@pt.sharda.ac.in</v>
      </c>
      <c r="L453" s="17" t="str">
        <f>VLOOKUP(C453,[3]Sheet1!D:J,7,FALSE)</f>
        <v>8630390567</v>
      </c>
      <c r="M453" s="17" t="s">
        <v>15</v>
      </c>
      <c r="O453" t="e">
        <f>VLOOKUP(C453,#REF!,12,FALSE)</f>
        <v>#REF!</v>
      </c>
    </row>
    <row r="454" spans="1:15">
      <c r="A454" s="17">
        <v>453</v>
      </c>
      <c r="B454" s="17" t="s">
        <v>789</v>
      </c>
      <c r="C454" s="17">
        <v>2021301933</v>
      </c>
      <c r="D454" s="17">
        <v>210101058</v>
      </c>
      <c r="E454" s="17" t="s">
        <v>1809</v>
      </c>
      <c r="F454" s="17" t="e">
        <f>VLOOKUP('2501_MIS '!C454,'[1]Fast Track '!B:K,10,FALSE)</f>
        <v>#N/A</v>
      </c>
      <c r="G454" s="17" t="str">
        <f>VLOOKUP(C454,[2]Sheet7!A:D,4,FALSE)</f>
        <v>Not Promoted</v>
      </c>
      <c r="H454" s="45" t="s">
        <v>3645</v>
      </c>
      <c r="I454" s="26" t="s">
        <v>3660</v>
      </c>
      <c r="J454" s="17" t="s">
        <v>790</v>
      </c>
      <c r="K454" s="17" t="str">
        <f>VLOOKUP(C454,[3]Sheet1!D:J,6,FALSE)</f>
        <v>2021301933.sajadhussain@pt.sharda.ac.in</v>
      </c>
      <c r="L454" s="17" t="str">
        <f>VLOOKUP(C454,[3]Sheet1!D:J,7,FALSE)</f>
        <v>8899972039</v>
      </c>
      <c r="M454" s="17" t="s">
        <v>15</v>
      </c>
      <c r="O454" t="e">
        <f>VLOOKUP(C454,#REF!,12,FALSE)</f>
        <v>#REF!</v>
      </c>
    </row>
    <row r="455" spans="1:15">
      <c r="A455" s="17">
        <v>454</v>
      </c>
      <c r="B455" s="17" t="s">
        <v>795</v>
      </c>
      <c r="C455" s="17">
        <v>2021373068</v>
      </c>
      <c r="D455" s="17">
        <v>210101077</v>
      </c>
      <c r="E455" s="17" t="s">
        <v>1809</v>
      </c>
      <c r="F455" s="17" t="e">
        <f>VLOOKUP('2501_MIS '!C455,'[1]Fast Track '!B:K,10,FALSE)</f>
        <v>#N/A</v>
      </c>
      <c r="G455" s="17" t="str">
        <f>VLOOKUP(C455,[2]Sheet7!A:D,4,FALSE)</f>
        <v>Not Promoted</v>
      </c>
      <c r="H455" s="45" t="s">
        <v>3645</v>
      </c>
      <c r="I455" s="26" t="s">
        <v>3660</v>
      </c>
      <c r="J455" s="17" t="s">
        <v>796</v>
      </c>
      <c r="K455" s="17" t="str">
        <f>VLOOKUP(C455,[3]Sheet1!D:J,6,FALSE)</f>
        <v>2021373068.dharmbir@pt.sharda.ac.in</v>
      </c>
      <c r="L455" s="17" t="str">
        <f>VLOOKUP(C455,[3]Sheet1!D:J,7,FALSE)</f>
        <v>9991288569</v>
      </c>
      <c r="M455" s="17" t="s">
        <v>15</v>
      </c>
      <c r="O455" t="e">
        <f>VLOOKUP(C455,#REF!,12,FALSE)</f>
        <v>#REF!</v>
      </c>
    </row>
    <row r="456" spans="1:15">
      <c r="A456" s="17">
        <v>455</v>
      </c>
      <c r="B456" s="17" t="s">
        <v>797</v>
      </c>
      <c r="C456" s="17">
        <v>2021396844</v>
      </c>
      <c r="D456" s="17">
        <v>210101170</v>
      </c>
      <c r="E456" s="17" t="s">
        <v>1809</v>
      </c>
      <c r="F456" s="17" t="e">
        <f>VLOOKUP('2501_MIS '!C456,'[1]Fast Track '!B:K,10,FALSE)</f>
        <v>#N/A</v>
      </c>
      <c r="G456" s="17" t="str">
        <f>VLOOKUP(C456,[2]Sheet7!A:D,4,FALSE)</f>
        <v>Not Promoted</v>
      </c>
      <c r="H456" s="45" t="s">
        <v>3645</v>
      </c>
      <c r="I456" s="26" t="s">
        <v>3660</v>
      </c>
      <c r="J456" s="17" t="s">
        <v>798</v>
      </c>
      <c r="K456" s="17" t="str">
        <f>VLOOKUP(C456,[3]Sheet1!D:J,6,FALSE)</f>
        <v>2021396844.rodas@pt.sharda.ac.in</v>
      </c>
      <c r="L456" s="17" t="str">
        <f>VLOOKUP(C456,[3]Sheet1!D:J,7,FALSE)</f>
        <v>8630448878</v>
      </c>
      <c r="M456" s="17" t="s">
        <v>15</v>
      </c>
      <c r="O456" t="e">
        <f>VLOOKUP(C456,#REF!,12,FALSE)</f>
        <v>#REF!</v>
      </c>
    </row>
    <row r="457" spans="1:15">
      <c r="A457" s="17">
        <v>456</v>
      </c>
      <c r="B457" s="17" t="s">
        <v>803</v>
      </c>
      <c r="C457" s="17">
        <v>2021447448</v>
      </c>
      <c r="D457" s="17">
        <v>210101223</v>
      </c>
      <c r="E457" s="17" t="s">
        <v>1809</v>
      </c>
      <c r="F457" s="17" t="e">
        <f>VLOOKUP('2501_MIS '!C457,'[1]Fast Track '!B:K,10,FALSE)</f>
        <v>#N/A</v>
      </c>
      <c r="G457" s="17" t="str">
        <f>VLOOKUP(C457,[2]Sheet7!A:D,4,FALSE)</f>
        <v>Not Promoted</v>
      </c>
      <c r="H457" s="45" t="s">
        <v>3645</v>
      </c>
      <c r="I457" s="26" t="s">
        <v>3660</v>
      </c>
      <c r="J457" s="17" t="s">
        <v>804</v>
      </c>
      <c r="K457" s="17" t="str">
        <f>VLOOKUP(C457,[3]Sheet1!D:J,6,FALSE)</f>
        <v>2021447448.yashwant@pt.sharda.ac.in</v>
      </c>
      <c r="L457" s="17" t="str">
        <f>VLOOKUP(C457,[3]Sheet1!D:J,7,FALSE)</f>
        <v>8368539536</v>
      </c>
      <c r="M457" s="17" t="s">
        <v>15</v>
      </c>
      <c r="O457" t="e">
        <f>VLOOKUP(C457,#REF!,12,FALSE)</f>
        <v>#REF!</v>
      </c>
    </row>
    <row r="458" spans="1:15">
      <c r="A458" s="17">
        <v>457</v>
      </c>
      <c r="B458" s="17" t="s">
        <v>799</v>
      </c>
      <c r="C458" s="17">
        <v>2021428834</v>
      </c>
      <c r="D458" s="17">
        <v>210101239</v>
      </c>
      <c r="E458" s="17" t="s">
        <v>1809</v>
      </c>
      <c r="F458" s="17" t="e">
        <f>VLOOKUP('2501_MIS '!C458,'[1]Fast Track '!B:K,10,FALSE)</f>
        <v>#N/A</v>
      </c>
      <c r="G458" s="17" t="str">
        <f>VLOOKUP(C458,[2]Sheet7!A:D,4,FALSE)</f>
        <v>Not Promoted</v>
      </c>
      <c r="H458" s="45" t="s">
        <v>3645</v>
      </c>
      <c r="I458" s="26" t="s">
        <v>3660</v>
      </c>
      <c r="J458" s="17" t="s">
        <v>800</v>
      </c>
      <c r="K458" s="17" t="str">
        <f>VLOOKUP(C458,[3]Sheet1!D:J,6,FALSE)</f>
        <v>2021428834.pawan@pt.sharda.ac.in</v>
      </c>
      <c r="L458" s="17" t="str">
        <f>VLOOKUP(C458,[3]Sheet1!D:J,7,FALSE)</f>
        <v>9012402604</v>
      </c>
      <c r="M458" s="17" t="s">
        <v>15</v>
      </c>
      <c r="O458" t="e">
        <f>VLOOKUP(C458,#REF!,12,FALSE)</f>
        <v>#REF!</v>
      </c>
    </row>
    <row r="459" spans="1:15">
      <c r="A459" s="17">
        <v>458</v>
      </c>
      <c r="B459" s="17" t="s">
        <v>787</v>
      </c>
      <c r="C459" s="17">
        <v>2021300643</v>
      </c>
      <c r="D459" s="17">
        <v>210101393</v>
      </c>
      <c r="E459" s="17" t="s">
        <v>1809</v>
      </c>
      <c r="F459" s="17" t="e">
        <f>VLOOKUP('2501_MIS '!C459,'[1]Fast Track '!B:K,10,FALSE)</f>
        <v>#N/A</v>
      </c>
      <c r="G459" s="17" t="str">
        <f>VLOOKUP(C459,[2]Sheet7!A:D,4,FALSE)</f>
        <v>Not Promoted</v>
      </c>
      <c r="H459" s="45" t="s">
        <v>3645</v>
      </c>
      <c r="I459" s="26" t="s">
        <v>3660</v>
      </c>
      <c r="J459" s="17" t="s">
        <v>788</v>
      </c>
      <c r="K459" s="17" t="str">
        <f>VLOOKUP(C459,[3]Sheet1!D:J,6,FALSE)</f>
        <v>2021300643.dharmendrasingh@pt.sharda.ac.in</v>
      </c>
      <c r="L459" s="17" t="str">
        <f>VLOOKUP(C459,[3]Sheet1!D:J,7,FALSE)</f>
        <v>9743728086</v>
      </c>
      <c r="M459" s="17" t="s">
        <v>15</v>
      </c>
      <c r="O459" t="e">
        <f>VLOOKUP(C459,#REF!,12,FALSE)</f>
        <v>#REF!</v>
      </c>
    </row>
    <row r="460" spans="1:15">
      <c r="A460" s="17">
        <v>459</v>
      </c>
      <c r="B460" s="17" t="s">
        <v>801</v>
      </c>
      <c r="C460" s="17">
        <v>2021446146</v>
      </c>
      <c r="D460" s="17">
        <v>210101241</v>
      </c>
      <c r="E460" s="17" t="s">
        <v>1809</v>
      </c>
      <c r="F460" s="17" t="e">
        <f>VLOOKUP('2501_MIS '!C460,'[1]Fast Track '!B:K,10,FALSE)</f>
        <v>#N/A</v>
      </c>
      <c r="G460" s="17" t="str">
        <f>VLOOKUP(C460,[2]Sheet7!A:D,4,FALSE)</f>
        <v>Promoted</v>
      </c>
      <c r="H460" s="45" t="s">
        <v>3645</v>
      </c>
      <c r="I460" s="26" t="s">
        <v>3660</v>
      </c>
      <c r="J460" s="17" t="s">
        <v>802</v>
      </c>
      <c r="K460" s="17" t="str">
        <f>VLOOKUP(C460,[3]Sheet1!D:J,6,FALSE)</f>
        <v>2021446146.satish@pt.sharda.ac.in</v>
      </c>
      <c r="L460" s="17" t="str">
        <f>VLOOKUP(C460,[3]Sheet1!D:J,7,FALSE)</f>
        <v>8860341621</v>
      </c>
      <c r="M460" s="17" t="s">
        <v>15</v>
      </c>
      <c r="O460" t="e">
        <f>VLOOKUP(C460,#REF!,12,FALSE)</f>
        <v>#REF!</v>
      </c>
    </row>
    <row r="461" spans="1:15">
      <c r="A461" s="17">
        <v>460</v>
      </c>
      <c r="B461" s="17" t="s">
        <v>805</v>
      </c>
      <c r="C461" s="17">
        <v>2021474998</v>
      </c>
      <c r="D461" s="17">
        <v>210101366</v>
      </c>
      <c r="E461" s="17" t="s">
        <v>1809</v>
      </c>
      <c r="F461" s="17" t="e">
        <f>VLOOKUP('2501_MIS '!C461,'[1]Fast Track '!B:K,10,FALSE)</f>
        <v>#N/A</v>
      </c>
      <c r="G461" s="17" t="str">
        <f>VLOOKUP(C461,[2]Sheet7!A:D,4,FALSE)</f>
        <v>Not Promoted</v>
      </c>
      <c r="H461" s="45" t="s">
        <v>3645</v>
      </c>
      <c r="I461" s="26" t="s">
        <v>3660</v>
      </c>
      <c r="J461" s="17" t="s">
        <v>806</v>
      </c>
      <c r="K461" s="17" t="str">
        <f>VLOOKUP(C461,[3]Sheet1!D:J,6,FALSE)</f>
        <v>2021474998.shantanu@pt.sharda.ac.in</v>
      </c>
      <c r="L461" s="17" t="str">
        <f>VLOOKUP(C461,[3]Sheet1!D:J,7,FALSE)</f>
        <v>6204449635</v>
      </c>
      <c r="M461" s="17" t="s">
        <v>15</v>
      </c>
      <c r="O461" t="e">
        <f>VLOOKUP(C461,#REF!,12,FALSE)</f>
        <v>#REF!</v>
      </c>
    </row>
    <row r="462" spans="1:15">
      <c r="A462" s="17">
        <v>461</v>
      </c>
      <c r="B462" s="17" t="s">
        <v>780</v>
      </c>
      <c r="C462" s="17">
        <v>2023526347</v>
      </c>
      <c r="D462" s="17">
        <v>2301017007</v>
      </c>
      <c r="E462" s="17" t="s">
        <v>1809</v>
      </c>
      <c r="F462" s="17" t="e">
        <f>VLOOKUP('2501_MIS '!C462,'[1]Fast Track '!B:K,10,FALSE)</f>
        <v>#N/A</v>
      </c>
      <c r="G462" s="17" t="str">
        <f>VLOOKUP(C462,[2]Sheet7!A:D,4,FALSE)</f>
        <v>Promoted</v>
      </c>
      <c r="H462" s="45" t="s">
        <v>3644</v>
      </c>
      <c r="I462" s="26" t="s">
        <v>3661</v>
      </c>
      <c r="J462" s="17" t="s">
        <v>781</v>
      </c>
      <c r="K462" s="17" t="str">
        <f>VLOOKUP(C462,[3]Sheet1!D:J,6,FALSE)</f>
        <v>2023526347.pravendra@pt.sharda.ac.in</v>
      </c>
      <c r="L462" s="17" t="str">
        <f>VLOOKUP(D462,[3]Sheet1!E:K,6,FALSE)</f>
        <v>9639357428</v>
      </c>
      <c r="M462" s="17" t="s">
        <v>15</v>
      </c>
      <c r="O462" t="e">
        <f>VLOOKUP(C462,#REF!,12,FALSE)</f>
        <v>#REF!</v>
      </c>
    </row>
    <row r="463" spans="1:15">
      <c r="A463" s="17">
        <v>462</v>
      </c>
      <c r="B463" s="17" t="s">
        <v>179</v>
      </c>
      <c r="C463" s="17">
        <v>2022303213</v>
      </c>
      <c r="D463" s="17">
        <v>2201010472</v>
      </c>
      <c r="E463" s="17" t="s">
        <v>1809</v>
      </c>
      <c r="F463" s="17" t="e">
        <f>VLOOKUP('2501_MIS '!C463,'[1]Fast Track '!B:K,10,FALSE)</f>
        <v>#N/A</v>
      </c>
      <c r="G463" s="17" t="str">
        <f>VLOOKUP(C463,[2]Sheet7!A:D,4,FALSE)</f>
        <v>Promoted</v>
      </c>
      <c r="H463" s="45" t="s">
        <v>3644</v>
      </c>
      <c r="I463" s="26" t="s">
        <v>3661</v>
      </c>
      <c r="J463" s="17" t="s">
        <v>180</v>
      </c>
      <c r="K463" s="17" t="str">
        <f>VLOOKUP(C463,[3]Sheet1!D:J,6,FALSE)</f>
        <v>2022303213.arvind@pt.sharda.ac.in</v>
      </c>
      <c r="L463" s="17" t="str">
        <f>VLOOKUP(D463,[3]Sheet1!E:K,6,FALSE)</f>
        <v>8972061400</v>
      </c>
      <c r="M463" s="17" t="s">
        <v>15</v>
      </c>
      <c r="O463" t="e">
        <f>VLOOKUP(C463,#REF!,12,FALSE)</f>
        <v>#REF!</v>
      </c>
    </row>
    <row r="464" spans="1:15">
      <c r="A464" s="17">
        <v>463</v>
      </c>
      <c r="B464" s="17" t="s">
        <v>814</v>
      </c>
      <c r="C464" s="17">
        <v>2022005321</v>
      </c>
      <c r="D464" s="17">
        <v>2201010051</v>
      </c>
      <c r="E464" s="17" t="s">
        <v>1809</v>
      </c>
      <c r="F464" s="17" t="e">
        <f>VLOOKUP('2501_MIS '!C464,'[1]Fast Track '!B:K,10,FALSE)</f>
        <v>#N/A</v>
      </c>
      <c r="G464" s="17" t="str">
        <f>VLOOKUP(C464,[2]Sheet7!A:D,4,FALSE)</f>
        <v>Promoted</v>
      </c>
      <c r="H464" s="45" t="s">
        <v>3645</v>
      </c>
      <c r="I464" s="26" t="s">
        <v>3660</v>
      </c>
      <c r="J464" s="17" t="s">
        <v>815</v>
      </c>
      <c r="K464" s="17" t="str">
        <f>VLOOKUP(C464,[3]Sheet1!D:J,6,FALSE)</f>
        <v>2022005321.jitendrakumar@pt.sharda.ac.in</v>
      </c>
      <c r="L464" s="17" t="str">
        <f>VLOOKUP(C464,[3]Sheet1!D:J,7,FALSE)</f>
        <v>9625310230</v>
      </c>
      <c r="M464" s="17" t="s">
        <v>15</v>
      </c>
      <c r="O464" t="e">
        <f>VLOOKUP(C464,#REF!,12,FALSE)</f>
        <v>#REF!</v>
      </c>
    </row>
    <row r="465" spans="1:15">
      <c r="A465" s="17">
        <v>464</v>
      </c>
      <c r="B465" s="17" t="s">
        <v>84</v>
      </c>
      <c r="C465" s="17">
        <v>2022473379</v>
      </c>
      <c r="D465" s="17">
        <v>2201010070</v>
      </c>
      <c r="E465" s="17" t="s">
        <v>1809</v>
      </c>
      <c r="F465" s="17" t="e">
        <f>VLOOKUP('2501_MIS '!C465,'[1]Fast Track '!B:K,10,FALSE)</f>
        <v>#N/A</v>
      </c>
      <c r="G465" s="17" t="str">
        <f>VLOOKUP(C465,[2]Sheet7!A:D,4,FALSE)</f>
        <v>Promoted</v>
      </c>
      <c r="H465" s="45" t="s">
        <v>3645</v>
      </c>
      <c r="I465" s="26" t="s">
        <v>3660</v>
      </c>
      <c r="J465" s="17" t="s">
        <v>85</v>
      </c>
      <c r="K465" s="17" t="str">
        <f>VLOOKUP(C465,[3]Sheet1!D:J,6,FALSE)</f>
        <v>2022473379.firoz@pt.sharda.ac.in</v>
      </c>
      <c r="L465" s="17" t="str">
        <f>VLOOKUP(C465,[3]Sheet1!D:J,7,FALSE)</f>
        <v>9031242786</v>
      </c>
      <c r="M465" s="17" t="s">
        <v>15</v>
      </c>
      <c r="O465" t="e">
        <f>VLOOKUP(C465,#REF!,12,FALSE)</f>
        <v>#REF!</v>
      </c>
    </row>
    <row r="466" spans="1:15">
      <c r="A466" s="17">
        <v>465</v>
      </c>
      <c r="B466" s="17" t="s">
        <v>41</v>
      </c>
      <c r="C466" s="17">
        <v>2022006171</v>
      </c>
      <c r="D466" s="17">
        <v>2201010101</v>
      </c>
      <c r="E466" s="17" t="s">
        <v>1809</v>
      </c>
      <c r="F466" s="17" t="e">
        <f>VLOOKUP('2501_MIS '!C466,'[1]Fast Track '!B:K,10,FALSE)</f>
        <v>#N/A</v>
      </c>
      <c r="G466" s="17" t="str">
        <f>VLOOKUP(C466,[2]Sheet7!A:D,4,FALSE)</f>
        <v>Promoted</v>
      </c>
      <c r="H466" s="45" t="s">
        <v>3645</v>
      </c>
      <c r="I466" s="26" t="s">
        <v>3660</v>
      </c>
      <c r="J466" s="17" t="s">
        <v>42</v>
      </c>
      <c r="K466" s="17" t="str">
        <f>VLOOKUP(C466,[3]Sheet1!D:J,6,FALSE)</f>
        <v>2022006171.anuj@pt.sharda.ac.in</v>
      </c>
      <c r="L466" s="17" t="str">
        <f>VLOOKUP(C466,[3]Sheet1!D:J,7,FALSE)</f>
        <v>8368460852</v>
      </c>
      <c r="M466" s="17" t="s">
        <v>15</v>
      </c>
      <c r="O466" t="e">
        <f>VLOOKUP(C466,#REF!,12,FALSE)</f>
        <v>#REF!</v>
      </c>
    </row>
    <row r="467" spans="1:15">
      <c r="A467" s="17">
        <v>466</v>
      </c>
      <c r="B467" s="17" t="s">
        <v>100</v>
      </c>
      <c r="C467" s="17">
        <v>2022502414</v>
      </c>
      <c r="D467" s="17">
        <v>2201010132</v>
      </c>
      <c r="E467" s="17" t="s">
        <v>1809</v>
      </c>
      <c r="F467" s="17" t="e">
        <f>VLOOKUP('2501_MIS '!C467,'[1]Fast Track '!B:K,10,FALSE)</f>
        <v>#N/A</v>
      </c>
      <c r="G467" s="17" t="str">
        <f>VLOOKUP(C467,[2]Sheet7!A:D,4,FALSE)</f>
        <v>Promoted</v>
      </c>
      <c r="H467" s="45" t="s">
        <v>3645</v>
      </c>
      <c r="I467" s="26" t="s">
        <v>3660</v>
      </c>
      <c r="J467" s="17" t="s">
        <v>101</v>
      </c>
      <c r="K467" s="17" t="str">
        <f>VLOOKUP(C467,[3]Sheet1!D:J,6,FALSE)</f>
        <v>2022502414.vijay@pt.sharda.ac.in</v>
      </c>
      <c r="L467" s="17" t="str">
        <f>VLOOKUP(C467,[3]Sheet1!D:J,7,FALSE)</f>
        <v>8850205691</v>
      </c>
      <c r="M467" s="17" t="s">
        <v>15</v>
      </c>
      <c r="O467" t="e">
        <f>VLOOKUP(C467,#REF!,12,FALSE)</f>
        <v>#REF!</v>
      </c>
    </row>
    <row r="468" spans="1:15">
      <c r="A468" s="17">
        <v>467</v>
      </c>
      <c r="B468" s="17" t="s">
        <v>47</v>
      </c>
      <c r="C468" s="17">
        <v>2022329124</v>
      </c>
      <c r="D468" s="17">
        <v>2201010138</v>
      </c>
      <c r="E468" s="17" t="s">
        <v>1809</v>
      </c>
      <c r="F468" s="17" t="e">
        <f>VLOOKUP('2501_MIS '!C468,'[1]Fast Track '!B:K,10,FALSE)</f>
        <v>#N/A</v>
      </c>
      <c r="G468" s="17" t="str">
        <f>VLOOKUP(C468,[2]Sheet7!A:D,4,FALSE)</f>
        <v>Promoted</v>
      </c>
      <c r="H468" s="45" t="s">
        <v>3645</v>
      </c>
      <c r="I468" s="26" t="s">
        <v>3660</v>
      </c>
      <c r="J468" s="17" t="s">
        <v>48</v>
      </c>
      <c r="K468" s="17" t="str">
        <f>VLOOKUP(C468,[3]Sheet1!D:J,6,FALSE)</f>
        <v>2022329124.satendra@pt.sharda.ac.in</v>
      </c>
      <c r="L468" s="17" t="str">
        <f>VLOOKUP(C468,[3]Sheet1!D:J,7,FALSE)</f>
        <v>8755465044</v>
      </c>
      <c r="M468" s="17" t="s">
        <v>15</v>
      </c>
      <c r="O468" t="e">
        <f>VLOOKUP(C468,#REF!,12,FALSE)</f>
        <v>#REF!</v>
      </c>
    </row>
    <row r="469" spans="1:15">
      <c r="A469" s="17">
        <v>468</v>
      </c>
      <c r="B469" s="17" t="s">
        <v>785</v>
      </c>
      <c r="C469" s="17">
        <v>2022557408</v>
      </c>
      <c r="D469" s="17">
        <v>2201010176</v>
      </c>
      <c r="E469" s="17" t="s">
        <v>1809</v>
      </c>
      <c r="F469" s="17" t="e">
        <f>VLOOKUP('2501_MIS '!C469,'[1]Fast Track '!B:K,10,FALSE)</f>
        <v>#N/A</v>
      </c>
      <c r="G469" s="17" t="str">
        <f>VLOOKUP(C469,[2]Sheet7!A:D,4,FALSE)</f>
        <v>Promoted</v>
      </c>
      <c r="H469" s="45" t="s">
        <v>3645</v>
      </c>
      <c r="I469" s="26" t="s">
        <v>3660</v>
      </c>
      <c r="J469" s="17" t="s">
        <v>786</v>
      </c>
      <c r="K469" s="17" t="str">
        <f>VLOOKUP(C469,[3]Sheet1!D:J,6,FALSE)</f>
        <v>2022557408.shri@pt.sharda.ac.in</v>
      </c>
      <c r="L469" s="17" t="str">
        <f>VLOOKUP(C469,[3]Sheet1!D:J,7,FALSE)</f>
        <v>9999771597</v>
      </c>
      <c r="M469" s="17" t="s">
        <v>15</v>
      </c>
      <c r="O469" t="e">
        <f>VLOOKUP(C469,#REF!,12,FALSE)</f>
        <v>#REF!</v>
      </c>
    </row>
    <row r="470" spans="1:15">
      <c r="A470" s="17">
        <v>469</v>
      </c>
      <c r="B470" s="17" t="s">
        <v>118</v>
      </c>
      <c r="C470" s="17">
        <v>2022535159</v>
      </c>
      <c r="D470" s="17">
        <v>2201010197</v>
      </c>
      <c r="E470" s="17" t="s">
        <v>1809</v>
      </c>
      <c r="F470" s="17" t="e">
        <f>VLOOKUP('2501_MIS '!C470,'[1]Fast Track '!B:K,10,FALSE)</f>
        <v>#N/A</v>
      </c>
      <c r="G470" s="17" t="str">
        <f>VLOOKUP(C470,[2]Sheet7!A:D,4,FALSE)</f>
        <v>Not Promoted</v>
      </c>
      <c r="H470" s="45" t="s">
        <v>3645</v>
      </c>
      <c r="I470" s="26" t="s">
        <v>3660</v>
      </c>
      <c r="J470" s="17" t="s">
        <v>119</v>
      </c>
      <c r="K470" s="17" t="str">
        <f>VLOOKUP(C470,[3]Sheet1!D:J,6,FALSE)</f>
        <v>2022535159.pawankumar@pt.sharda.ac.in</v>
      </c>
      <c r="L470" s="17" t="str">
        <f>VLOOKUP(C470,[3]Sheet1!D:J,7,FALSE)</f>
        <v>9812003005</v>
      </c>
      <c r="M470" s="17" t="s">
        <v>15</v>
      </c>
      <c r="O470" t="e">
        <f>VLOOKUP(C470,#REF!,12,FALSE)</f>
        <v>#REF!</v>
      </c>
    </row>
    <row r="471" spans="1:15">
      <c r="A471" s="17">
        <v>470</v>
      </c>
      <c r="B471" s="17" t="s">
        <v>27</v>
      </c>
      <c r="C471" s="17">
        <v>2022003043</v>
      </c>
      <c r="D471" s="17">
        <v>2201010209</v>
      </c>
      <c r="E471" s="17" t="s">
        <v>1809</v>
      </c>
      <c r="F471" s="17" t="e">
        <f>VLOOKUP('2501_MIS '!C471,'[1]Fast Track '!B:K,10,FALSE)</f>
        <v>#N/A</v>
      </c>
      <c r="G471" s="17" t="str">
        <f>VLOOKUP(C471,[2]Sheet7!A:D,4,FALSE)</f>
        <v>Promoted</v>
      </c>
      <c r="H471" s="45" t="s">
        <v>3645</v>
      </c>
      <c r="I471" s="26" t="s">
        <v>3660</v>
      </c>
      <c r="J471" s="17" t="s">
        <v>28</v>
      </c>
      <c r="K471" s="17" t="str">
        <f>VLOOKUP(C471,[3]Sheet1!D:J,6,FALSE)</f>
        <v>2022003043.mantreshwar@pt.sharda.ac.in</v>
      </c>
      <c r="L471" s="17" t="str">
        <f>VLOOKUP(C471,[3]Sheet1!D:J,7,FALSE)</f>
        <v>8630225086</v>
      </c>
      <c r="M471" s="17" t="s">
        <v>15</v>
      </c>
      <c r="O471" t="e">
        <f>VLOOKUP(C471,#REF!,12,FALSE)</f>
        <v>#REF!</v>
      </c>
    </row>
    <row r="472" spans="1:15">
      <c r="A472" s="17">
        <v>471</v>
      </c>
      <c r="B472" s="17" t="s">
        <v>102</v>
      </c>
      <c r="C472" s="17">
        <v>2022505448</v>
      </c>
      <c r="D472" s="17">
        <v>2201010283</v>
      </c>
      <c r="E472" s="17" t="s">
        <v>1809</v>
      </c>
      <c r="F472" s="17" t="e">
        <f>VLOOKUP('2501_MIS '!C472,'[1]Fast Track '!B:K,10,FALSE)</f>
        <v>#N/A</v>
      </c>
      <c r="G472" s="17" t="str">
        <f>VLOOKUP(C472,[2]Sheet7!A:D,4,FALSE)</f>
        <v>Promoted</v>
      </c>
      <c r="H472" s="45" t="s">
        <v>3645</v>
      </c>
      <c r="I472" s="26" t="s">
        <v>3660</v>
      </c>
      <c r="J472" s="17" t="s">
        <v>103</v>
      </c>
      <c r="K472" s="17" t="str">
        <f>VLOOKUP(C472,[3]Sheet1!D:J,6,FALSE)</f>
        <v>2022505448.shreekant@pt.sharda.ac.in</v>
      </c>
      <c r="L472" s="17" t="str">
        <f>VLOOKUP(C472,[3]Sheet1!D:J,7,FALSE)</f>
        <v>7017959380</v>
      </c>
      <c r="M472" s="17" t="s">
        <v>15</v>
      </c>
      <c r="O472" t="e">
        <f>VLOOKUP(C472,#REF!,12,FALSE)</f>
        <v>#REF!</v>
      </c>
    </row>
    <row r="473" spans="1:15">
      <c r="A473" s="17">
        <v>472</v>
      </c>
      <c r="B473" s="17" t="s">
        <v>80</v>
      </c>
      <c r="C473" s="17">
        <v>2022458909</v>
      </c>
      <c r="D473" s="17">
        <v>2201010311</v>
      </c>
      <c r="E473" s="17" t="s">
        <v>1809</v>
      </c>
      <c r="F473" s="17" t="e">
        <f>VLOOKUP('2501_MIS '!C473,'[1]Fast Track '!B:K,10,FALSE)</f>
        <v>#N/A</v>
      </c>
      <c r="G473" s="17" t="str">
        <f>VLOOKUP(C473,[2]Sheet7!A:D,4,FALSE)</f>
        <v>Promoted</v>
      </c>
      <c r="H473" s="45" t="s">
        <v>3645</v>
      </c>
      <c r="I473" s="26" t="s">
        <v>3660</v>
      </c>
      <c r="J473" s="17" t="s">
        <v>81</v>
      </c>
      <c r="K473" s="17" t="str">
        <f>VLOOKUP(C473,[3]Sheet1!D:J,6,FALSE)</f>
        <v>2022458909.basaad@pt.sharda.ac.in</v>
      </c>
      <c r="L473" s="17" t="str">
        <f>VLOOKUP(C473,[3]Sheet1!D:J,7,FALSE)</f>
        <v>9910068444</v>
      </c>
      <c r="M473" s="17" t="s">
        <v>15</v>
      </c>
      <c r="O473" t="e">
        <f>VLOOKUP(C473,#REF!,12,FALSE)</f>
        <v>#REF!</v>
      </c>
    </row>
    <row r="474" spans="1:15">
      <c r="A474" s="17">
        <v>473</v>
      </c>
      <c r="B474" s="17" t="s">
        <v>24</v>
      </c>
      <c r="C474" s="17">
        <v>2022002824</v>
      </c>
      <c r="D474" s="17">
        <v>2201010327</v>
      </c>
      <c r="E474" s="17" t="s">
        <v>1809</v>
      </c>
      <c r="F474" s="17" t="e">
        <f>VLOOKUP('2501_MIS '!C474,'[1]Fast Track '!B:K,10,FALSE)</f>
        <v>#N/A</v>
      </c>
      <c r="G474" s="17" t="str">
        <f>VLOOKUP(C474,[2]Sheet7!A:D,4,FALSE)</f>
        <v>Promoted</v>
      </c>
      <c r="H474" s="45" t="s">
        <v>3645</v>
      </c>
      <c r="I474" s="26" t="s">
        <v>3660</v>
      </c>
      <c r="J474" s="17" t="s">
        <v>25</v>
      </c>
      <c r="K474" s="17" t="str">
        <f>VLOOKUP(C474,[3]Sheet1!D:J,6,FALSE)</f>
        <v>2022002824.krishan@pt.sharda.ac.in</v>
      </c>
      <c r="L474" s="17" t="str">
        <f>VLOOKUP(C474,[3]Sheet1!D:J,7,FALSE)</f>
        <v>7011620274</v>
      </c>
      <c r="M474" s="17" t="s">
        <v>15</v>
      </c>
      <c r="O474" t="e">
        <f>VLOOKUP(C474,#REF!,12,FALSE)</f>
        <v>#REF!</v>
      </c>
    </row>
    <row r="475" spans="1:15">
      <c r="A475" s="17">
        <v>474</v>
      </c>
      <c r="B475" s="17" t="s">
        <v>76</v>
      </c>
      <c r="C475" s="17">
        <v>2022436300</v>
      </c>
      <c r="D475" s="17">
        <v>2201010356</v>
      </c>
      <c r="E475" s="17" t="s">
        <v>1809</v>
      </c>
      <c r="F475" s="17" t="e">
        <f>VLOOKUP('2501_MIS '!C475,'[1]Fast Track '!B:K,10,FALSE)</f>
        <v>#N/A</v>
      </c>
      <c r="G475" s="17" t="str">
        <f>VLOOKUP(C475,[2]Sheet7!A:D,4,FALSE)</f>
        <v>Promoted</v>
      </c>
      <c r="H475" s="45" t="s">
        <v>3645</v>
      </c>
      <c r="I475" s="26" t="s">
        <v>3660</v>
      </c>
      <c r="J475" s="17" t="s">
        <v>77</v>
      </c>
      <c r="K475" s="17" t="str">
        <f>VLOOKUP(C475,[3]Sheet1!D:J,6,FALSE)</f>
        <v>2022436300.bharat@pt.sharda.ac.in</v>
      </c>
      <c r="L475" s="17" t="str">
        <f>VLOOKUP(C475,[3]Sheet1!D:J,7,FALSE)</f>
        <v>8787236364</v>
      </c>
      <c r="M475" s="17" t="s">
        <v>15</v>
      </c>
      <c r="O475" t="e">
        <f>VLOOKUP(C475,#REF!,12,FALSE)</f>
        <v>#REF!</v>
      </c>
    </row>
    <row r="476" spans="1:15">
      <c r="A476" s="17">
        <v>475</v>
      </c>
      <c r="B476" s="17" t="s">
        <v>33</v>
      </c>
      <c r="C476" s="17">
        <v>2022004161</v>
      </c>
      <c r="D476" s="17">
        <v>2201010362</v>
      </c>
      <c r="E476" s="17" t="s">
        <v>1809</v>
      </c>
      <c r="F476" s="17" t="e">
        <f>VLOOKUP('2501_MIS '!C476,'[1]Fast Track '!B:K,10,FALSE)</f>
        <v>#N/A</v>
      </c>
      <c r="G476" s="17" t="str">
        <f>VLOOKUP(C476,[2]Sheet7!A:D,4,FALSE)</f>
        <v>Promoted</v>
      </c>
      <c r="H476" s="45" t="s">
        <v>3645</v>
      </c>
      <c r="I476" s="26" t="s">
        <v>3660</v>
      </c>
      <c r="J476" s="17" t="s">
        <v>34</v>
      </c>
      <c r="K476" s="17" t="str">
        <f>VLOOKUP(C476,[3]Sheet1!D:J,6,FALSE)</f>
        <v>2022004161.zakiul@pt.sharda.ac.in</v>
      </c>
      <c r="L476" s="17" t="str">
        <f>VLOOKUP(C476,[3]Sheet1!D:J,7,FALSE)</f>
        <v>6396324650</v>
      </c>
      <c r="M476" s="17" t="s">
        <v>15</v>
      </c>
      <c r="O476" t="e">
        <f>VLOOKUP(C476,#REF!,12,FALSE)</f>
        <v>#REF!</v>
      </c>
    </row>
    <row r="477" spans="1:15">
      <c r="A477" s="17">
        <v>476</v>
      </c>
      <c r="B477" s="17" t="s">
        <v>107</v>
      </c>
      <c r="C477" s="17">
        <v>2022506809</v>
      </c>
      <c r="D477" s="17">
        <v>2201010364</v>
      </c>
      <c r="E477" s="17" t="s">
        <v>1809</v>
      </c>
      <c r="F477" s="17" t="e">
        <f>VLOOKUP('2501_MIS '!C477,'[1]Fast Track '!B:K,10,FALSE)</f>
        <v>#N/A</v>
      </c>
      <c r="G477" s="17" t="str">
        <f>VLOOKUP(C477,[2]Sheet7!A:D,4,FALSE)</f>
        <v>Promoted</v>
      </c>
      <c r="H477" s="45" t="s">
        <v>3645</v>
      </c>
      <c r="I477" s="26" t="s">
        <v>3660</v>
      </c>
      <c r="J477" s="17" t="s">
        <v>108</v>
      </c>
      <c r="K477" s="17" t="str">
        <f>VLOOKUP(C477,[3]Sheet1!D:J,6,FALSE)</f>
        <v>2022506809.hukamchand@pt.sharda.ac.in</v>
      </c>
      <c r="L477" s="17" t="str">
        <f>VLOOKUP(C477,[3]Sheet1!D:J,7,FALSE)</f>
        <v>9667523633</v>
      </c>
      <c r="M477" s="17" t="s">
        <v>15</v>
      </c>
      <c r="O477" t="e">
        <f>VLOOKUP(C477,#REF!,12,FALSE)</f>
        <v>#REF!</v>
      </c>
    </row>
    <row r="478" spans="1:15">
      <c r="A478" s="17">
        <v>477</v>
      </c>
      <c r="B478" s="17" t="s">
        <v>86</v>
      </c>
      <c r="C478" s="17">
        <v>2022482796</v>
      </c>
      <c r="D478" s="17">
        <v>2201010433</v>
      </c>
      <c r="E478" s="17" t="s">
        <v>1809</v>
      </c>
      <c r="F478" s="17" t="e">
        <f>VLOOKUP('2501_MIS '!C478,'[1]Fast Track '!B:K,10,FALSE)</f>
        <v>#N/A</v>
      </c>
      <c r="G478" s="17" t="str">
        <f>VLOOKUP(C478,[2]Sheet7!A:D,4,FALSE)</f>
        <v>Promoted</v>
      </c>
      <c r="H478" s="45" t="s">
        <v>3645</v>
      </c>
      <c r="I478" s="26" t="s">
        <v>3660</v>
      </c>
      <c r="J478" s="17" t="s">
        <v>87</v>
      </c>
      <c r="K478" s="17" t="str">
        <f>VLOOKUP(C478,[3]Sheet1!D:J,6,FALSE)</f>
        <v>2022482796.heerasingh@pt.sharda.ac.in</v>
      </c>
      <c r="L478" s="17" t="str">
        <f>VLOOKUP(C478,[3]Sheet1!D:J,7,FALSE)</f>
        <v>8126978333</v>
      </c>
      <c r="M478" s="17" t="s">
        <v>15</v>
      </c>
      <c r="O478" t="e">
        <f>VLOOKUP(C478,#REF!,12,FALSE)</f>
        <v>#REF!</v>
      </c>
    </row>
    <row r="479" spans="1:15">
      <c r="A479" s="17">
        <v>478</v>
      </c>
      <c r="B479" s="17" t="s">
        <v>94</v>
      </c>
      <c r="C479" s="17">
        <v>2022495153</v>
      </c>
      <c r="D479" s="17">
        <v>2201010685</v>
      </c>
      <c r="E479" s="17" t="s">
        <v>1809</v>
      </c>
      <c r="F479" s="17" t="e">
        <f>VLOOKUP('2501_MIS '!C479,'[1]Fast Track '!B:K,10,FALSE)</f>
        <v>#N/A</v>
      </c>
      <c r="G479" s="17" t="str">
        <f>VLOOKUP(C479,[2]Sheet7!A:D,4,FALSE)</f>
        <v>Promoted</v>
      </c>
      <c r="H479" s="45" t="s">
        <v>3645</v>
      </c>
      <c r="I479" s="26" t="s">
        <v>3660</v>
      </c>
      <c r="J479" s="17" t="s">
        <v>95</v>
      </c>
      <c r="K479" s="17" t="str">
        <f>VLOOKUP(C479,[3]Sheet1!D:J,6,FALSE)</f>
        <v>2022495153.rajeshkumar@pt.sharda.ac.in</v>
      </c>
      <c r="L479" s="17" t="str">
        <f>VLOOKUP(C479,[3]Sheet1!D:J,7,FALSE)</f>
        <v>9260956206</v>
      </c>
      <c r="M479" s="17" t="s">
        <v>15</v>
      </c>
      <c r="O479" t="e">
        <f>VLOOKUP(C479,#REF!,12,FALSE)</f>
        <v>#REF!</v>
      </c>
    </row>
    <row r="480" spans="1:15">
      <c r="A480" s="17">
        <v>479</v>
      </c>
      <c r="B480" s="17" t="s">
        <v>120</v>
      </c>
      <c r="C480" s="17">
        <v>2022543079</v>
      </c>
      <c r="D480" s="17">
        <v>2201010735</v>
      </c>
      <c r="E480" s="17" t="s">
        <v>1809</v>
      </c>
      <c r="F480" s="17" t="e">
        <f>VLOOKUP('2501_MIS '!C480,'[1]Fast Track '!B:K,10,FALSE)</f>
        <v>#N/A</v>
      </c>
      <c r="G480" s="17" t="str">
        <f>VLOOKUP(C480,[2]Sheet7!A:D,4,FALSE)</f>
        <v>Promoted</v>
      </c>
      <c r="H480" s="45" t="s">
        <v>3645</v>
      </c>
      <c r="I480" s="26" t="s">
        <v>3660</v>
      </c>
      <c r="J480" s="17" t="s">
        <v>121</v>
      </c>
      <c r="K480" s="17" t="str">
        <f>VLOOKUP(C480,[3]Sheet1!D:J,6,FALSE)</f>
        <v>2022543079.ramsewak@pt.sharda.ac.in</v>
      </c>
      <c r="L480" s="17" t="str">
        <f>VLOOKUP(C480,[3]Sheet1!D:J,7,FALSE)</f>
        <v>8287941372</v>
      </c>
      <c r="M480" s="17" t="s">
        <v>15</v>
      </c>
      <c r="O480" t="e">
        <f>VLOOKUP(C480,#REF!,12,FALSE)</f>
        <v>#REF!</v>
      </c>
    </row>
    <row r="481" spans="1:15">
      <c r="A481" s="17">
        <v>480</v>
      </c>
      <c r="B481" s="17" t="s">
        <v>39</v>
      </c>
      <c r="C481" s="17">
        <v>2022005697</v>
      </c>
      <c r="D481" s="17">
        <v>2201010754</v>
      </c>
      <c r="E481" s="17" t="s">
        <v>1809</v>
      </c>
      <c r="F481" s="17" t="e">
        <f>VLOOKUP('2501_MIS '!C481,'[1]Fast Track '!B:K,10,FALSE)</f>
        <v>#N/A</v>
      </c>
      <c r="G481" s="17" t="str">
        <f>VLOOKUP(C481,[2]Sheet7!A:D,4,FALSE)</f>
        <v>Promoted</v>
      </c>
      <c r="H481" s="45" t="s">
        <v>3645</v>
      </c>
      <c r="I481" s="26" t="s">
        <v>3660</v>
      </c>
      <c r="J481" s="17" t="s">
        <v>40</v>
      </c>
      <c r="K481" s="17" t="str">
        <f>VLOOKUP(C481,[3]Sheet1!D:J,6,FALSE)</f>
        <v>2022005697.umashanker@pt.sharda.ac.in</v>
      </c>
      <c r="L481" s="17" t="str">
        <f>VLOOKUP(C481,[3]Sheet1!D:J,7,FALSE)</f>
        <v>9867931067</v>
      </c>
      <c r="M481" s="17" t="s">
        <v>15</v>
      </c>
      <c r="O481" t="e">
        <f>VLOOKUP(C481,#REF!,12,FALSE)</f>
        <v>#REF!</v>
      </c>
    </row>
    <row r="482" spans="1:15">
      <c r="A482" s="17">
        <v>481</v>
      </c>
      <c r="B482" s="17" t="s">
        <v>78</v>
      </c>
      <c r="C482" s="17">
        <v>2022439020</v>
      </c>
      <c r="D482" s="17">
        <v>2201010780</v>
      </c>
      <c r="E482" s="17" t="s">
        <v>1809</v>
      </c>
      <c r="F482" s="17" t="e">
        <f>VLOOKUP('2501_MIS '!C482,'[1]Fast Track '!B:K,10,FALSE)</f>
        <v>#N/A</v>
      </c>
      <c r="G482" s="17" t="str">
        <f>VLOOKUP(C482,[2]Sheet7!A:D,4,FALSE)</f>
        <v>Promoted</v>
      </c>
      <c r="H482" s="45" t="s">
        <v>3645</v>
      </c>
      <c r="I482" s="26" t="s">
        <v>3660</v>
      </c>
      <c r="J482" s="17" t="s">
        <v>79</v>
      </c>
      <c r="K482" s="17" t="str">
        <f>VLOOKUP(C482,[3]Sheet1!D:J,6,FALSE)</f>
        <v>2022439020.luv@pt.sharda.ac.in</v>
      </c>
      <c r="L482" s="17" t="str">
        <f>VLOOKUP(C482,[3]Sheet1!D:J,7,FALSE)</f>
        <v>9971284298</v>
      </c>
      <c r="M482" s="17" t="s">
        <v>15</v>
      </c>
      <c r="O482" t="e">
        <f>VLOOKUP(C482,#REF!,12,FALSE)</f>
        <v>#REF!</v>
      </c>
    </row>
    <row r="483" spans="1:15">
      <c r="A483" s="17">
        <v>482</v>
      </c>
      <c r="B483" s="17" t="s">
        <v>43</v>
      </c>
      <c r="C483" s="17">
        <v>2022007449</v>
      </c>
      <c r="D483" s="17">
        <v>2201010849</v>
      </c>
      <c r="E483" s="17" t="s">
        <v>1809</v>
      </c>
      <c r="F483" s="17" t="e">
        <f>VLOOKUP('2501_MIS '!C483,'[1]Fast Track '!B:K,10,FALSE)</f>
        <v>#N/A</v>
      </c>
      <c r="G483" s="17" t="str">
        <f>VLOOKUP(C483,[2]Sheet7!A:D,4,FALSE)</f>
        <v>Promoted</v>
      </c>
      <c r="H483" s="45" t="s">
        <v>3645</v>
      </c>
      <c r="I483" s="26" t="s">
        <v>3660</v>
      </c>
      <c r="J483" s="17" t="s">
        <v>44</v>
      </c>
      <c r="K483" s="17" t="str">
        <f>VLOOKUP(C483,[3]Sheet1!D:J,6,FALSE)</f>
        <v>2022007449.bishnu@pt.sharda.ac.in</v>
      </c>
      <c r="L483" s="17" t="str">
        <f>VLOOKUP(C483,[3]Sheet1!D:J,7,FALSE)</f>
        <v>9366242126</v>
      </c>
      <c r="M483" s="17" t="s">
        <v>15</v>
      </c>
      <c r="O483" t="e">
        <f>VLOOKUP(C483,#REF!,12,FALSE)</f>
        <v>#REF!</v>
      </c>
    </row>
    <row r="484" spans="1:15">
      <c r="A484" s="17">
        <v>483</v>
      </c>
      <c r="B484" s="17" t="s">
        <v>56</v>
      </c>
      <c r="C484" s="17">
        <v>2022369268</v>
      </c>
      <c r="D484" s="17">
        <v>2201010870</v>
      </c>
      <c r="E484" s="17" t="s">
        <v>1809</v>
      </c>
      <c r="F484" s="17" t="e">
        <f>VLOOKUP('2501_MIS '!C484,'[1]Fast Track '!B:K,10,FALSE)</f>
        <v>#N/A</v>
      </c>
      <c r="G484" s="17" t="str">
        <f>VLOOKUP(C484,[2]Sheet7!A:D,4,FALSE)</f>
        <v>Promoted</v>
      </c>
      <c r="H484" s="45" t="s">
        <v>3645</v>
      </c>
      <c r="I484" s="26" t="s">
        <v>3660</v>
      </c>
      <c r="J484" s="17" t="s">
        <v>57</v>
      </c>
      <c r="K484" s="17" t="str">
        <f>VLOOKUP(C484,[3]Sheet1!D:J,6,FALSE)</f>
        <v>2022369268.tariqahmad@pt.sharda.ac.in</v>
      </c>
      <c r="L484" s="17" t="str">
        <f>VLOOKUP(C484,[3]Sheet1!D:J,7,FALSE)</f>
        <v>6005823801</v>
      </c>
      <c r="M484" s="17" t="s">
        <v>15</v>
      </c>
      <c r="O484" t="e">
        <f>VLOOKUP(C484,#REF!,12,FALSE)</f>
        <v>#REF!</v>
      </c>
    </row>
    <row r="485" spans="1:15">
      <c r="A485" s="17">
        <v>484</v>
      </c>
      <c r="B485" s="17" t="s">
        <v>115</v>
      </c>
      <c r="C485" s="17">
        <v>2022528998</v>
      </c>
      <c r="D485" s="17">
        <v>2201010876</v>
      </c>
      <c r="E485" s="17" t="s">
        <v>1809</v>
      </c>
      <c r="F485" s="17" t="e">
        <f>VLOOKUP('2501_MIS '!C485,'[1]Fast Track '!B:K,10,FALSE)</f>
        <v>#N/A</v>
      </c>
      <c r="G485" s="17" t="str">
        <f>VLOOKUP(C485,[2]Sheet7!A:D,4,FALSE)</f>
        <v>Promoted</v>
      </c>
      <c r="H485" s="45" t="s">
        <v>3645</v>
      </c>
      <c r="I485" s="26" t="s">
        <v>3660</v>
      </c>
      <c r="J485" s="17" t="s">
        <v>116</v>
      </c>
      <c r="K485" s="17" t="str">
        <f>VLOOKUP(C485,[3]Sheet1!D:J,6,FALSE)</f>
        <v>2022528998.santosh@pt.sharda.ac.in</v>
      </c>
      <c r="L485" s="17" t="str">
        <f>VLOOKUP(C485,[3]Sheet1!D:J,7,FALSE)</f>
        <v>9142324099</v>
      </c>
      <c r="M485" s="17" t="s">
        <v>15</v>
      </c>
      <c r="O485" t="e">
        <f>VLOOKUP(C485,#REF!,12,FALSE)</f>
        <v>#REF!</v>
      </c>
    </row>
    <row r="486" spans="1:15">
      <c r="A486" s="17">
        <v>485</v>
      </c>
      <c r="B486" s="17" t="s">
        <v>807</v>
      </c>
      <c r="C486" s="17">
        <v>2021482470</v>
      </c>
      <c r="D486" s="17">
        <v>210101376</v>
      </c>
      <c r="E486" s="17" t="s">
        <v>1809</v>
      </c>
      <c r="F486" s="17" t="e">
        <f>VLOOKUP('2501_MIS '!C486,'[1]Fast Track '!B:K,10,FALSE)</f>
        <v>#N/A</v>
      </c>
      <c r="G486" s="17" t="str">
        <f>VLOOKUP(C486,[2]Sheet7!A:D,4,FALSE)</f>
        <v>Not Promoted</v>
      </c>
      <c r="H486" s="45" t="s">
        <v>3644</v>
      </c>
      <c r="I486" s="26" t="s">
        <v>3661</v>
      </c>
      <c r="J486" s="17" t="s">
        <v>808</v>
      </c>
      <c r="K486" s="17" t="str">
        <f>VLOOKUP(C486,[3]Sheet1!D:J,6,FALSE)</f>
        <v>2021482470.suchand@pt.sharda.ac.in</v>
      </c>
      <c r="L486" s="17" t="str">
        <f>VLOOKUP(C486,[3]Sheet1!D:J,7,FALSE)</f>
        <v>6370261378</v>
      </c>
      <c r="M486" s="17" t="s">
        <v>15</v>
      </c>
      <c r="O486" t="e">
        <f>VLOOKUP(C486,#REF!,12,FALSE)</f>
        <v>#REF!</v>
      </c>
    </row>
    <row r="487" spans="1:15">
      <c r="A487" s="17">
        <v>486</v>
      </c>
      <c r="B487" s="17" t="s">
        <v>227</v>
      </c>
      <c r="C487" s="17">
        <v>2022567112</v>
      </c>
      <c r="D487" s="17">
        <v>2201010071</v>
      </c>
      <c r="E487" s="17" t="s">
        <v>1809</v>
      </c>
      <c r="F487" s="17" t="e">
        <f>VLOOKUP('2501_MIS '!C487,'[1]Fast Track '!B:K,10,FALSE)</f>
        <v>#N/A</v>
      </c>
      <c r="G487" s="17" t="str">
        <f>VLOOKUP(C487,[2]Sheet7!A:D,4,FALSE)</f>
        <v>Promoted</v>
      </c>
      <c r="H487" s="45" t="s">
        <v>3644</v>
      </c>
      <c r="I487" s="26" t="s">
        <v>3661</v>
      </c>
      <c r="J487" s="17" t="s">
        <v>228</v>
      </c>
      <c r="K487" s="17" t="str">
        <f>VLOOKUP(C487,[3]Sheet1!D:J,6,FALSE)</f>
        <v>2022567112.santoshkumar@pt.sharda.ac.in</v>
      </c>
      <c r="L487" s="17" t="str">
        <f>VLOOKUP(C487,[3]Sheet1!D:J,7,FALSE)</f>
        <v>9142316341</v>
      </c>
      <c r="M487" s="17" t="s">
        <v>15</v>
      </c>
      <c r="O487" t="e">
        <f>VLOOKUP(C487,#REF!,12,FALSE)</f>
        <v>#REF!</v>
      </c>
    </row>
    <row r="488" spans="1:15">
      <c r="A488" s="17">
        <v>487</v>
      </c>
      <c r="B488" s="17" t="s">
        <v>150</v>
      </c>
      <c r="C488" s="17">
        <v>2022006152</v>
      </c>
      <c r="D488" s="17">
        <v>2201010075</v>
      </c>
      <c r="E488" s="17" t="s">
        <v>1809</v>
      </c>
      <c r="F488" s="17" t="e">
        <f>VLOOKUP('2501_MIS '!C488,'[1]Fast Track '!B:K,10,FALSE)</f>
        <v>#N/A</v>
      </c>
      <c r="G488" s="17" t="str">
        <f>VLOOKUP(C488,[2]Sheet7!A:D,4,FALSE)</f>
        <v>Promoted</v>
      </c>
      <c r="H488" s="45" t="s">
        <v>3644</v>
      </c>
      <c r="I488" s="26" t="s">
        <v>3661</v>
      </c>
      <c r="J488" s="17" t="s">
        <v>151</v>
      </c>
      <c r="K488" s="17" t="str">
        <f>VLOOKUP(C488,[3]Sheet1!D:J,6,FALSE)</f>
        <v>2022006152.jaikishan@pt.sharda.ac.in</v>
      </c>
      <c r="L488" s="17" t="str">
        <f>VLOOKUP(C488,[3]Sheet1!D:J,7,FALSE)</f>
        <v>9654088144</v>
      </c>
      <c r="M488" s="17" t="s">
        <v>15</v>
      </c>
      <c r="O488" t="e">
        <f>VLOOKUP(C488,#REF!,12,FALSE)</f>
        <v>#REF!</v>
      </c>
    </row>
    <row r="489" spans="1:15">
      <c r="A489" s="17">
        <v>488</v>
      </c>
      <c r="B489" s="17" t="s">
        <v>160</v>
      </c>
      <c r="C489" s="17">
        <v>2022006654</v>
      </c>
      <c r="D489" s="17">
        <v>2201010088</v>
      </c>
      <c r="E489" s="17" t="s">
        <v>1809</v>
      </c>
      <c r="F489" s="17" t="e">
        <f>VLOOKUP('2501_MIS '!C489,'[1]Fast Track '!B:K,10,FALSE)</f>
        <v>#N/A</v>
      </c>
      <c r="G489" s="17" t="str">
        <f>VLOOKUP(C489,[2]Sheet7!A:D,4,FALSE)</f>
        <v>Promoted</v>
      </c>
      <c r="H489" s="45" t="s">
        <v>3644</v>
      </c>
      <c r="I489" s="26" t="s">
        <v>3661</v>
      </c>
      <c r="J489" s="17" t="s">
        <v>161</v>
      </c>
      <c r="K489" s="17" t="str">
        <f>VLOOKUP(C489,[3]Sheet1!D:J,6,FALSE)</f>
        <v>2022006654.rajeshwar@pt.sharda.ac.in</v>
      </c>
      <c r="L489" s="17" t="str">
        <f>VLOOKUP(C489,[3]Sheet1!D:J,7,FALSE)</f>
        <v>9667127584</v>
      </c>
      <c r="M489" s="17" t="s">
        <v>15</v>
      </c>
      <c r="O489" t="e">
        <f>VLOOKUP(C489,#REF!,12,FALSE)</f>
        <v>#REF!</v>
      </c>
    </row>
    <row r="490" spans="1:15">
      <c r="A490" s="17">
        <v>489</v>
      </c>
      <c r="B490" s="17" t="s">
        <v>154</v>
      </c>
      <c r="C490" s="17">
        <v>2022006318</v>
      </c>
      <c r="D490" s="17">
        <v>2201010126</v>
      </c>
      <c r="E490" s="17" t="s">
        <v>1809</v>
      </c>
      <c r="F490" s="17" t="e">
        <f>VLOOKUP('2501_MIS '!C490,'[1]Fast Track '!B:K,10,FALSE)</f>
        <v>#N/A</v>
      </c>
      <c r="G490" s="17" t="str">
        <f>VLOOKUP(C490,[2]Sheet7!A:D,4,FALSE)</f>
        <v>Promoted</v>
      </c>
      <c r="H490" s="45" t="s">
        <v>3644</v>
      </c>
      <c r="I490" s="26" t="s">
        <v>3661</v>
      </c>
      <c r="J490" s="17" t="s">
        <v>155</v>
      </c>
      <c r="K490" s="17" t="str">
        <f>VLOOKUP(C490,[3]Sheet1!D:J,6,FALSE)</f>
        <v>2022006318.md@pt.sharda.ac.in</v>
      </c>
      <c r="L490" s="17" t="str">
        <f>VLOOKUP(C490,[3]Sheet1!D:J,7,FALSE)</f>
        <v>9289882117</v>
      </c>
      <c r="M490" s="17" t="s">
        <v>15</v>
      </c>
      <c r="O490" t="e">
        <f>VLOOKUP(C490,#REF!,12,FALSE)</f>
        <v>#REF!</v>
      </c>
    </row>
    <row r="491" spans="1:15">
      <c r="A491" s="17">
        <v>490</v>
      </c>
      <c r="B491" s="17" t="s">
        <v>191</v>
      </c>
      <c r="C491" s="17">
        <v>2022416656</v>
      </c>
      <c r="D491" s="17">
        <v>2201010169</v>
      </c>
      <c r="E491" s="17" t="s">
        <v>1809</v>
      </c>
      <c r="F491" s="17" t="e">
        <f>VLOOKUP('2501_MIS '!C491,'[1]Fast Track '!B:K,10,FALSE)</f>
        <v>#N/A</v>
      </c>
      <c r="G491" s="17" t="str">
        <f>VLOOKUP(C491,[2]Sheet7!A:D,4,FALSE)</f>
        <v>Promoted</v>
      </c>
      <c r="H491" s="45" t="s">
        <v>3644</v>
      </c>
      <c r="I491" s="26" t="s">
        <v>3661</v>
      </c>
      <c r="J491" s="17" t="s">
        <v>192</v>
      </c>
      <c r="K491" s="17" t="str">
        <f>VLOOKUP(C491,[3]Sheet1!D:J,6,FALSE)</f>
        <v>2022416656.krishan@pt.sharda.ac.in</v>
      </c>
      <c r="L491" s="17" t="str">
        <f>VLOOKUP(C491,[3]Sheet1!D:J,7,FALSE)</f>
        <v>9569578053</v>
      </c>
      <c r="M491" s="17" t="s">
        <v>15</v>
      </c>
      <c r="O491" t="e">
        <f>VLOOKUP(C491,#REF!,12,FALSE)</f>
        <v>#REF!</v>
      </c>
    </row>
    <row r="492" spans="1:15">
      <c r="A492" s="17">
        <v>491</v>
      </c>
      <c r="B492" s="17" t="s">
        <v>618</v>
      </c>
      <c r="C492" s="17">
        <v>2022002822</v>
      </c>
      <c r="D492" s="17">
        <v>2201010272</v>
      </c>
      <c r="E492" s="17" t="s">
        <v>1809</v>
      </c>
      <c r="F492" s="17" t="e">
        <f>VLOOKUP('2501_MIS '!C492,'[1]Fast Track '!B:K,10,FALSE)</f>
        <v>#N/A</v>
      </c>
      <c r="G492" s="17" t="str">
        <f>VLOOKUP(C492,[2]Sheet7!A:D,4,FALSE)</f>
        <v>Not Promoted</v>
      </c>
      <c r="H492" s="45" t="s">
        <v>3644</v>
      </c>
      <c r="I492" s="26" t="s">
        <v>3661</v>
      </c>
      <c r="J492" s="17" t="s">
        <v>811</v>
      </c>
      <c r="K492" s="17" t="str">
        <f>VLOOKUP(C492,[3]Sheet1!D:J,6,FALSE)</f>
        <v>2022002822.jaidev@pt.sharda.ac.in</v>
      </c>
      <c r="L492" s="17" t="str">
        <f>VLOOKUP(C492,[3]Sheet1!D:J,7,FALSE)</f>
        <v>6395061345</v>
      </c>
      <c r="M492" s="17" t="s">
        <v>15</v>
      </c>
      <c r="O492" t="e">
        <f>VLOOKUP(C492,#REF!,12,FALSE)</f>
        <v>#REF!</v>
      </c>
    </row>
    <row r="493" spans="1:15">
      <c r="A493" s="17">
        <v>492</v>
      </c>
      <c r="B493" s="17" t="s">
        <v>241</v>
      </c>
      <c r="C493" s="17">
        <v>2022819221</v>
      </c>
      <c r="D493" s="17">
        <v>2201010307</v>
      </c>
      <c r="E493" s="17" t="s">
        <v>1809</v>
      </c>
      <c r="F493" s="17" t="e">
        <f>VLOOKUP('2501_MIS '!C493,'[1]Fast Track '!B:K,10,FALSE)</f>
        <v>#N/A</v>
      </c>
      <c r="G493" s="17" t="str">
        <f>VLOOKUP(C493,[2]Sheet7!A:D,4,FALSE)</f>
        <v>Promoted</v>
      </c>
      <c r="H493" s="45" t="s">
        <v>3644</v>
      </c>
      <c r="I493" s="26" t="s">
        <v>3661</v>
      </c>
      <c r="J493" s="17" t="s">
        <v>242</v>
      </c>
      <c r="K493" s="17" t="str">
        <f>VLOOKUP(C493,[3]Sheet1!D:J,6,FALSE)</f>
        <v>2022819221.bishwanath@pt.sharda.ac.in</v>
      </c>
      <c r="L493" s="17" t="str">
        <f>VLOOKUP(C493,[3]Sheet1!D:J,7,FALSE)</f>
        <v>91 7011069348</v>
      </c>
      <c r="M493" s="17" t="s">
        <v>15</v>
      </c>
      <c r="O493" t="e">
        <f>VLOOKUP(C493,#REF!,12,FALSE)</f>
        <v>#REF!</v>
      </c>
    </row>
    <row r="494" spans="1:15">
      <c r="A494" s="17">
        <v>493</v>
      </c>
      <c r="B494" s="17" t="s">
        <v>249</v>
      </c>
      <c r="C494" s="17">
        <v>2022832635</v>
      </c>
      <c r="D494" s="17">
        <v>2201010406</v>
      </c>
      <c r="E494" s="17" t="s">
        <v>1809</v>
      </c>
      <c r="F494" s="17" t="e">
        <f>VLOOKUP('2501_MIS '!C494,'[1]Fast Track '!B:K,10,FALSE)</f>
        <v>#N/A</v>
      </c>
      <c r="G494" s="17" t="str">
        <f>VLOOKUP(C494,[2]Sheet7!A:D,4,FALSE)</f>
        <v>Promoted</v>
      </c>
      <c r="H494" s="45" t="s">
        <v>3644</v>
      </c>
      <c r="I494" s="26" t="s">
        <v>3661</v>
      </c>
      <c r="J494" s="17" t="s">
        <v>250</v>
      </c>
      <c r="K494" s="17" t="str">
        <f>VLOOKUP(C494,[3]Sheet1!D:J,6,FALSE)</f>
        <v>2022832635.dilip@pt.sharda.ac.in</v>
      </c>
      <c r="L494" s="17" t="str">
        <f>VLOOKUP(C494,[3]Sheet1!D:J,7,FALSE)</f>
        <v>91 9934704426</v>
      </c>
      <c r="M494" s="17" t="s">
        <v>15</v>
      </c>
      <c r="O494" t="e">
        <f>VLOOKUP(C494,#REF!,12,FALSE)</f>
        <v>#REF!</v>
      </c>
    </row>
    <row r="495" spans="1:15">
      <c r="A495" s="17">
        <v>494</v>
      </c>
      <c r="B495" s="17" t="s">
        <v>253</v>
      </c>
      <c r="C495" s="17">
        <v>2022834589</v>
      </c>
      <c r="D495" s="17">
        <v>2201010444</v>
      </c>
      <c r="E495" s="17" t="s">
        <v>1809</v>
      </c>
      <c r="F495" s="17" t="e">
        <f>VLOOKUP('2501_MIS '!C495,'[1]Fast Track '!B:K,10,FALSE)</f>
        <v>#N/A</v>
      </c>
      <c r="G495" s="17" t="str">
        <f>VLOOKUP(C495,[2]Sheet7!A:D,4,FALSE)</f>
        <v>Promoted</v>
      </c>
      <c r="H495" s="45" t="s">
        <v>3644</v>
      </c>
      <c r="I495" s="26" t="s">
        <v>3661</v>
      </c>
      <c r="J495" s="17" t="s">
        <v>254</v>
      </c>
      <c r="K495" s="17" t="str">
        <f>VLOOKUP(C495,[3]Sheet1!D:J,6,FALSE)</f>
        <v>2022834589.indalpurbe@pt.sharda.ac.in</v>
      </c>
      <c r="L495" s="17" t="str">
        <f>VLOOKUP(C495,[3]Sheet1!D:J,7,FALSE)</f>
        <v>977 9824256171</v>
      </c>
      <c r="M495" s="17" t="s">
        <v>15</v>
      </c>
      <c r="O495" t="e">
        <f>VLOOKUP(C495,#REF!,12,FALSE)</f>
        <v>#REF!</v>
      </c>
    </row>
    <row r="496" spans="1:15">
      <c r="A496" s="17">
        <v>495</v>
      </c>
      <c r="B496" s="17" t="s">
        <v>193</v>
      </c>
      <c r="C496" s="17">
        <v>2022443535</v>
      </c>
      <c r="D496" s="17">
        <v>2201010451</v>
      </c>
      <c r="E496" s="17" t="s">
        <v>1809</v>
      </c>
      <c r="F496" s="17" t="e">
        <f>VLOOKUP('2501_MIS '!C496,'[1]Fast Track '!B:K,10,FALSE)</f>
        <v>#N/A</v>
      </c>
      <c r="G496" s="17" t="str">
        <f>VLOOKUP(C496,[2]Sheet7!A:D,4,FALSE)</f>
        <v>Promoted</v>
      </c>
      <c r="H496" s="45" t="s">
        <v>3644</v>
      </c>
      <c r="I496" s="26" t="s">
        <v>3661</v>
      </c>
      <c r="J496" s="17" t="s">
        <v>194</v>
      </c>
      <c r="K496" s="17" t="str">
        <f>VLOOKUP(C496,[3]Sheet1!D:J,6,FALSE)</f>
        <v>2022443535.dinesh@pt.sharda.ac.in</v>
      </c>
      <c r="L496" s="17" t="str">
        <f>VLOOKUP(C496,[3]Sheet1!D:J,7,FALSE)</f>
        <v>9336394829</v>
      </c>
      <c r="M496" s="17" t="s">
        <v>15</v>
      </c>
      <c r="O496" t="e">
        <f>VLOOKUP(C496,#REF!,12,FALSE)</f>
        <v>#REF!</v>
      </c>
    </row>
    <row r="497" spans="1:15">
      <c r="A497" s="17">
        <v>496</v>
      </c>
      <c r="B497" s="17" t="s">
        <v>209</v>
      </c>
      <c r="C497" s="17">
        <v>2022503208</v>
      </c>
      <c r="D497" s="17">
        <v>2201010453</v>
      </c>
      <c r="E497" s="17" t="s">
        <v>1809</v>
      </c>
      <c r="F497" s="17" t="e">
        <f>VLOOKUP('2501_MIS '!C497,'[1]Fast Track '!B:K,10,FALSE)</f>
        <v>#N/A</v>
      </c>
      <c r="G497" s="17" t="str">
        <f>VLOOKUP(C497,[2]Sheet7!A:D,4,FALSE)</f>
        <v>Promoted</v>
      </c>
      <c r="H497" s="45" t="s">
        <v>3644</v>
      </c>
      <c r="I497" s="26" t="s">
        <v>3661</v>
      </c>
      <c r="J497" s="17" t="s">
        <v>210</v>
      </c>
      <c r="K497" s="17" t="str">
        <f>VLOOKUP(C497,[3]Sheet1!D:J,6,FALSE)</f>
        <v>2022503208.ashok@pt.sharda.ac.in</v>
      </c>
      <c r="L497" s="17" t="str">
        <f>VLOOKUP(C497,[3]Sheet1!D:J,7,FALSE)</f>
        <v>8587023411</v>
      </c>
      <c r="M497" s="17" t="s">
        <v>15</v>
      </c>
      <c r="O497" t="e">
        <f>VLOOKUP(C497,#REF!,12,FALSE)</f>
        <v>#REF!</v>
      </c>
    </row>
    <row r="498" spans="1:15">
      <c r="A498" s="17">
        <v>497</v>
      </c>
      <c r="B498" s="17" t="s">
        <v>145</v>
      </c>
      <c r="C498" s="17">
        <v>2022559563</v>
      </c>
      <c r="D498" s="17">
        <v>2201010495</v>
      </c>
      <c r="E498" s="17" t="s">
        <v>1809</v>
      </c>
      <c r="F498" s="17" t="e">
        <f>VLOOKUP('2501_MIS '!C498,'[1]Fast Track '!B:K,10,FALSE)</f>
        <v>#N/A</v>
      </c>
      <c r="G498" s="17" t="str">
        <f>VLOOKUP(C498,[2]Sheet7!A:D,4,FALSE)</f>
        <v>Promoted</v>
      </c>
      <c r="H498" s="45" t="s">
        <v>3644</v>
      </c>
      <c r="I498" s="26" t="s">
        <v>3661</v>
      </c>
      <c r="J498" s="17" t="s">
        <v>146</v>
      </c>
      <c r="K498" s="17" t="str">
        <f>VLOOKUP(C498,[3]Sheet1!D:J,6,FALSE)</f>
        <v>2022559563.bharatsingh@pt.sharda.ac.in</v>
      </c>
      <c r="L498" s="17" t="str">
        <f>VLOOKUP(C498,[3]Sheet1!D:J,7,FALSE)</f>
        <v>9548745734</v>
      </c>
      <c r="M498" s="17" t="s">
        <v>15</v>
      </c>
      <c r="O498" t="e">
        <f>VLOOKUP(C498,#REF!,12,FALSE)</f>
        <v>#REF!</v>
      </c>
    </row>
    <row r="499" spans="1:15">
      <c r="A499" s="17">
        <v>498</v>
      </c>
      <c r="B499" s="17" t="s">
        <v>181</v>
      </c>
      <c r="C499" s="17">
        <v>2022304804</v>
      </c>
      <c r="D499" s="17">
        <v>2201010534</v>
      </c>
      <c r="E499" s="17" t="s">
        <v>1809</v>
      </c>
      <c r="F499" s="17" t="e">
        <f>VLOOKUP('2501_MIS '!C499,'[1]Fast Track '!B:K,10,FALSE)</f>
        <v>#N/A</v>
      </c>
      <c r="G499" s="17" t="str">
        <f>VLOOKUP(C499,[2]Sheet7!A:D,4,FALSE)</f>
        <v>Promoted</v>
      </c>
      <c r="H499" s="45" t="s">
        <v>3644</v>
      </c>
      <c r="I499" s="26" t="s">
        <v>3661</v>
      </c>
      <c r="J499" s="17" t="s">
        <v>182</v>
      </c>
      <c r="K499" s="17" t="str">
        <f>VLOOKUP(C499,[3]Sheet1!D:J,6,FALSE)</f>
        <v>2022304804.shailesh@pt.sharda.ac.in</v>
      </c>
      <c r="L499" s="17" t="str">
        <f>VLOOKUP(C499,[3]Sheet1!D:J,7,FALSE)</f>
        <v>9076913494</v>
      </c>
      <c r="M499" s="17" t="s">
        <v>15</v>
      </c>
      <c r="O499" t="e">
        <f>VLOOKUP(C499,#REF!,12,FALSE)</f>
        <v>#REF!</v>
      </c>
    </row>
    <row r="500" spans="1:15">
      <c r="A500" s="17">
        <v>499</v>
      </c>
      <c r="B500" s="17" t="s">
        <v>156</v>
      </c>
      <c r="C500" s="17">
        <v>2022006437</v>
      </c>
      <c r="D500" s="17">
        <v>2201010536</v>
      </c>
      <c r="E500" s="17" t="s">
        <v>1809</v>
      </c>
      <c r="F500" s="17" t="e">
        <f>VLOOKUP('2501_MIS '!C500,'[1]Fast Track '!B:K,10,FALSE)</f>
        <v>#N/A</v>
      </c>
      <c r="G500" s="17" t="str">
        <f>VLOOKUP(C500,[2]Sheet7!A:D,4,FALSE)</f>
        <v>Promoted</v>
      </c>
      <c r="H500" s="45" t="s">
        <v>3644</v>
      </c>
      <c r="I500" s="26" t="s">
        <v>3661</v>
      </c>
      <c r="J500" s="17" t="s">
        <v>157</v>
      </c>
      <c r="K500" s="17" t="str">
        <f>VLOOKUP(C500,[3]Sheet1!D:J,6,FALSE)</f>
        <v>2022006437.arunkumar@pt.sharda.ac.in</v>
      </c>
      <c r="L500" s="17" t="str">
        <f>VLOOKUP(C500,[3]Sheet1!D:J,7,FALSE)</f>
        <v>8377044082</v>
      </c>
      <c r="M500" s="17" t="s">
        <v>15</v>
      </c>
      <c r="O500" t="e">
        <f>VLOOKUP(C500,#REF!,12,FALSE)</f>
        <v>#REF!</v>
      </c>
    </row>
    <row r="501" spans="1:15">
      <c r="A501" s="17">
        <v>500</v>
      </c>
      <c r="B501" s="17" t="s">
        <v>205</v>
      </c>
      <c r="C501" s="17">
        <v>2022502123</v>
      </c>
      <c r="D501" s="17">
        <v>2201010541</v>
      </c>
      <c r="E501" s="17" t="s">
        <v>1809</v>
      </c>
      <c r="F501" s="17" t="e">
        <f>VLOOKUP('2501_MIS '!C501,'[1]Fast Track '!B:K,10,FALSE)</f>
        <v>#N/A</v>
      </c>
      <c r="G501" s="17" t="str">
        <f>VLOOKUP(C501,[2]Sheet7!A:D,4,FALSE)</f>
        <v>Promoted</v>
      </c>
      <c r="H501" s="45" t="s">
        <v>3644</v>
      </c>
      <c r="I501" s="26" t="s">
        <v>3661</v>
      </c>
      <c r="J501" s="17" t="s">
        <v>206</v>
      </c>
      <c r="K501" s="17" t="str">
        <f>VLOOKUP(C501,[3]Sheet1!D:J,6,FALSE)</f>
        <v>2022502123.nawalkumar@pt.sharda.ac.in</v>
      </c>
      <c r="L501" s="17" t="str">
        <f>VLOOKUP(C501,[3]Sheet1!D:J,7,FALSE)</f>
        <v>7295035144</v>
      </c>
      <c r="M501" s="17" t="s">
        <v>15</v>
      </c>
      <c r="O501" t="e">
        <f>VLOOKUP(C501,#REF!,12,FALSE)</f>
        <v>#REF!</v>
      </c>
    </row>
    <row r="502" spans="1:15">
      <c r="A502" s="17">
        <v>501</v>
      </c>
      <c r="B502" s="17" t="s">
        <v>215</v>
      </c>
      <c r="C502" s="17">
        <v>2022554897</v>
      </c>
      <c r="D502" s="17">
        <v>2201010562</v>
      </c>
      <c r="E502" s="17" t="s">
        <v>1809</v>
      </c>
      <c r="F502" s="17" t="e">
        <f>VLOOKUP('2501_MIS '!C502,'[1]Fast Track '!B:K,10,FALSE)</f>
        <v>#N/A</v>
      </c>
      <c r="G502" s="17" t="str">
        <f>VLOOKUP(C502,[2]Sheet7!A:D,4,FALSE)</f>
        <v>Promoted</v>
      </c>
      <c r="H502" s="45" t="s">
        <v>3644</v>
      </c>
      <c r="I502" s="26" t="s">
        <v>3661</v>
      </c>
      <c r="J502" s="17" t="s">
        <v>216</v>
      </c>
      <c r="K502" s="17" t="str">
        <f>VLOOKUP(C502,[3]Sheet1!D:J,6,FALSE)</f>
        <v>2022554897.devendrakumar@pt.sharda.ac.in</v>
      </c>
      <c r="L502" s="17" t="str">
        <f>VLOOKUP(C502,[3]Sheet1!D:J,7,FALSE)</f>
        <v>9693985964</v>
      </c>
      <c r="M502" s="17" t="s">
        <v>15</v>
      </c>
      <c r="O502" t="e">
        <f>VLOOKUP(C502,#REF!,12,FALSE)</f>
        <v>#REF!</v>
      </c>
    </row>
    <row r="503" spans="1:15">
      <c r="A503" s="17">
        <v>502</v>
      </c>
      <c r="B503" s="17" t="s">
        <v>133</v>
      </c>
      <c r="C503" s="17">
        <v>2022006859</v>
      </c>
      <c r="D503" s="17">
        <v>2201010563</v>
      </c>
      <c r="E503" s="17" t="s">
        <v>1809</v>
      </c>
      <c r="F503" s="17" t="e">
        <f>VLOOKUP('2501_MIS '!C503,'[1]Fast Track '!B:K,10,FALSE)</f>
        <v>#N/A</v>
      </c>
      <c r="G503" s="17" t="str">
        <f>VLOOKUP(C503,[2]Sheet7!A:D,4,FALSE)</f>
        <v>Promoted</v>
      </c>
      <c r="H503" s="45" t="s">
        <v>3644</v>
      </c>
      <c r="I503" s="26" t="s">
        <v>3661</v>
      </c>
      <c r="J503" s="17" t="s">
        <v>134</v>
      </c>
      <c r="K503" s="17" t="str">
        <f>VLOOKUP(C503,[3]Sheet1!D:J,6,FALSE)</f>
        <v>2022006859.munnakumar@pt.sharda.ac.in</v>
      </c>
      <c r="L503" s="17" t="str">
        <f>VLOOKUP(C503,[3]Sheet1!D:J,7,FALSE)</f>
        <v>9821056602</v>
      </c>
      <c r="M503" s="17" t="s">
        <v>15</v>
      </c>
      <c r="O503" t="e">
        <f>VLOOKUP(C503,#REF!,12,FALSE)</f>
        <v>#REF!</v>
      </c>
    </row>
    <row r="504" spans="1:15">
      <c r="A504" s="17">
        <v>503</v>
      </c>
      <c r="B504" s="17" t="s">
        <v>183</v>
      </c>
      <c r="C504" s="17">
        <v>2022317952</v>
      </c>
      <c r="D504" s="17">
        <v>2201010587</v>
      </c>
      <c r="E504" s="17" t="s">
        <v>1809</v>
      </c>
      <c r="F504" s="17" t="e">
        <f>VLOOKUP('2501_MIS '!C504,'[1]Fast Track '!B:K,10,FALSE)</f>
        <v>#N/A</v>
      </c>
      <c r="G504" s="17" t="str">
        <f>VLOOKUP(C504,[2]Sheet7!A:D,4,FALSE)</f>
        <v>Promoted</v>
      </c>
      <c r="H504" s="45" t="s">
        <v>3644</v>
      </c>
      <c r="I504" s="26" t="s">
        <v>3661</v>
      </c>
      <c r="J504" s="17" t="s">
        <v>184</v>
      </c>
      <c r="K504" s="17" t="str">
        <f>VLOOKUP(C504,[3]Sheet1!D:J,6,FALSE)</f>
        <v>2022317952.ravindersingh@pt.sharda.ac.in</v>
      </c>
      <c r="L504" s="17" t="str">
        <f>VLOOKUP(C504,[3]Sheet1!D:J,7,FALSE)</f>
        <v>9667869832</v>
      </c>
      <c r="M504" s="17" t="s">
        <v>15</v>
      </c>
      <c r="O504" t="e">
        <f>VLOOKUP(C504,#REF!,12,FALSE)</f>
        <v>#REF!</v>
      </c>
    </row>
    <row r="505" spans="1:15">
      <c r="A505" s="17">
        <v>504</v>
      </c>
      <c r="B505" s="17" t="s">
        <v>199</v>
      </c>
      <c r="C505" s="17">
        <v>2022483390</v>
      </c>
      <c r="D505" s="17">
        <v>2201010595</v>
      </c>
      <c r="E505" s="17" t="s">
        <v>1809</v>
      </c>
      <c r="F505" s="17" t="e">
        <f>VLOOKUP('2501_MIS '!C505,'[1]Fast Track '!B:K,10,FALSE)</f>
        <v>#N/A</v>
      </c>
      <c r="G505" s="17" t="str">
        <f>VLOOKUP(C505,[2]Sheet7!A:D,4,FALSE)</f>
        <v>Promoted</v>
      </c>
      <c r="H505" s="45" t="s">
        <v>3644</v>
      </c>
      <c r="I505" s="26" t="s">
        <v>3661</v>
      </c>
      <c r="J505" s="17" t="s">
        <v>200</v>
      </c>
      <c r="K505" s="17" t="str">
        <f>VLOOKUP(C505,[3]Sheet1!D:J,6,FALSE)</f>
        <v>2022483390.yadunandan@pt.sharda.ac.in</v>
      </c>
      <c r="L505" s="17" t="str">
        <f>VLOOKUP(C505,[3]Sheet1!D:J,7,FALSE)</f>
        <v>7061826795</v>
      </c>
      <c r="M505" s="17" t="s">
        <v>15</v>
      </c>
      <c r="O505" t="e">
        <f>VLOOKUP(C505,#REF!,12,FALSE)</f>
        <v>#REF!</v>
      </c>
    </row>
    <row r="506" spans="1:15">
      <c r="A506" s="17">
        <v>505</v>
      </c>
      <c r="B506" s="17" t="s">
        <v>221</v>
      </c>
      <c r="C506" s="17">
        <v>2022558819</v>
      </c>
      <c r="D506" s="17">
        <v>2201010621</v>
      </c>
      <c r="E506" s="17" t="s">
        <v>1809</v>
      </c>
      <c r="F506" s="17" t="e">
        <f>VLOOKUP('2501_MIS '!C506,'[1]Fast Track '!B:K,10,FALSE)</f>
        <v>#N/A</v>
      </c>
      <c r="G506" s="17" t="str">
        <f>VLOOKUP(C506,[2]Sheet7!A:D,4,FALSE)</f>
        <v>Promoted</v>
      </c>
      <c r="H506" s="45" t="s">
        <v>3644</v>
      </c>
      <c r="I506" s="26" t="s">
        <v>3661</v>
      </c>
      <c r="J506" s="17" t="s">
        <v>222</v>
      </c>
      <c r="K506" s="17" t="str">
        <f>VLOOKUP(C506,[3]Sheet1!D:J,6,FALSE)</f>
        <v>2022558819.hemant@pt.sharda.ac.in</v>
      </c>
      <c r="L506" s="17" t="str">
        <f>VLOOKUP(C506,[3]Sheet1!D:J,7,FALSE)</f>
        <v>8252799984</v>
      </c>
      <c r="M506" s="17" t="s">
        <v>15</v>
      </c>
      <c r="O506" t="e">
        <f>VLOOKUP(C506,#REF!,12,FALSE)</f>
        <v>#REF!</v>
      </c>
    </row>
    <row r="507" spans="1:15">
      <c r="A507" s="17">
        <v>506</v>
      </c>
      <c r="B507" s="17" t="s">
        <v>243</v>
      </c>
      <c r="C507" s="17">
        <v>2022820996</v>
      </c>
      <c r="D507" s="17">
        <v>2201010647</v>
      </c>
      <c r="E507" s="17" t="s">
        <v>1809</v>
      </c>
      <c r="F507" s="17" t="e">
        <f>VLOOKUP('2501_MIS '!C507,'[1]Fast Track '!B:K,10,FALSE)</f>
        <v>#N/A</v>
      </c>
      <c r="G507" s="17" t="str">
        <f>VLOOKUP(C507,[2]Sheet7!A:D,4,FALSE)</f>
        <v>Promoted</v>
      </c>
      <c r="H507" s="45" t="s">
        <v>3644</v>
      </c>
      <c r="I507" s="26" t="s">
        <v>3661</v>
      </c>
      <c r="J507" s="17" t="s">
        <v>244</v>
      </c>
      <c r="K507" s="17" t="str">
        <f>VLOOKUP(C507,[3]Sheet1!D:J,6,FALSE)</f>
        <v>2022820996.gunbahadur@pt.sharda.ac.in</v>
      </c>
      <c r="L507" s="17" t="str">
        <f>VLOOKUP(C507,[3]Sheet1!D:J,7,FALSE)</f>
        <v>8595197137</v>
      </c>
      <c r="M507" s="17" t="s">
        <v>15</v>
      </c>
      <c r="O507" t="e">
        <f>VLOOKUP(C507,#REF!,12,FALSE)</f>
        <v>#REF!</v>
      </c>
    </row>
    <row r="508" spans="1:15">
      <c r="A508" s="17">
        <v>507</v>
      </c>
      <c r="B508" s="17" t="s">
        <v>259</v>
      </c>
      <c r="C508" s="17">
        <v>2022468330</v>
      </c>
      <c r="D508" s="17">
        <v>2201010670</v>
      </c>
      <c r="E508" s="17" t="s">
        <v>1809</v>
      </c>
      <c r="F508" s="17" t="e">
        <f>VLOOKUP('2501_MIS '!C508,'[1]Fast Track '!B:K,10,FALSE)</f>
        <v>#N/A</v>
      </c>
      <c r="G508" s="17" t="str">
        <f>VLOOKUP(C508,[2]Sheet7!A:D,4,FALSE)</f>
        <v>Promoted</v>
      </c>
      <c r="H508" s="45" t="s">
        <v>3644</v>
      </c>
      <c r="I508" s="26" t="s">
        <v>3661</v>
      </c>
      <c r="J508" s="17" t="s">
        <v>260</v>
      </c>
      <c r="K508" s="17" t="str">
        <f>VLOOKUP(C508,[3]Sheet1!D:J,6,FALSE)</f>
        <v>2022468330.surendra@pt.sharda.ac.in</v>
      </c>
      <c r="L508" s="17" t="str">
        <f>VLOOKUP(C508,[3]Sheet1!D:J,7,FALSE)</f>
        <v>7982564713</v>
      </c>
      <c r="M508" s="17" t="s">
        <v>15</v>
      </c>
      <c r="O508" t="e">
        <f>VLOOKUP(C508,#REF!,12,FALSE)</f>
        <v>#REF!</v>
      </c>
    </row>
    <row r="509" spans="1:15">
      <c r="A509" s="17">
        <v>508</v>
      </c>
      <c r="B509" s="17" t="s">
        <v>168</v>
      </c>
      <c r="C509" s="17">
        <v>2022006890</v>
      </c>
      <c r="D509" s="17">
        <v>2201010686</v>
      </c>
      <c r="E509" s="17" t="s">
        <v>1809</v>
      </c>
      <c r="F509" s="17" t="e">
        <f>VLOOKUP('2501_MIS '!C509,'[1]Fast Track '!B:K,10,FALSE)</f>
        <v>#N/A</v>
      </c>
      <c r="G509" s="17" t="str">
        <f>VLOOKUP(C509,[2]Sheet7!A:D,4,FALSE)</f>
        <v>Promoted</v>
      </c>
      <c r="H509" s="45" t="s">
        <v>3644</v>
      </c>
      <c r="I509" s="26" t="s">
        <v>3661</v>
      </c>
      <c r="J509" s="17" t="s">
        <v>169</v>
      </c>
      <c r="K509" s="17" t="str">
        <f>VLOOKUP(C509,[3]Sheet1!D:J,6,FALSE)</f>
        <v>2022006890.arvindkumar@pt.sharda.ac.in</v>
      </c>
      <c r="L509" s="17" t="str">
        <f>VLOOKUP(C509,[3]Sheet1!D:J,7,FALSE)</f>
        <v>7905342875</v>
      </c>
      <c r="M509" s="17" t="s">
        <v>15</v>
      </c>
      <c r="O509" t="e">
        <f>VLOOKUP(C509,#REF!,12,FALSE)</f>
        <v>#REF!</v>
      </c>
    </row>
    <row r="510" spans="1:15">
      <c r="A510" s="17">
        <v>509</v>
      </c>
      <c r="B510" s="17" t="s">
        <v>223</v>
      </c>
      <c r="C510" s="17">
        <v>2022559432</v>
      </c>
      <c r="D510" s="17">
        <v>2201010689</v>
      </c>
      <c r="E510" s="17" t="s">
        <v>1809</v>
      </c>
      <c r="F510" s="17" t="e">
        <f>VLOOKUP('2501_MIS '!C510,'[1]Fast Track '!B:K,10,FALSE)</f>
        <v>#N/A</v>
      </c>
      <c r="G510" s="17" t="str">
        <f>VLOOKUP(C510,[2]Sheet7!A:D,4,FALSE)</f>
        <v>Promoted</v>
      </c>
      <c r="H510" s="45" t="s">
        <v>3644</v>
      </c>
      <c r="I510" s="26" t="s">
        <v>3661</v>
      </c>
      <c r="J510" s="17" t="s">
        <v>224</v>
      </c>
      <c r="K510" s="17" t="str">
        <f>VLOOKUP(C510,[3]Sheet1!D:J,6,FALSE)</f>
        <v>2022559432.hem@pt.sharda.ac.in</v>
      </c>
      <c r="L510" s="17" t="str">
        <f>VLOOKUP(C510,[3]Sheet1!D:J,7,FALSE)</f>
        <v>6263994974</v>
      </c>
      <c r="M510" s="17" t="s">
        <v>15</v>
      </c>
      <c r="O510" t="e">
        <f>VLOOKUP(C510,#REF!,12,FALSE)</f>
        <v>#REF!</v>
      </c>
    </row>
    <row r="511" spans="1:15">
      <c r="A511" s="17">
        <v>510</v>
      </c>
      <c r="B511" s="17" t="s">
        <v>187</v>
      </c>
      <c r="C511" s="17">
        <v>2022403475</v>
      </c>
      <c r="D511" s="17">
        <v>2201010726</v>
      </c>
      <c r="E511" s="17" t="s">
        <v>1809</v>
      </c>
      <c r="F511" s="17" t="e">
        <f>VLOOKUP('2501_MIS '!C511,'[1]Fast Track '!B:K,10,FALSE)</f>
        <v>#N/A</v>
      </c>
      <c r="G511" s="17" t="str">
        <f>VLOOKUP(C511,[2]Sheet7!A:D,4,FALSE)</f>
        <v>Promoted</v>
      </c>
      <c r="H511" s="45" t="s">
        <v>3644</v>
      </c>
      <c r="I511" s="26" t="s">
        <v>3661</v>
      </c>
      <c r="J511" s="17" t="s">
        <v>188</v>
      </c>
      <c r="K511" s="17" t="str">
        <f>VLOOKUP(C511,[3]Sheet1!D:J,6,FALSE)</f>
        <v>2022403475.satyendrakumar@pt.sharda.ac.in</v>
      </c>
      <c r="L511" s="17" t="str">
        <f>VLOOKUP(C511,[3]Sheet1!D:J,7,FALSE)</f>
        <v>8433363676</v>
      </c>
      <c r="M511" s="17" t="s">
        <v>15</v>
      </c>
      <c r="O511" t="e">
        <f>VLOOKUP(C511,#REF!,12,FALSE)</f>
        <v>#REF!</v>
      </c>
    </row>
    <row r="512" spans="1:15">
      <c r="A512" s="17">
        <v>511</v>
      </c>
      <c r="B512" s="17" t="s">
        <v>147</v>
      </c>
      <c r="C512" s="17">
        <v>2022003841</v>
      </c>
      <c r="D512" s="17">
        <v>2201010798</v>
      </c>
      <c r="E512" s="17" t="s">
        <v>1809</v>
      </c>
      <c r="F512" s="17" t="e">
        <f>VLOOKUP('2501_MIS '!C512,'[1]Fast Track '!B:K,10,FALSE)</f>
        <v>#N/A</v>
      </c>
      <c r="G512" s="17" t="str">
        <f>VLOOKUP(C512,[2]Sheet7!A:D,4,FALSE)</f>
        <v>Promoted</v>
      </c>
      <c r="H512" s="45" t="s">
        <v>3644</v>
      </c>
      <c r="I512" s="26" t="s">
        <v>3661</v>
      </c>
      <c r="J512" s="17" t="s">
        <v>148</v>
      </c>
      <c r="K512" s="17" t="str">
        <f>VLOOKUP(C512,[3]Sheet1!D:J,6,FALSE)</f>
        <v>2022003841.pushpendra@pt.sharda.ac.in</v>
      </c>
      <c r="L512" s="17" t="str">
        <f>VLOOKUP(C512,[3]Sheet1!D:J,7,FALSE)</f>
        <v>9368863746</v>
      </c>
      <c r="M512" s="17" t="s">
        <v>15</v>
      </c>
      <c r="O512" t="e">
        <f>VLOOKUP(C512,#REF!,12,FALSE)</f>
        <v>#REF!</v>
      </c>
    </row>
    <row r="513" spans="1:15">
      <c r="A513" s="17">
        <v>512</v>
      </c>
      <c r="B513" s="17" t="s">
        <v>170</v>
      </c>
      <c r="C513" s="17">
        <v>2022007179</v>
      </c>
      <c r="D513" s="17">
        <v>2201010836</v>
      </c>
      <c r="E513" s="17" t="s">
        <v>1809</v>
      </c>
      <c r="F513" s="17" t="e">
        <f>VLOOKUP('2501_MIS '!C513,'[1]Fast Track '!B:K,10,FALSE)</f>
        <v>#N/A</v>
      </c>
      <c r="G513" s="17" t="str">
        <f>VLOOKUP(C513,[2]Sheet7!A:D,4,FALSE)</f>
        <v>Promoted</v>
      </c>
      <c r="H513" s="45" t="s">
        <v>3644</v>
      </c>
      <c r="I513" s="26" t="s">
        <v>3661</v>
      </c>
      <c r="J513" s="17" t="s">
        <v>171</v>
      </c>
      <c r="K513" s="17" t="str">
        <f>VLOOKUP(C513,[3]Sheet1!D:J,6,FALSE)</f>
        <v>2022007179.harish@pt.sharda.ac.in</v>
      </c>
      <c r="L513" s="17" t="str">
        <f>VLOOKUP(C513,[3]Sheet1!D:J,7,FALSE)</f>
        <v>8076487808</v>
      </c>
      <c r="M513" s="17" t="s">
        <v>15</v>
      </c>
      <c r="O513" t="e">
        <f>VLOOKUP(C513,#REF!,12,FALSE)</f>
        <v>#REF!</v>
      </c>
    </row>
    <row r="514" spans="1:15">
      <c r="A514" s="17">
        <v>513</v>
      </c>
      <c r="B514" s="17" t="s">
        <v>177</v>
      </c>
      <c r="C514" s="17">
        <v>2022007635</v>
      </c>
      <c r="D514" s="17">
        <v>2201010854</v>
      </c>
      <c r="E514" s="17" t="s">
        <v>1809</v>
      </c>
      <c r="F514" s="17" t="e">
        <f>VLOOKUP('2501_MIS '!C514,'[1]Fast Track '!B:K,10,FALSE)</f>
        <v>#N/A</v>
      </c>
      <c r="G514" s="17" t="str">
        <f>VLOOKUP(C514,[2]Sheet7!A:D,4,FALSE)</f>
        <v>Promoted</v>
      </c>
      <c r="H514" s="45" t="s">
        <v>3644</v>
      </c>
      <c r="I514" s="26" t="s">
        <v>3661</v>
      </c>
      <c r="J514" s="17" t="s">
        <v>178</v>
      </c>
      <c r="K514" s="17" t="str">
        <f>VLOOKUP(C514,[3]Sheet1!D:J,6,FALSE)</f>
        <v>2022007635.mahavirprasad@pt.sharda.ac.in</v>
      </c>
      <c r="L514" s="17">
        <f>VLOOKUP(C514,[3]Sheet1!D:J,7,FALSE)</f>
        <v>0</v>
      </c>
      <c r="M514" s="17" t="s">
        <v>15</v>
      </c>
      <c r="O514" t="e">
        <f>VLOOKUP(C514,#REF!,12,FALSE)</f>
        <v>#REF!</v>
      </c>
    </row>
    <row r="515" spans="1:15">
      <c r="A515" s="17">
        <v>514</v>
      </c>
      <c r="B515" s="17" t="s">
        <v>203</v>
      </c>
      <c r="C515" s="17">
        <v>2022485674</v>
      </c>
      <c r="D515" s="17">
        <v>2201010872</v>
      </c>
      <c r="E515" s="17" t="s">
        <v>1809</v>
      </c>
      <c r="F515" s="17" t="e">
        <f>VLOOKUP('2501_MIS '!C515,'[1]Fast Track '!B:K,10,FALSE)</f>
        <v>#N/A</v>
      </c>
      <c r="G515" s="17" t="str">
        <f>VLOOKUP(C515,[2]Sheet7!A:D,4,FALSE)</f>
        <v>Promoted</v>
      </c>
      <c r="H515" s="45" t="s">
        <v>3644</v>
      </c>
      <c r="I515" s="26" t="s">
        <v>3661</v>
      </c>
      <c r="J515" s="17" t="s">
        <v>204</v>
      </c>
      <c r="K515" s="17" t="str">
        <f>VLOOKUP(C515,[3]Sheet1!D:J,6,FALSE)</f>
        <v>2022485674.shivmuni@pt.sharda.ac.in</v>
      </c>
      <c r="L515" s="17" t="str">
        <f>VLOOKUP(C515,[3]Sheet1!D:J,7,FALSE)</f>
        <v>6204937729</v>
      </c>
      <c r="M515" s="17" t="s">
        <v>15</v>
      </c>
      <c r="O515" t="e">
        <f>VLOOKUP(C515,#REF!,12,FALSE)</f>
        <v>#REF!</v>
      </c>
    </row>
    <row r="516" spans="1:15">
      <c r="A516" s="17">
        <v>515</v>
      </c>
      <c r="B516" s="17" t="s">
        <v>257</v>
      </c>
      <c r="C516" s="17">
        <v>2022593768</v>
      </c>
      <c r="D516" s="17">
        <v>2201010891</v>
      </c>
      <c r="E516" s="17" t="s">
        <v>1809</v>
      </c>
      <c r="F516" s="17" t="e">
        <f>VLOOKUP('2501_MIS '!C516,'[1]Fast Track '!B:K,10,FALSE)</f>
        <v>#N/A</v>
      </c>
      <c r="G516" s="17" t="str">
        <f>VLOOKUP(C516,[2]Sheet7!A:D,4,FALSE)</f>
        <v>Not Promoted</v>
      </c>
      <c r="H516" s="45" t="s">
        <v>3644</v>
      </c>
      <c r="I516" s="26" t="s">
        <v>3661</v>
      </c>
      <c r="J516" s="17" t="s">
        <v>258</v>
      </c>
      <c r="K516" s="17" t="str">
        <f>VLOOKUP(C516,[3]Sheet1!D:J,6,FALSE)</f>
        <v>2022593768.kamalbash@pt.sharda.ac.in</v>
      </c>
      <c r="L516" s="17" t="str">
        <f>VLOOKUP(C516,[3]Sheet1!D:J,7,FALSE)</f>
        <v>7207263026</v>
      </c>
      <c r="M516" s="17"/>
      <c r="O516" t="e">
        <f>VLOOKUP(C516,#REF!,12,FALSE)</f>
        <v>#REF!</v>
      </c>
    </row>
    <row r="517" spans="1:15">
      <c r="A517" s="17">
        <v>516</v>
      </c>
      <c r="B517" s="17" t="s">
        <v>237</v>
      </c>
      <c r="C517" s="17">
        <v>2022624445</v>
      </c>
      <c r="D517" s="17">
        <v>2201010906</v>
      </c>
      <c r="E517" s="17" t="s">
        <v>1809</v>
      </c>
      <c r="F517" s="17" t="e">
        <f>VLOOKUP('2501_MIS '!C517,'[1]Fast Track '!B:K,10,FALSE)</f>
        <v>#N/A</v>
      </c>
      <c r="G517" s="17" t="str">
        <f>VLOOKUP(C517,[2]Sheet7!A:D,4,FALSE)</f>
        <v>Promoted</v>
      </c>
      <c r="H517" s="45" t="s">
        <v>3644</v>
      </c>
      <c r="I517" s="26" t="s">
        <v>3661</v>
      </c>
      <c r="J517" s="17" t="s">
        <v>238</v>
      </c>
      <c r="K517" s="17" t="str">
        <f>VLOOKUP(C517,[3]Sheet1!D:J,6,FALSE)</f>
        <v>2022624445.awadheshkumar@pt.sharda.ac.in</v>
      </c>
      <c r="L517" s="17" t="str">
        <f>VLOOKUP(C517,[3]Sheet1!D:J,7,FALSE)</f>
        <v>9572408902</v>
      </c>
      <c r="M517" s="17"/>
      <c r="O517" t="e">
        <f>VLOOKUP(C517,#REF!,12,FALSE)</f>
        <v>#REF!</v>
      </c>
    </row>
    <row r="518" spans="1:15">
      <c r="A518" s="17">
        <v>517</v>
      </c>
      <c r="B518" s="17" t="s">
        <v>255</v>
      </c>
      <c r="C518" s="17">
        <v>2023521223</v>
      </c>
      <c r="D518" s="17">
        <v>2301017014</v>
      </c>
      <c r="E518" s="17" t="s">
        <v>1809</v>
      </c>
      <c r="F518" s="17" t="e">
        <f>VLOOKUP('2501_MIS '!C518,'[1]Fast Track '!B:K,10,FALSE)</f>
        <v>#N/A</v>
      </c>
      <c r="G518" s="17" t="str">
        <f>VLOOKUP(C518,[2]Sheet7!A:D,4,FALSE)</f>
        <v>Promoted</v>
      </c>
      <c r="H518" s="45" t="s">
        <v>3644</v>
      </c>
      <c r="I518" s="26" t="s">
        <v>3661</v>
      </c>
      <c r="J518" s="17" t="s">
        <v>256</v>
      </c>
      <c r="K518" s="17" t="str">
        <f>VLOOKUP(C518,[3]Sheet1!D:J,6,FALSE)</f>
        <v>2023521223.sushil@pt.sharda.ac.in</v>
      </c>
      <c r="L518" s="17" t="str">
        <f>VLOOKUP(C518,[3]Sheet1!D:J,7,FALSE)</f>
        <v>8126223351</v>
      </c>
      <c r="M518" s="17"/>
      <c r="O518" t="e">
        <f>VLOOKUP(C518,#REF!,12,FALSE)</f>
        <v>#REF!</v>
      </c>
    </row>
    <row r="519" spans="1:15">
      <c r="A519" s="17">
        <v>518</v>
      </c>
      <c r="B519" s="6" t="s">
        <v>1134</v>
      </c>
      <c r="C519" s="7">
        <v>2022003160</v>
      </c>
      <c r="D519" s="7">
        <v>2201010002</v>
      </c>
      <c r="E519" s="7" t="s">
        <v>1811</v>
      </c>
      <c r="F519" s="17" t="str">
        <f>VLOOKUP('2501_MIS '!C519,'[1]Fast Track '!B:K,10,FALSE)</f>
        <v>Fast learning Mode</v>
      </c>
      <c r="G519" s="17" t="str">
        <f>VLOOKUP(C519,[2]Sheet7!A:D,4,FALSE)</f>
        <v>Promoted</v>
      </c>
      <c r="H519" s="45" t="s">
        <v>3645</v>
      </c>
      <c r="I519" s="26" t="s">
        <v>3662</v>
      </c>
      <c r="J519" s="6" t="s">
        <v>1135</v>
      </c>
      <c r="K519" s="6" t="s">
        <v>2845</v>
      </c>
      <c r="L519" s="6" t="s">
        <v>2846</v>
      </c>
      <c r="M519" s="6" t="s">
        <v>532</v>
      </c>
      <c r="O519" t="e">
        <f>VLOOKUP(C519,#REF!,12,FALSE)</f>
        <v>#REF!</v>
      </c>
    </row>
    <row r="520" spans="1:15">
      <c r="A520" s="17">
        <v>519</v>
      </c>
      <c r="B520" s="6" t="s">
        <v>1258</v>
      </c>
      <c r="C520" s="7">
        <v>2022434098</v>
      </c>
      <c r="D520" s="7">
        <v>2201010727</v>
      </c>
      <c r="E520" s="7" t="s">
        <v>1811</v>
      </c>
      <c r="F520" s="17" t="str">
        <f>VLOOKUP('2501_MIS '!C520,'[1]Fast Track '!B:K,10,FALSE)</f>
        <v>Fast learning Mode</v>
      </c>
      <c r="G520" s="17" t="str">
        <f>VLOOKUP(C520,[2]Sheet7!A:D,4,FALSE)</f>
        <v>Promoted</v>
      </c>
      <c r="H520" s="45" t="s">
        <v>3645</v>
      </c>
      <c r="I520" s="26" t="s">
        <v>3662</v>
      </c>
      <c r="J520" s="6" t="s">
        <v>1259</v>
      </c>
      <c r="K520" s="6" t="s">
        <v>3173</v>
      </c>
      <c r="L520" s="6" t="s">
        <v>3174</v>
      </c>
      <c r="M520" s="6" t="s">
        <v>532</v>
      </c>
      <c r="O520" t="e">
        <f>VLOOKUP(C520,#REF!,12,FALSE)</f>
        <v>#REF!</v>
      </c>
    </row>
    <row r="521" spans="1:15">
      <c r="A521" s="17">
        <v>520</v>
      </c>
      <c r="B521" s="6" t="s">
        <v>844</v>
      </c>
      <c r="C521" s="7">
        <v>2022361106</v>
      </c>
      <c r="D521" s="7">
        <v>2201010482</v>
      </c>
      <c r="E521" s="7" t="s">
        <v>1811</v>
      </c>
      <c r="F521" s="17" t="str">
        <f>VLOOKUP('2501_MIS '!C521,'[1]Fast Track '!B:K,10,FALSE)</f>
        <v>Fast learning Mode</v>
      </c>
      <c r="G521" s="17" t="str">
        <f>VLOOKUP(C521,[2]Sheet7!A:D,4,FALSE)</f>
        <v>Promoted</v>
      </c>
      <c r="H521" s="45" t="s">
        <v>3645</v>
      </c>
      <c r="I521" s="26" t="s">
        <v>3662</v>
      </c>
      <c r="J521" s="6" t="s">
        <v>845</v>
      </c>
      <c r="K521" s="6" t="s">
        <v>3281</v>
      </c>
      <c r="L521" s="6" t="s">
        <v>3282</v>
      </c>
      <c r="M521" s="6" t="s">
        <v>532</v>
      </c>
      <c r="O521" t="e">
        <f>VLOOKUP(C521,#REF!,12,FALSE)</f>
        <v>#REF!</v>
      </c>
    </row>
    <row r="522" spans="1:15">
      <c r="A522" s="17">
        <v>521</v>
      </c>
      <c r="B522" s="6" t="s">
        <v>858</v>
      </c>
      <c r="C522" s="7">
        <v>2022427832</v>
      </c>
      <c r="D522" s="7">
        <v>2201010809</v>
      </c>
      <c r="E522" s="7" t="s">
        <v>1811</v>
      </c>
      <c r="F522" s="17" t="str">
        <f>VLOOKUP('2501_MIS '!C522,'[1]Fast Track '!B:K,10,FALSE)</f>
        <v>Fast learning Mode</v>
      </c>
      <c r="G522" s="17" t="str">
        <f>VLOOKUP(C522,[2]Sheet7!A:D,4,FALSE)</f>
        <v>Promoted</v>
      </c>
      <c r="H522" s="45" t="s">
        <v>3645</v>
      </c>
      <c r="I522" s="26" t="s">
        <v>3662</v>
      </c>
      <c r="J522" s="6" t="s">
        <v>859</v>
      </c>
      <c r="K522" s="6" t="s">
        <v>3311</v>
      </c>
      <c r="L522" s="6" t="s">
        <v>3312</v>
      </c>
      <c r="M522" s="6" t="s">
        <v>532</v>
      </c>
      <c r="O522" t="e">
        <f>VLOOKUP(C522,#REF!,12,FALSE)</f>
        <v>#REF!</v>
      </c>
    </row>
    <row r="523" spans="1:15">
      <c r="A523" s="17">
        <v>522</v>
      </c>
      <c r="B523" s="6" t="s">
        <v>1560</v>
      </c>
      <c r="C523" s="7">
        <v>2022503936</v>
      </c>
      <c r="D523" s="7">
        <v>2201010368</v>
      </c>
      <c r="E523" s="7" t="s">
        <v>1811</v>
      </c>
      <c r="F523" s="17" t="str">
        <f>VLOOKUP('2501_MIS '!C523,'[1]Fast Track '!B:K,10,FALSE)</f>
        <v>Fast learning Mode</v>
      </c>
      <c r="G523" s="17" t="str">
        <f>VLOOKUP(C523,[2]Sheet7!A:D,4,FALSE)</f>
        <v>Promoted</v>
      </c>
      <c r="H523" s="45" t="s">
        <v>3645</v>
      </c>
      <c r="I523" s="26" t="s">
        <v>3662</v>
      </c>
      <c r="J523" s="6" t="s">
        <v>1561</v>
      </c>
      <c r="K523" s="6" t="s">
        <v>3401</v>
      </c>
      <c r="L523" s="6" t="s">
        <v>3402</v>
      </c>
      <c r="M523" s="6" t="s">
        <v>532</v>
      </c>
      <c r="O523" t="e">
        <f>VLOOKUP(C523,#REF!,12,FALSE)</f>
        <v>#REF!</v>
      </c>
    </row>
    <row r="524" spans="1:15">
      <c r="A524" s="17">
        <v>523</v>
      </c>
      <c r="B524" s="6" t="s">
        <v>1566</v>
      </c>
      <c r="C524" s="7">
        <v>2022507071</v>
      </c>
      <c r="D524" s="7">
        <v>2201010461</v>
      </c>
      <c r="E524" s="7" t="s">
        <v>1811</v>
      </c>
      <c r="F524" s="17" t="str">
        <f>VLOOKUP('2501_MIS '!C524,'[1]Fast Track '!B:K,10,FALSE)</f>
        <v>Fast learning Mode</v>
      </c>
      <c r="G524" s="17" t="str">
        <f>VLOOKUP(C524,[2]Sheet7!A:D,4,FALSE)</f>
        <v>Promoted</v>
      </c>
      <c r="H524" s="45" t="s">
        <v>3645</v>
      </c>
      <c r="I524" s="26" t="s">
        <v>3662</v>
      </c>
      <c r="J524" s="6" t="s">
        <v>1567</v>
      </c>
      <c r="K524" s="6" t="s">
        <v>3405</v>
      </c>
      <c r="L524" s="6" t="s">
        <v>3406</v>
      </c>
      <c r="M524" s="6" t="s">
        <v>532</v>
      </c>
      <c r="O524" t="e">
        <f>VLOOKUP(C524,#REF!,12,FALSE)</f>
        <v>#REF!</v>
      </c>
    </row>
    <row r="525" spans="1:15">
      <c r="A525" s="17">
        <v>524</v>
      </c>
      <c r="B525" s="6" t="s">
        <v>1189</v>
      </c>
      <c r="C525" s="7">
        <v>2022445444</v>
      </c>
      <c r="D525" s="7">
        <v>2201010028</v>
      </c>
      <c r="E525" s="7" t="s">
        <v>1811</v>
      </c>
      <c r="F525" s="17" t="e">
        <f>VLOOKUP('2501_MIS '!C525,'[1]Fast Track '!B:K,10,FALSE)</f>
        <v>#N/A</v>
      </c>
      <c r="G525" s="17" t="str">
        <f>VLOOKUP(C525,[2]Sheet7!A:D,4,FALSE)</f>
        <v>Promoted</v>
      </c>
      <c r="H525" s="45" t="s">
        <v>3645</v>
      </c>
      <c r="I525" s="26" t="s">
        <v>3662</v>
      </c>
      <c r="J525" s="6" t="s">
        <v>1190</v>
      </c>
      <c r="K525" s="6" t="s">
        <v>2857</v>
      </c>
      <c r="L525" s="6" t="s">
        <v>2858</v>
      </c>
      <c r="M525" s="6" t="s">
        <v>532</v>
      </c>
      <c r="O525" t="e">
        <f>VLOOKUP(C525,#REF!,12,FALSE)</f>
        <v>#REF!</v>
      </c>
    </row>
    <row r="526" spans="1:15">
      <c r="A526" s="17">
        <v>525</v>
      </c>
      <c r="B526" s="6" t="s">
        <v>1209</v>
      </c>
      <c r="C526" s="7">
        <v>2022489115</v>
      </c>
      <c r="D526" s="7">
        <v>2201010036</v>
      </c>
      <c r="E526" s="7" t="s">
        <v>1811</v>
      </c>
      <c r="F526" s="17" t="e">
        <f>VLOOKUP('2501_MIS '!C526,'[1]Fast Track '!B:K,10,FALSE)</f>
        <v>#N/A</v>
      </c>
      <c r="G526" s="17" t="str">
        <f>VLOOKUP(C526,[2]Sheet7!A:D,4,FALSE)</f>
        <v>Promoted</v>
      </c>
      <c r="H526" s="45" t="s">
        <v>3645</v>
      </c>
      <c r="I526" s="26" t="s">
        <v>3662</v>
      </c>
      <c r="J526" s="6" t="s">
        <v>1210</v>
      </c>
      <c r="K526" s="6" t="s">
        <v>2859</v>
      </c>
      <c r="L526" s="6" t="s">
        <v>2860</v>
      </c>
      <c r="M526" s="6" t="s">
        <v>532</v>
      </c>
      <c r="O526" t="e">
        <f>VLOOKUP(C526,#REF!,12,FALSE)</f>
        <v>#REF!</v>
      </c>
    </row>
    <row r="527" spans="1:15">
      <c r="A527" s="17">
        <v>526</v>
      </c>
      <c r="B527" s="6" t="s">
        <v>1130</v>
      </c>
      <c r="C527" s="7">
        <v>2022002243</v>
      </c>
      <c r="D527" s="7">
        <v>2201010462</v>
      </c>
      <c r="E527" s="7" t="s">
        <v>1811</v>
      </c>
      <c r="F527" s="17" t="str">
        <f>VLOOKUP('2501_MIS '!C527,'[1]Fast Track '!B:K,10,FALSE)</f>
        <v>Fast learning Mode</v>
      </c>
      <c r="G527" s="17" t="str">
        <f>VLOOKUP(C527,[2]Sheet7!A:D,4,FALSE)</f>
        <v>Promoted</v>
      </c>
      <c r="H527" s="45" t="s">
        <v>3645</v>
      </c>
      <c r="I527" s="26" t="s">
        <v>3662</v>
      </c>
      <c r="J527" s="6" t="s">
        <v>1131</v>
      </c>
      <c r="K527" s="6" t="s">
        <v>2917</v>
      </c>
      <c r="L527" s="6" t="s">
        <v>2918</v>
      </c>
      <c r="M527" s="6" t="s">
        <v>532</v>
      </c>
      <c r="O527" t="e">
        <f>VLOOKUP(C527,#REF!,12,FALSE)</f>
        <v>#REF!</v>
      </c>
    </row>
    <row r="528" spans="1:15">
      <c r="A528" s="17">
        <v>527</v>
      </c>
      <c r="B528" s="6" t="s">
        <v>1132</v>
      </c>
      <c r="C528" s="7">
        <v>2022002974</v>
      </c>
      <c r="D528" s="7">
        <v>2201010074</v>
      </c>
      <c r="E528" s="7" t="s">
        <v>1811</v>
      </c>
      <c r="F528" s="17" t="e">
        <f>VLOOKUP('2501_MIS '!C528,'[1]Fast Track '!B:K,10,FALSE)</f>
        <v>#N/A</v>
      </c>
      <c r="G528" s="17" t="str">
        <f>VLOOKUP(C528,[2]Sheet7!A:D,4,FALSE)</f>
        <v>Promoted</v>
      </c>
      <c r="H528" s="45" t="s">
        <v>3645</v>
      </c>
      <c r="I528" s="26" t="s">
        <v>3662</v>
      </c>
      <c r="J528" s="6" t="s">
        <v>1133</v>
      </c>
      <c r="K528" s="6" t="s">
        <v>2863</v>
      </c>
      <c r="L528" s="6" t="s">
        <v>2864</v>
      </c>
      <c r="M528" s="6" t="s">
        <v>532</v>
      </c>
      <c r="O528" t="e">
        <f>VLOOKUP(C528,#REF!,12,FALSE)</f>
        <v>#REF!</v>
      </c>
    </row>
    <row r="529" spans="1:15">
      <c r="A529" s="17">
        <v>528</v>
      </c>
      <c r="B529" s="6" t="s">
        <v>1177</v>
      </c>
      <c r="C529" s="7">
        <v>2022405043</v>
      </c>
      <c r="D529" s="7">
        <v>2201010112</v>
      </c>
      <c r="E529" s="7" t="s">
        <v>1811</v>
      </c>
      <c r="F529" s="17" t="e">
        <f>VLOOKUP('2501_MIS '!C529,'[1]Fast Track '!B:K,10,FALSE)</f>
        <v>#N/A</v>
      </c>
      <c r="G529" s="17" t="str">
        <f>VLOOKUP(C529,[2]Sheet7!A:D,4,FALSE)</f>
        <v>Promoted</v>
      </c>
      <c r="H529" s="45" t="s">
        <v>3645</v>
      </c>
      <c r="I529" s="26" t="s">
        <v>3662</v>
      </c>
      <c r="J529" s="6" t="s">
        <v>1178</v>
      </c>
      <c r="K529" s="6" t="s">
        <v>2865</v>
      </c>
      <c r="L529" s="6" t="s">
        <v>2866</v>
      </c>
      <c r="M529" s="6" t="s">
        <v>532</v>
      </c>
      <c r="O529" t="e">
        <f>VLOOKUP(C529,#REF!,12,FALSE)</f>
        <v>#REF!</v>
      </c>
    </row>
    <row r="530" spans="1:15">
      <c r="A530" s="17">
        <v>529</v>
      </c>
      <c r="B530" s="6" t="s">
        <v>1191</v>
      </c>
      <c r="C530" s="7">
        <v>2022445607</v>
      </c>
      <c r="D530" s="7">
        <v>2201010136</v>
      </c>
      <c r="E530" s="7" t="s">
        <v>1811</v>
      </c>
      <c r="F530" s="17" t="e">
        <f>VLOOKUP('2501_MIS '!C530,'[1]Fast Track '!B:K,10,FALSE)</f>
        <v>#N/A</v>
      </c>
      <c r="G530" s="17" t="str">
        <f>VLOOKUP(C530,[2]Sheet7!A:D,4,FALSE)</f>
        <v>Promoted</v>
      </c>
      <c r="H530" s="45" t="s">
        <v>3645</v>
      </c>
      <c r="I530" s="26" t="s">
        <v>3662</v>
      </c>
      <c r="J530" s="6" t="s">
        <v>1192</v>
      </c>
      <c r="K530" s="6" t="s">
        <v>2867</v>
      </c>
      <c r="L530" s="6" t="s">
        <v>2868</v>
      </c>
      <c r="M530" s="6" t="s">
        <v>532</v>
      </c>
      <c r="O530" t="e">
        <f>VLOOKUP(C530,#REF!,12,FALSE)</f>
        <v>#REF!</v>
      </c>
    </row>
    <row r="531" spans="1:15">
      <c r="A531" s="17">
        <v>530</v>
      </c>
      <c r="B531" s="6" t="s">
        <v>1144</v>
      </c>
      <c r="C531" s="7">
        <v>2022005224</v>
      </c>
      <c r="D531" s="7">
        <v>2201010158</v>
      </c>
      <c r="E531" s="7" t="s">
        <v>1811</v>
      </c>
      <c r="F531" s="17" t="e">
        <f>VLOOKUP('2501_MIS '!C531,'[1]Fast Track '!B:K,10,FALSE)</f>
        <v>#N/A</v>
      </c>
      <c r="G531" s="17" t="str">
        <f>VLOOKUP(C531,[2]Sheet7!A:D,4,FALSE)</f>
        <v>Promoted</v>
      </c>
      <c r="H531" s="45" t="s">
        <v>3645</v>
      </c>
      <c r="I531" s="26" t="s">
        <v>3662</v>
      </c>
      <c r="J531" s="6" t="s">
        <v>1145</v>
      </c>
      <c r="K531" s="6" t="s">
        <v>2869</v>
      </c>
      <c r="L531" s="6" t="s">
        <v>2870</v>
      </c>
      <c r="M531" s="6" t="s">
        <v>532</v>
      </c>
      <c r="O531" t="e">
        <f>VLOOKUP(C531,#REF!,12,FALSE)</f>
        <v>#REF!</v>
      </c>
    </row>
    <row r="532" spans="1:15">
      <c r="A532" s="17">
        <v>531</v>
      </c>
      <c r="B532" s="6" t="s">
        <v>1243</v>
      </c>
      <c r="C532" s="7">
        <v>2022002716</v>
      </c>
      <c r="D532" s="7">
        <v>2201010165</v>
      </c>
      <c r="E532" s="7" t="s">
        <v>1811</v>
      </c>
      <c r="F532" s="17" t="e">
        <f>VLOOKUP('2501_MIS '!C532,'[1]Fast Track '!B:K,10,FALSE)</f>
        <v>#N/A</v>
      </c>
      <c r="G532" s="17" t="str">
        <f>VLOOKUP(C532,[2]Sheet7!A:D,4,FALSE)</f>
        <v>Promoted</v>
      </c>
      <c r="H532" s="45" t="s">
        <v>3645</v>
      </c>
      <c r="I532" s="26" t="s">
        <v>3662</v>
      </c>
      <c r="J532" s="6" t="s">
        <v>1244</v>
      </c>
      <c r="K532" s="6" t="s">
        <v>2871</v>
      </c>
      <c r="L532" s="6" t="s">
        <v>2872</v>
      </c>
      <c r="M532" s="6" t="s">
        <v>532</v>
      </c>
      <c r="O532" t="e">
        <f>VLOOKUP(C532,#REF!,12,FALSE)</f>
        <v>#REF!</v>
      </c>
    </row>
    <row r="533" spans="1:15">
      <c r="A533" s="17">
        <v>532</v>
      </c>
      <c r="B533" s="6" t="s">
        <v>1156</v>
      </c>
      <c r="C533" s="7">
        <v>2022305160</v>
      </c>
      <c r="D533" s="7">
        <v>2201010168</v>
      </c>
      <c r="E533" s="7" t="s">
        <v>1811</v>
      </c>
      <c r="F533" s="17" t="e">
        <f>VLOOKUP('2501_MIS '!C533,'[1]Fast Track '!B:K,10,FALSE)</f>
        <v>#N/A</v>
      </c>
      <c r="G533" s="17" t="str">
        <f>VLOOKUP(C533,[2]Sheet7!A:D,4,FALSE)</f>
        <v>Promoted</v>
      </c>
      <c r="H533" s="45" t="s">
        <v>3645</v>
      </c>
      <c r="I533" s="26" t="s">
        <v>3662</v>
      </c>
      <c r="J533" s="6" t="s">
        <v>1157</v>
      </c>
      <c r="K533" s="6" t="s">
        <v>2873</v>
      </c>
      <c r="L533" s="6" t="s">
        <v>2874</v>
      </c>
      <c r="M533" s="6" t="s">
        <v>532</v>
      </c>
      <c r="O533" t="e">
        <f>VLOOKUP(C533,#REF!,12,FALSE)</f>
        <v>#REF!</v>
      </c>
    </row>
    <row r="534" spans="1:15">
      <c r="A534" s="17">
        <v>533</v>
      </c>
      <c r="B534" s="6" t="s">
        <v>1179</v>
      </c>
      <c r="C534" s="7">
        <v>2022408489</v>
      </c>
      <c r="D534" s="7">
        <v>2201010180</v>
      </c>
      <c r="E534" s="7" t="s">
        <v>1811</v>
      </c>
      <c r="F534" s="17" t="e">
        <f>VLOOKUP('2501_MIS '!C534,'[1]Fast Track '!B:K,10,FALSE)</f>
        <v>#N/A</v>
      </c>
      <c r="G534" s="17" t="str">
        <f>VLOOKUP(C534,[2]Sheet7!A:D,4,FALSE)</f>
        <v>Promoted</v>
      </c>
      <c r="H534" s="45" t="s">
        <v>3645</v>
      </c>
      <c r="I534" s="26" t="s">
        <v>3662</v>
      </c>
      <c r="J534" s="6" t="s">
        <v>1180</v>
      </c>
      <c r="K534" s="6" t="s">
        <v>2875</v>
      </c>
      <c r="L534" s="6" t="s">
        <v>2876</v>
      </c>
      <c r="M534" s="6" t="s">
        <v>532</v>
      </c>
      <c r="O534" t="e">
        <f>VLOOKUP(C534,#REF!,12,FALSE)</f>
        <v>#REF!</v>
      </c>
    </row>
    <row r="535" spans="1:15">
      <c r="A535" s="17">
        <v>534</v>
      </c>
      <c r="B535" s="6" t="s">
        <v>1171</v>
      </c>
      <c r="C535" s="7">
        <v>2022360947</v>
      </c>
      <c r="D535" s="7">
        <v>2201010200</v>
      </c>
      <c r="E535" s="7" t="s">
        <v>1811</v>
      </c>
      <c r="F535" s="17" t="e">
        <f>VLOOKUP('2501_MIS '!C535,'[1]Fast Track '!B:K,10,FALSE)</f>
        <v>#N/A</v>
      </c>
      <c r="G535" s="17" t="str">
        <f>VLOOKUP(C535,[2]Sheet7!A:D,4,FALSE)</f>
        <v>Promoted</v>
      </c>
      <c r="H535" s="45" t="s">
        <v>3645</v>
      </c>
      <c r="I535" s="26" t="s">
        <v>3662</v>
      </c>
      <c r="J535" s="6" t="s">
        <v>1172</v>
      </c>
      <c r="K535" s="6" t="s">
        <v>2877</v>
      </c>
      <c r="L535" s="6" t="s">
        <v>2878</v>
      </c>
      <c r="M535" s="6" t="s">
        <v>532</v>
      </c>
      <c r="O535" t="e">
        <f>VLOOKUP(C535,#REF!,12,FALSE)</f>
        <v>#REF!</v>
      </c>
    </row>
    <row r="536" spans="1:15">
      <c r="A536" s="17">
        <v>535</v>
      </c>
      <c r="B536" s="6" t="s">
        <v>1223</v>
      </c>
      <c r="C536" s="7">
        <v>2022520080</v>
      </c>
      <c r="D536" s="7">
        <v>2201010206</v>
      </c>
      <c r="E536" s="7" t="s">
        <v>1811</v>
      </c>
      <c r="F536" s="17" t="str">
        <f>VLOOKUP('2501_MIS '!C536,'[1]Fast Track '!B:K,10,FALSE)</f>
        <v>Fast learning Mode</v>
      </c>
      <c r="G536" s="17" t="str">
        <f>VLOOKUP(C536,[2]Sheet7!A:D,4,FALSE)</f>
        <v>Promoted</v>
      </c>
      <c r="H536" s="45" t="s">
        <v>3645</v>
      </c>
      <c r="I536" s="26" t="s">
        <v>3662</v>
      </c>
      <c r="J536" s="6" t="s">
        <v>1224</v>
      </c>
      <c r="K536" s="6" t="s">
        <v>2879</v>
      </c>
      <c r="L536" s="6" t="s">
        <v>2880</v>
      </c>
      <c r="M536" s="6" t="s">
        <v>532</v>
      </c>
      <c r="O536" t="e">
        <f>VLOOKUP(C536,#REF!,12,FALSE)</f>
        <v>#REF!</v>
      </c>
    </row>
    <row r="537" spans="1:15">
      <c r="A537" s="17">
        <v>536</v>
      </c>
      <c r="B537" s="6" t="s">
        <v>1207</v>
      </c>
      <c r="C537" s="7">
        <v>2022487026</v>
      </c>
      <c r="D537" s="7">
        <v>2201010216</v>
      </c>
      <c r="E537" s="7" t="s">
        <v>1811</v>
      </c>
      <c r="F537" s="17" t="e">
        <f>VLOOKUP('2501_MIS '!C537,'[1]Fast Track '!B:K,10,FALSE)</f>
        <v>#N/A</v>
      </c>
      <c r="G537" s="17" t="str">
        <f>VLOOKUP(C537,[2]Sheet7!A:D,4,FALSE)</f>
        <v>Promoted</v>
      </c>
      <c r="H537" s="45" t="s">
        <v>3645</v>
      </c>
      <c r="I537" s="26" t="s">
        <v>3662</v>
      </c>
      <c r="J537" s="6" t="s">
        <v>1208</v>
      </c>
      <c r="K537" s="6" t="s">
        <v>2881</v>
      </c>
      <c r="L537" s="6" t="s">
        <v>2882</v>
      </c>
      <c r="M537" s="6" t="s">
        <v>532</v>
      </c>
      <c r="O537" t="e">
        <f>VLOOKUP(C537,#REF!,12,FALSE)</f>
        <v>#REF!</v>
      </c>
    </row>
    <row r="538" spans="1:15">
      <c r="A538" s="17">
        <v>537</v>
      </c>
      <c r="B538" s="6" t="s">
        <v>1165</v>
      </c>
      <c r="C538" s="7">
        <v>2022345074</v>
      </c>
      <c r="D538" s="7">
        <v>2201010223</v>
      </c>
      <c r="E538" s="7" t="s">
        <v>1811</v>
      </c>
      <c r="F538" s="17" t="e">
        <f>VLOOKUP('2501_MIS '!C538,'[1]Fast Track '!B:K,10,FALSE)</f>
        <v>#N/A</v>
      </c>
      <c r="G538" s="17" t="str">
        <f>VLOOKUP(C538,[2]Sheet7!A:D,4,FALSE)</f>
        <v>Promoted</v>
      </c>
      <c r="H538" s="45" t="s">
        <v>3645</v>
      </c>
      <c r="I538" s="26" t="s">
        <v>3662</v>
      </c>
      <c r="J538" s="6" t="s">
        <v>1166</v>
      </c>
      <c r="K538" s="6" t="s">
        <v>2883</v>
      </c>
      <c r="L538" s="6" t="s">
        <v>2884</v>
      </c>
      <c r="M538" s="6" t="s">
        <v>532</v>
      </c>
      <c r="O538" t="e">
        <f>VLOOKUP(C538,#REF!,12,FALSE)</f>
        <v>#REF!</v>
      </c>
    </row>
    <row r="539" spans="1:15">
      <c r="A539" s="17">
        <v>538</v>
      </c>
      <c r="B539" s="6" t="s">
        <v>1148</v>
      </c>
      <c r="C539" s="7">
        <v>2022005900</v>
      </c>
      <c r="D539" s="7">
        <v>2201010265</v>
      </c>
      <c r="E539" s="7" t="s">
        <v>1811</v>
      </c>
      <c r="F539" s="17" t="e">
        <f>VLOOKUP('2501_MIS '!C539,'[1]Fast Track '!B:K,10,FALSE)</f>
        <v>#N/A</v>
      </c>
      <c r="G539" s="17" t="str">
        <f>VLOOKUP(C539,[2]Sheet7!A:D,4,FALSE)</f>
        <v>Promoted</v>
      </c>
      <c r="H539" s="45" t="s">
        <v>3645</v>
      </c>
      <c r="I539" s="26" t="s">
        <v>3662</v>
      </c>
      <c r="J539" s="6" t="s">
        <v>1149</v>
      </c>
      <c r="K539" s="6" t="s">
        <v>2885</v>
      </c>
      <c r="L539" s="6" t="s">
        <v>2886</v>
      </c>
      <c r="M539" s="6" t="s">
        <v>532</v>
      </c>
      <c r="O539" t="e">
        <f>VLOOKUP(C539,#REF!,12,FALSE)</f>
        <v>#REF!</v>
      </c>
    </row>
    <row r="540" spans="1:15">
      <c r="A540" s="17">
        <v>539</v>
      </c>
      <c r="B540" s="6" t="s">
        <v>1140</v>
      </c>
      <c r="C540" s="7">
        <v>2022004383</v>
      </c>
      <c r="D540" s="7">
        <v>2201010277</v>
      </c>
      <c r="E540" s="7" t="s">
        <v>1811</v>
      </c>
      <c r="F540" s="17" t="e">
        <f>VLOOKUP('2501_MIS '!C540,'[1]Fast Track '!B:K,10,FALSE)</f>
        <v>#N/A</v>
      </c>
      <c r="G540" s="17" t="str">
        <f>VLOOKUP(C540,[2]Sheet7!A:D,4,FALSE)</f>
        <v>Promoted</v>
      </c>
      <c r="H540" s="45" t="s">
        <v>3645</v>
      </c>
      <c r="I540" s="26" t="s">
        <v>3662</v>
      </c>
      <c r="J540" s="6" t="s">
        <v>1141</v>
      </c>
      <c r="K540" s="6" t="s">
        <v>2887</v>
      </c>
      <c r="L540" s="6" t="s">
        <v>2888</v>
      </c>
      <c r="M540" s="6" t="s">
        <v>532</v>
      </c>
      <c r="O540" t="e">
        <f>VLOOKUP(C540,#REF!,12,FALSE)</f>
        <v>#REF!</v>
      </c>
    </row>
    <row r="541" spans="1:15">
      <c r="A541" s="17">
        <v>540</v>
      </c>
      <c r="B541" s="6" t="s">
        <v>1201</v>
      </c>
      <c r="C541" s="7">
        <v>2022477650</v>
      </c>
      <c r="D541" s="7">
        <v>2201010287</v>
      </c>
      <c r="E541" s="7" t="s">
        <v>1811</v>
      </c>
      <c r="F541" s="17" t="e">
        <f>VLOOKUP('2501_MIS '!C541,'[1]Fast Track '!B:K,10,FALSE)</f>
        <v>#N/A</v>
      </c>
      <c r="G541" s="17" t="str">
        <f>VLOOKUP(C541,[2]Sheet7!A:D,4,FALSE)</f>
        <v>Promoted</v>
      </c>
      <c r="H541" s="45" t="s">
        <v>3645</v>
      </c>
      <c r="I541" s="26" t="s">
        <v>3662</v>
      </c>
      <c r="J541" s="6" t="s">
        <v>1202</v>
      </c>
      <c r="K541" s="6" t="s">
        <v>2889</v>
      </c>
      <c r="L541" s="6" t="s">
        <v>2890</v>
      </c>
      <c r="M541" s="6" t="s">
        <v>532</v>
      </c>
      <c r="O541" t="e">
        <f>VLOOKUP(C541,#REF!,12,FALSE)</f>
        <v>#REF!</v>
      </c>
    </row>
    <row r="542" spans="1:15">
      <c r="A542" s="17">
        <v>541</v>
      </c>
      <c r="B542" s="6" t="s">
        <v>1195</v>
      </c>
      <c r="C542" s="7">
        <v>2022451567</v>
      </c>
      <c r="D542" s="7">
        <v>2201010291</v>
      </c>
      <c r="E542" s="7" t="s">
        <v>1811</v>
      </c>
      <c r="F542" s="17" t="e">
        <f>VLOOKUP('2501_MIS '!C542,'[1]Fast Track '!B:K,10,FALSE)</f>
        <v>#N/A</v>
      </c>
      <c r="G542" s="17" t="str">
        <f>VLOOKUP(C542,[2]Sheet7!A:D,4,FALSE)</f>
        <v>Promoted</v>
      </c>
      <c r="H542" s="45" t="s">
        <v>3645</v>
      </c>
      <c r="I542" s="26" t="s">
        <v>3662</v>
      </c>
      <c r="J542" s="6" t="s">
        <v>1196</v>
      </c>
      <c r="K542" s="6" t="s">
        <v>2891</v>
      </c>
      <c r="L542" s="6" t="s">
        <v>2892</v>
      </c>
      <c r="M542" s="6" t="s">
        <v>532</v>
      </c>
      <c r="O542" t="e">
        <f>VLOOKUP(C542,#REF!,12,FALSE)</f>
        <v>#REF!</v>
      </c>
    </row>
    <row r="543" spans="1:15">
      <c r="A543" s="17">
        <v>542</v>
      </c>
      <c r="B543" s="6" t="s">
        <v>1136</v>
      </c>
      <c r="C543" s="7">
        <v>2022003541</v>
      </c>
      <c r="D543" s="7">
        <v>2201010309</v>
      </c>
      <c r="E543" s="7" t="s">
        <v>1811</v>
      </c>
      <c r="F543" s="17" t="e">
        <f>VLOOKUP('2501_MIS '!C543,'[1]Fast Track '!B:K,10,FALSE)</f>
        <v>#N/A</v>
      </c>
      <c r="G543" s="17" t="str">
        <f>VLOOKUP(C543,[2]Sheet7!A:D,4,FALSE)</f>
        <v>Promoted</v>
      </c>
      <c r="H543" s="45" t="s">
        <v>3645</v>
      </c>
      <c r="I543" s="26" t="s">
        <v>3662</v>
      </c>
      <c r="J543" s="6" t="s">
        <v>1137</v>
      </c>
      <c r="K543" s="6" t="s">
        <v>2893</v>
      </c>
      <c r="L543" s="6" t="s">
        <v>2894</v>
      </c>
      <c r="M543" s="6" t="s">
        <v>532</v>
      </c>
      <c r="O543" t="e">
        <f>VLOOKUP(C543,#REF!,12,FALSE)</f>
        <v>#REF!</v>
      </c>
    </row>
    <row r="544" spans="1:15">
      <c r="A544" s="17">
        <v>543</v>
      </c>
      <c r="B544" s="6" t="s">
        <v>1227</v>
      </c>
      <c r="C544" s="7">
        <v>2022543048</v>
      </c>
      <c r="D544" s="7">
        <v>2201010315</v>
      </c>
      <c r="E544" s="7" t="s">
        <v>1811</v>
      </c>
      <c r="F544" s="17" t="e">
        <f>VLOOKUP('2501_MIS '!C544,'[1]Fast Track '!B:K,10,FALSE)</f>
        <v>#N/A</v>
      </c>
      <c r="G544" s="17" t="str">
        <f>VLOOKUP(C544,[2]Sheet7!A:D,4,FALSE)</f>
        <v>Promoted</v>
      </c>
      <c r="H544" s="45" t="s">
        <v>3645</v>
      </c>
      <c r="I544" s="26" t="s">
        <v>3662</v>
      </c>
      <c r="J544" s="6" t="s">
        <v>1228</v>
      </c>
      <c r="K544" s="6" t="s">
        <v>2895</v>
      </c>
      <c r="L544" s="6" t="s">
        <v>2896</v>
      </c>
      <c r="M544" s="6" t="s">
        <v>532</v>
      </c>
      <c r="O544" t="e">
        <f>VLOOKUP(C544,#REF!,12,FALSE)</f>
        <v>#REF!</v>
      </c>
    </row>
    <row r="545" spans="1:15">
      <c r="A545" s="17">
        <v>544</v>
      </c>
      <c r="B545" s="6" t="s">
        <v>1215</v>
      </c>
      <c r="C545" s="7">
        <v>2022501831</v>
      </c>
      <c r="D545" s="7">
        <v>2201010320</v>
      </c>
      <c r="E545" s="7" t="s">
        <v>1811</v>
      </c>
      <c r="F545" s="17" t="e">
        <f>VLOOKUP('2501_MIS '!C545,'[1]Fast Track '!B:K,10,FALSE)</f>
        <v>#N/A</v>
      </c>
      <c r="G545" s="17" t="str">
        <f>VLOOKUP(C545,[2]Sheet7!A:D,4,FALSE)</f>
        <v>Promoted</v>
      </c>
      <c r="H545" s="45" t="s">
        <v>3645</v>
      </c>
      <c r="I545" s="26" t="s">
        <v>3662</v>
      </c>
      <c r="J545" s="6" t="s">
        <v>1216</v>
      </c>
      <c r="K545" s="6" t="s">
        <v>2897</v>
      </c>
      <c r="L545" s="6" t="s">
        <v>2898</v>
      </c>
      <c r="M545" s="6" t="s">
        <v>532</v>
      </c>
      <c r="O545" t="e">
        <f>VLOOKUP(C545,#REF!,12,FALSE)</f>
        <v>#REF!</v>
      </c>
    </row>
    <row r="546" spans="1:15">
      <c r="A546" s="17">
        <v>545</v>
      </c>
      <c r="B546" s="6" t="s">
        <v>1160</v>
      </c>
      <c r="C546" s="7">
        <v>2022321571</v>
      </c>
      <c r="D546" s="7">
        <v>2201010336</v>
      </c>
      <c r="E546" s="7" t="s">
        <v>1811</v>
      </c>
      <c r="F546" s="17" t="e">
        <f>VLOOKUP('2501_MIS '!C546,'[1]Fast Track '!B:K,10,FALSE)</f>
        <v>#N/A</v>
      </c>
      <c r="G546" s="17" t="str">
        <f>VLOOKUP(C546,[2]Sheet7!A:D,4,FALSE)</f>
        <v>Promoted</v>
      </c>
      <c r="H546" s="45" t="s">
        <v>3645</v>
      </c>
      <c r="I546" s="26" t="s">
        <v>3662</v>
      </c>
      <c r="J546" s="6" t="s">
        <v>1161</v>
      </c>
      <c r="K546" s="6" t="s">
        <v>2899</v>
      </c>
      <c r="L546" s="6" t="s">
        <v>2900</v>
      </c>
      <c r="M546" s="6" t="s">
        <v>532</v>
      </c>
      <c r="O546" t="e">
        <f>VLOOKUP(C546,#REF!,12,FALSE)</f>
        <v>#REF!</v>
      </c>
    </row>
    <row r="547" spans="1:15">
      <c r="A547" s="17">
        <v>546</v>
      </c>
      <c r="B547" s="6" t="s">
        <v>1152</v>
      </c>
      <c r="C547" s="7">
        <v>2022006436</v>
      </c>
      <c r="D547" s="7">
        <v>2201010338</v>
      </c>
      <c r="E547" s="7" t="s">
        <v>1811</v>
      </c>
      <c r="F547" s="17" t="e">
        <f>VLOOKUP('2501_MIS '!C547,'[1]Fast Track '!B:K,10,FALSE)</f>
        <v>#N/A</v>
      </c>
      <c r="G547" s="17" t="str">
        <f>VLOOKUP(C547,[2]Sheet7!A:D,4,FALSE)</f>
        <v>Promoted</v>
      </c>
      <c r="H547" s="45" t="s">
        <v>3645</v>
      </c>
      <c r="I547" s="26" t="s">
        <v>3662</v>
      </c>
      <c r="J547" s="6" t="s">
        <v>1153</v>
      </c>
      <c r="K547" s="6" t="s">
        <v>2901</v>
      </c>
      <c r="L547" s="6" t="s">
        <v>2902</v>
      </c>
      <c r="M547" s="6" t="s">
        <v>532</v>
      </c>
      <c r="O547" t="e">
        <f>VLOOKUP(C547,#REF!,12,FALSE)</f>
        <v>#REF!</v>
      </c>
    </row>
    <row r="548" spans="1:15">
      <c r="A548" s="17">
        <v>547</v>
      </c>
      <c r="B548" s="6" t="s">
        <v>1146</v>
      </c>
      <c r="C548" s="7">
        <v>2022005401</v>
      </c>
      <c r="D548" s="7">
        <v>2201010341</v>
      </c>
      <c r="E548" s="7" t="s">
        <v>1811</v>
      </c>
      <c r="F548" s="17" t="e">
        <f>VLOOKUP('2501_MIS '!C548,'[1]Fast Track '!B:K,10,FALSE)</f>
        <v>#N/A</v>
      </c>
      <c r="G548" s="17" t="str">
        <f>VLOOKUP(C548,[2]Sheet7!A:D,4,FALSE)</f>
        <v>Promoted</v>
      </c>
      <c r="H548" s="45" t="s">
        <v>3645</v>
      </c>
      <c r="I548" s="26" t="s">
        <v>3662</v>
      </c>
      <c r="J548" s="6" t="s">
        <v>1147</v>
      </c>
      <c r="K548" s="6" t="s">
        <v>2903</v>
      </c>
      <c r="L548" s="6" t="s">
        <v>2904</v>
      </c>
      <c r="M548" s="6" t="s">
        <v>532</v>
      </c>
      <c r="O548" t="e">
        <f>VLOOKUP(C548,#REF!,12,FALSE)</f>
        <v>#REF!</v>
      </c>
    </row>
    <row r="549" spans="1:15">
      <c r="A549" s="17">
        <v>548</v>
      </c>
      <c r="B549" s="6" t="s">
        <v>1247</v>
      </c>
      <c r="C549" s="7">
        <v>2022502804</v>
      </c>
      <c r="D549" s="7">
        <v>2201010342</v>
      </c>
      <c r="E549" s="7" t="s">
        <v>1811</v>
      </c>
      <c r="F549" s="17" t="e">
        <f>VLOOKUP('2501_MIS '!C549,'[1]Fast Track '!B:K,10,FALSE)</f>
        <v>#N/A</v>
      </c>
      <c r="G549" s="17" t="str">
        <f>VLOOKUP(C549,[2]Sheet7!A:D,4,FALSE)</f>
        <v>Promoted</v>
      </c>
      <c r="H549" s="45" t="s">
        <v>3645</v>
      </c>
      <c r="I549" s="26" t="s">
        <v>3662</v>
      </c>
      <c r="J549" s="6" t="s">
        <v>1248</v>
      </c>
      <c r="K549" s="6" t="s">
        <v>2905</v>
      </c>
      <c r="L549" s="6" t="s">
        <v>2906</v>
      </c>
      <c r="M549" s="6" t="s">
        <v>532</v>
      </c>
      <c r="O549" t="e">
        <f>VLOOKUP(C549,#REF!,12,FALSE)</f>
        <v>#REF!</v>
      </c>
    </row>
    <row r="550" spans="1:15">
      <c r="A550" s="17">
        <v>549</v>
      </c>
      <c r="B550" s="6" t="s">
        <v>1229</v>
      </c>
      <c r="C550" s="7">
        <v>2022544917</v>
      </c>
      <c r="D550" s="7">
        <v>2201010582</v>
      </c>
      <c r="E550" s="7" t="s">
        <v>1811</v>
      </c>
      <c r="F550" s="17" t="str">
        <f>VLOOKUP('2501_MIS '!C550,'[1]Fast Track '!B:K,10,FALSE)</f>
        <v>Fast learning Mode</v>
      </c>
      <c r="G550" s="17" t="str">
        <f>VLOOKUP(C550,[2]Sheet7!A:D,4,FALSE)</f>
        <v>Promoted</v>
      </c>
      <c r="H550" s="45" t="s">
        <v>3645</v>
      </c>
      <c r="I550" s="26" t="s">
        <v>3662</v>
      </c>
      <c r="J550" s="6" t="s">
        <v>1230</v>
      </c>
      <c r="K550" s="6" t="s">
        <v>2923</v>
      </c>
      <c r="L550" s="6" t="s">
        <v>2924</v>
      </c>
      <c r="M550" s="6" t="s">
        <v>532</v>
      </c>
      <c r="O550" t="e">
        <f>VLOOKUP(C550,#REF!,12,FALSE)</f>
        <v>#REF!</v>
      </c>
    </row>
    <row r="551" spans="1:15">
      <c r="A551" s="17">
        <v>550</v>
      </c>
      <c r="B551" s="6" t="s">
        <v>1199</v>
      </c>
      <c r="C551" s="7">
        <v>2022464237</v>
      </c>
      <c r="D551" s="7">
        <v>2201010411</v>
      </c>
      <c r="E551" s="7" t="s">
        <v>1811</v>
      </c>
      <c r="F551" s="17" t="e">
        <f>VLOOKUP('2501_MIS '!C551,'[1]Fast Track '!B:K,10,FALSE)</f>
        <v>#N/A</v>
      </c>
      <c r="G551" s="17" t="str">
        <f>VLOOKUP(C551,[2]Sheet7!A:D,4,FALSE)</f>
        <v>Promoted</v>
      </c>
      <c r="H551" s="45" t="s">
        <v>3644</v>
      </c>
      <c r="I551" s="26" t="s">
        <v>3663</v>
      </c>
      <c r="J551" s="6" t="s">
        <v>1200</v>
      </c>
      <c r="K551" s="6" t="s">
        <v>2909</v>
      </c>
      <c r="L551" s="6" t="s">
        <v>2910</v>
      </c>
      <c r="M551" s="6" t="s">
        <v>532</v>
      </c>
      <c r="O551" t="e">
        <f>VLOOKUP(C551,#REF!,12,FALSE)</f>
        <v>#REF!</v>
      </c>
    </row>
    <row r="552" spans="1:15">
      <c r="A552" s="17">
        <v>551</v>
      </c>
      <c r="B552" s="6" t="s">
        <v>1183</v>
      </c>
      <c r="C552" s="7">
        <v>2022420368</v>
      </c>
      <c r="D552" s="7">
        <v>2201010423</v>
      </c>
      <c r="E552" s="7" t="s">
        <v>1811</v>
      </c>
      <c r="F552" s="17" t="e">
        <f>VLOOKUP('2501_MIS '!C552,'[1]Fast Track '!B:K,10,FALSE)</f>
        <v>#N/A</v>
      </c>
      <c r="G552" s="17" t="str">
        <f>VLOOKUP(C552,[2]Sheet7!A:D,4,FALSE)</f>
        <v>Promoted</v>
      </c>
      <c r="H552" s="45" t="s">
        <v>3644</v>
      </c>
      <c r="I552" s="26" t="s">
        <v>3663</v>
      </c>
      <c r="J552" s="6" t="s">
        <v>1184</v>
      </c>
      <c r="K552" s="6" t="s">
        <v>2911</v>
      </c>
      <c r="L552" s="6" t="s">
        <v>2912</v>
      </c>
      <c r="M552" s="6" t="s">
        <v>532</v>
      </c>
      <c r="O552" t="e">
        <f>VLOOKUP(C552,#REF!,12,FALSE)</f>
        <v>#REF!</v>
      </c>
    </row>
    <row r="553" spans="1:15">
      <c r="A553" s="17">
        <v>552</v>
      </c>
      <c r="B553" s="6" t="s">
        <v>1241</v>
      </c>
      <c r="C553" s="7">
        <v>2022834880</v>
      </c>
      <c r="D553" s="7">
        <v>2201010440</v>
      </c>
      <c r="E553" s="7" t="s">
        <v>1811</v>
      </c>
      <c r="F553" s="17" t="e">
        <f>VLOOKUP('2501_MIS '!C553,'[1]Fast Track '!B:K,10,FALSE)</f>
        <v>#N/A</v>
      </c>
      <c r="G553" s="17" t="str">
        <f>VLOOKUP(C553,[2]Sheet7!A:D,4,FALSE)</f>
        <v>Promoted</v>
      </c>
      <c r="H553" s="45" t="s">
        <v>3644</v>
      </c>
      <c r="I553" s="26" t="s">
        <v>3663</v>
      </c>
      <c r="J553" s="6" t="s">
        <v>1242</v>
      </c>
      <c r="K553" s="6" t="s">
        <v>2913</v>
      </c>
      <c r="L553" s="6" t="s">
        <v>2914</v>
      </c>
      <c r="M553" s="6" t="s">
        <v>532</v>
      </c>
      <c r="O553" t="e">
        <f>VLOOKUP(C553,#REF!,12,FALSE)</f>
        <v>#REF!</v>
      </c>
    </row>
    <row r="554" spans="1:15">
      <c r="A554" s="17">
        <v>553</v>
      </c>
      <c r="B554" s="6" t="s">
        <v>1219</v>
      </c>
      <c r="C554" s="7">
        <v>2022511920</v>
      </c>
      <c r="D554" s="7">
        <v>2201010446</v>
      </c>
      <c r="E554" s="7" t="s">
        <v>1811</v>
      </c>
      <c r="F554" s="17" t="e">
        <f>VLOOKUP('2501_MIS '!C554,'[1]Fast Track '!B:K,10,FALSE)</f>
        <v>#N/A</v>
      </c>
      <c r="G554" s="17" t="str">
        <f>VLOOKUP(C554,[2]Sheet7!A:D,4,FALSE)</f>
        <v>Promoted</v>
      </c>
      <c r="H554" s="45" t="s">
        <v>3644</v>
      </c>
      <c r="I554" s="26" t="s">
        <v>3663</v>
      </c>
      <c r="J554" s="6" t="s">
        <v>1220</v>
      </c>
      <c r="K554" s="6" t="s">
        <v>2915</v>
      </c>
      <c r="L554" s="6" t="s">
        <v>2916</v>
      </c>
      <c r="M554" s="6" t="s">
        <v>532</v>
      </c>
      <c r="O554" t="e">
        <f>VLOOKUP(C554,#REF!,12,FALSE)</f>
        <v>#REF!</v>
      </c>
    </row>
    <row r="555" spans="1:15">
      <c r="A555" s="17">
        <v>554</v>
      </c>
      <c r="B555" s="6" t="s">
        <v>1175</v>
      </c>
      <c r="C555" s="7">
        <v>2022404434</v>
      </c>
      <c r="D555" s="7">
        <v>2201010486</v>
      </c>
      <c r="E555" s="7" t="s">
        <v>1811</v>
      </c>
      <c r="F555" s="17" t="e">
        <f>VLOOKUP('2501_MIS '!C555,'[1]Fast Track '!B:K,10,FALSE)</f>
        <v>#N/A</v>
      </c>
      <c r="G555" s="17" t="str">
        <f>VLOOKUP(C555,[2]Sheet7!A:D,4,FALSE)</f>
        <v>Promoted</v>
      </c>
      <c r="H555" s="45" t="s">
        <v>3644</v>
      </c>
      <c r="I555" s="26" t="s">
        <v>3663</v>
      </c>
      <c r="J555" s="6" t="s">
        <v>1176</v>
      </c>
      <c r="K555" s="6" t="s">
        <v>2919</v>
      </c>
      <c r="L555" s="6" t="s">
        <v>2920</v>
      </c>
      <c r="M555" s="6" t="s">
        <v>532</v>
      </c>
      <c r="O555" t="e">
        <f>VLOOKUP(C555,#REF!,12,FALSE)</f>
        <v>#REF!</v>
      </c>
    </row>
    <row r="556" spans="1:15">
      <c r="A556" s="17">
        <v>555</v>
      </c>
      <c r="B556" s="6" t="s">
        <v>1211</v>
      </c>
      <c r="C556" s="7">
        <v>2022494330</v>
      </c>
      <c r="D556" s="7">
        <v>2201010492</v>
      </c>
      <c r="E556" s="7" t="s">
        <v>1811</v>
      </c>
      <c r="F556" s="17" t="e">
        <f>VLOOKUP('2501_MIS '!C556,'[1]Fast Track '!B:K,10,FALSE)</f>
        <v>#N/A</v>
      </c>
      <c r="G556" s="17" t="str">
        <f>VLOOKUP(C556,[2]Sheet7!A:D,4,FALSE)</f>
        <v>Promoted</v>
      </c>
      <c r="H556" s="45" t="s">
        <v>3644</v>
      </c>
      <c r="I556" s="26" t="s">
        <v>3663</v>
      </c>
      <c r="J556" s="6" t="s">
        <v>1212</v>
      </c>
      <c r="K556" s="6" t="s">
        <v>2921</v>
      </c>
      <c r="L556" s="6" t="s">
        <v>2922</v>
      </c>
      <c r="M556" s="6" t="s">
        <v>532</v>
      </c>
      <c r="O556" t="e">
        <f>VLOOKUP(C556,#REF!,12,FALSE)</f>
        <v>#REF!</v>
      </c>
    </row>
    <row r="557" spans="1:15">
      <c r="A557" s="17">
        <v>556</v>
      </c>
      <c r="B557" s="6" t="s">
        <v>1217</v>
      </c>
      <c r="C557" s="7">
        <v>2022507803</v>
      </c>
      <c r="D557" s="7">
        <v>2201010590</v>
      </c>
      <c r="E557" s="7" t="s">
        <v>1811</v>
      </c>
      <c r="F557" s="17" t="e">
        <f>VLOOKUP('2501_MIS '!C557,'[1]Fast Track '!B:K,10,FALSE)</f>
        <v>#N/A</v>
      </c>
      <c r="G557" s="17" t="str">
        <f>VLOOKUP(C557,[2]Sheet7!A:D,4,FALSE)</f>
        <v>Promoted</v>
      </c>
      <c r="H557" s="45" t="s">
        <v>3644</v>
      </c>
      <c r="I557" s="26" t="s">
        <v>3663</v>
      </c>
      <c r="J557" s="6" t="s">
        <v>1218</v>
      </c>
      <c r="K557" s="6" t="s">
        <v>2925</v>
      </c>
      <c r="L557" s="6" t="s">
        <v>2926</v>
      </c>
      <c r="M557" s="6" t="s">
        <v>532</v>
      </c>
      <c r="O557" t="e">
        <f>VLOOKUP(C557,#REF!,12,FALSE)</f>
        <v>#REF!</v>
      </c>
    </row>
    <row r="558" spans="1:15">
      <c r="A558" s="17">
        <v>557</v>
      </c>
      <c r="B558" s="6" t="s">
        <v>1253</v>
      </c>
      <c r="C558" s="7">
        <v>2022004067</v>
      </c>
      <c r="D558" s="7">
        <v>2201010624</v>
      </c>
      <c r="E558" s="7" t="s">
        <v>1811</v>
      </c>
      <c r="F558" s="17" t="e">
        <f>VLOOKUP('2501_MIS '!C558,'[1]Fast Track '!B:K,10,FALSE)</f>
        <v>#N/A</v>
      </c>
      <c r="G558" s="17" t="str">
        <f>VLOOKUP(C558,[2]Sheet7!A:D,4,FALSE)</f>
        <v>Promoted</v>
      </c>
      <c r="H558" s="45" t="s">
        <v>3644</v>
      </c>
      <c r="I558" s="26" t="s">
        <v>3663</v>
      </c>
      <c r="J558" s="6" t="s">
        <v>1254</v>
      </c>
      <c r="K558" s="6" t="s">
        <v>2927</v>
      </c>
      <c r="L558" s="6" t="s">
        <v>2928</v>
      </c>
      <c r="M558" s="6" t="s">
        <v>532</v>
      </c>
      <c r="O558" t="e">
        <f>VLOOKUP(C558,#REF!,12,FALSE)</f>
        <v>#REF!</v>
      </c>
    </row>
    <row r="559" spans="1:15">
      <c r="A559" s="17">
        <v>558</v>
      </c>
      <c r="B559" s="6" t="s">
        <v>1251</v>
      </c>
      <c r="C559" s="7">
        <v>2022003455</v>
      </c>
      <c r="D559" s="7">
        <v>2201010625</v>
      </c>
      <c r="E559" s="7" t="s">
        <v>1811</v>
      </c>
      <c r="F559" s="17" t="e">
        <f>VLOOKUP('2501_MIS '!C559,'[1]Fast Track '!B:K,10,FALSE)</f>
        <v>#N/A</v>
      </c>
      <c r="G559" s="17" t="str">
        <f>VLOOKUP(C559,[2]Sheet7!A:D,4,FALSE)</f>
        <v>Promoted</v>
      </c>
      <c r="H559" s="45" t="s">
        <v>3644</v>
      </c>
      <c r="I559" s="26" t="s">
        <v>3663</v>
      </c>
      <c r="J559" s="6" t="s">
        <v>1252</v>
      </c>
      <c r="K559" s="6" t="s">
        <v>2929</v>
      </c>
      <c r="L559" s="6" t="s">
        <v>2930</v>
      </c>
      <c r="M559" s="6" t="s">
        <v>532</v>
      </c>
      <c r="O559" t="e">
        <f>VLOOKUP(C559,#REF!,12,FALSE)</f>
        <v>#REF!</v>
      </c>
    </row>
    <row r="560" spans="1:15">
      <c r="A560" s="17">
        <v>559</v>
      </c>
      <c r="B560" s="6" t="s">
        <v>1193</v>
      </c>
      <c r="C560" s="7">
        <v>2022446086</v>
      </c>
      <c r="D560" s="7">
        <v>2201010657</v>
      </c>
      <c r="E560" s="7" t="s">
        <v>1811</v>
      </c>
      <c r="F560" s="17" t="e">
        <f>VLOOKUP('2501_MIS '!C560,'[1]Fast Track '!B:K,10,FALSE)</f>
        <v>#N/A</v>
      </c>
      <c r="G560" s="17" t="str">
        <f>VLOOKUP(C560,[2]Sheet7!A:D,4,FALSE)</f>
        <v>Promoted</v>
      </c>
      <c r="H560" s="45" t="s">
        <v>3644</v>
      </c>
      <c r="I560" s="26" t="s">
        <v>3663</v>
      </c>
      <c r="J560" s="6" t="s">
        <v>1194</v>
      </c>
      <c r="K560" s="6" t="s">
        <v>2931</v>
      </c>
      <c r="L560" s="6" t="s">
        <v>2932</v>
      </c>
      <c r="M560" s="6" t="s">
        <v>532</v>
      </c>
      <c r="O560" t="e">
        <f>VLOOKUP(C560,#REF!,12,FALSE)</f>
        <v>#REF!</v>
      </c>
    </row>
    <row r="561" spans="1:15">
      <c r="A561" s="17">
        <v>560</v>
      </c>
      <c r="B561" s="6" t="s">
        <v>1185</v>
      </c>
      <c r="C561" s="7">
        <v>2022442734</v>
      </c>
      <c r="D561" s="7">
        <v>2201010662</v>
      </c>
      <c r="E561" s="7" t="s">
        <v>1811</v>
      </c>
      <c r="F561" s="17" t="e">
        <f>VLOOKUP('2501_MIS '!C561,'[1]Fast Track '!B:K,10,FALSE)</f>
        <v>#N/A</v>
      </c>
      <c r="G561" s="17" t="str">
        <f>VLOOKUP(C561,[2]Sheet7!A:D,4,FALSE)</f>
        <v>Promoted</v>
      </c>
      <c r="H561" s="45" t="s">
        <v>3644</v>
      </c>
      <c r="I561" s="26" t="s">
        <v>3663</v>
      </c>
      <c r="J561" s="6" t="s">
        <v>1186</v>
      </c>
      <c r="K561" s="6" t="s">
        <v>2933</v>
      </c>
      <c r="L561" s="6" t="s">
        <v>2934</v>
      </c>
      <c r="M561" s="6" t="s">
        <v>532</v>
      </c>
      <c r="O561" t="e">
        <f>VLOOKUP(C561,#REF!,12,FALSE)</f>
        <v>#REF!</v>
      </c>
    </row>
    <row r="562" spans="1:15">
      <c r="A562" s="17">
        <v>561</v>
      </c>
      <c r="B562" s="6" t="s">
        <v>1158</v>
      </c>
      <c r="C562" s="7">
        <v>2022306140</v>
      </c>
      <c r="D562" s="7">
        <v>2201010674</v>
      </c>
      <c r="E562" s="7" t="s">
        <v>1811</v>
      </c>
      <c r="F562" s="17" t="e">
        <f>VLOOKUP('2501_MIS '!C562,'[1]Fast Track '!B:K,10,FALSE)</f>
        <v>#N/A</v>
      </c>
      <c r="G562" s="17" t="str">
        <f>VLOOKUP(C562,[2]Sheet7!A:D,4,FALSE)</f>
        <v>Promoted</v>
      </c>
      <c r="H562" s="45" t="s">
        <v>3644</v>
      </c>
      <c r="I562" s="26" t="s">
        <v>3663</v>
      </c>
      <c r="J562" s="6" t="s">
        <v>1159</v>
      </c>
      <c r="K562" s="6" t="s">
        <v>2935</v>
      </c>
      <c r="L562" s="6" t="s">
        <v>2936</v>
      </c>
      <c r="M562" s="6" t="s">
        <v>532</v>
      </c>
      <c r="O562" t="e">
        <f>VLOOKUP(C562,#REF!,12,FALSE)</f>
        <v>#REF!</v>
      </c>
    </row>
    <row r="563" spans="1:15">
      <c r="A563" s="17">
        <v>562</v>
      </c>
      <c r="B563" s="6" t="s">
        <v>1173</v>
      </c>
      <c r="C563" s="7">
        <v>2022396848</v>
      </c>
      <c r="D563" s="7">
        <v>2201010678</v>
      </c>
      <c r="E563" s="7" t="s">
        <v>1811</v>
      </c>
      <c r="F563" s="17" t="e">
        <f>VLOOKUP('2501_MIS '!C563,'[1]Fast Track '!B:K,10,FALSE)</f>
        <v>#N/A</v>
      </c>
      <c r="G563" s="17" t="str">
        <f>VLOOKUP(C563,[2]Sheet7!A:D,4,FALSE)</f>
        <v>Promoted</v>
      </c>
      <c r="H563" s="45" t="s">
        <v>3644</v>
      </c>
      <c r="I563" s="26" t="s">
        <v>3663</v>
      </c>
      <c r="J563" s="6" t="s">
        <v>1174</v>
      </c>
      <c r="K563" s="6" t="s">
        <v>2937</v>
      </c>
      <c r="L563" s="6" t="s">
        <v>2938</v>
      </c>
      <c r="M563" s="6" t="s">
        <v>532</v>
      </c>
      <c r="O563" t="e">
        <f>VLOOKUP(C563,#REF!,12,FALSE)</f>
        <v>#REF!</v>
      </c>
    </row>
    <row r="564" spans="1:15">
      <c r="A564" s="17">
        <v>563</v>
      </c>
      <c r="B564" s="6" t="s">
        <v>1187</v>
      </c>
      <c r="C564" s="7">
        <v>2022445249</v>
      </c>
      <c r="D564" s="7">
        <v>2201010690</v>
      </c>
      <c r="E564" s="7" t="s">
        <v>1811</v>
      </c>
      <c r="F564" s="17" t="e">
        <f>VLOOKUP('2501_MIS '!C564,'[1]Fast Track '!B:K,10,FALSE)</f>
        <v>#N/A</v>
      </c>
      <c r="G564" s="17" t="str">
        <f>VLOOKUP(C564,[2]Sheet7!A:D,4,FALSE)</f>
        <v>Promoted</v>
      </c>
      <c r="H564" s="45" t="s">
        <v>3644</v>
      </c>
      <c r="I564" s="26" t="s">
        <v>3663</v>
      </c>
      <c r="J564" s="6" t="s">
        <v>1188</v>
      </c>
      <c r="K564" s="6" t="s">
        <v>2939</v>
      </c>
      <c r="L564" s="6" t="s">
        <v>2940</v>
      </c>
      <c r="M564" s="6" t="s">
        <v>532</v>
      </c>
      <c r="O564" t="e">
        <f>VLOOKUP(C564,#REF!,12,FALSE)</f>
        <v>#REF!</v>
      </c>
    </row>
    <row r="565" spans="1:15">
      <c r="A565" s="17">
        <v>564</v>
      </c>
      <c r="B565" s="6" t="s">
        <v>1150</v>
      </c>
      <c r="C565" s="7">
        <v>2022006059</v>
      </c>
      <c r="D565" s="7">
        <v>2201010738</v>
      </c>
      <c r="E565" s="7" t="s">
        <v>1811</v>
      </c>
      <c r="F565" s="17" t="e">
        <f>VLOOKUP('2501_MIS '!C565,'[1]Fast Track '!B:K,10,FALSE)</f>
        <v>#N/A</v>
      </c>
      <c r="G565" s="17" t="str">
        <f>VLOOKUP(C565,[2]Sheet7!A:D,4,FALSE)</f>
        <v>Promoted</v>
      </c>
      <c r="H565" s="45" t="s">
        <v>3644</v>
      </c>
      <c r="I565" s="26" t="s">
        <v>3663</v>
      </c>
      <c r="J565" s="6" t="s">
        <v>1151</v>
      </c>
      <c r="K565" s="6" t="s">
        <v>2941</v>
      </c>
      <c r="L565" s="6" t="s">
        <v>2942</v>
      </c>
      <c r="M565" s="6" t="s">
        <v>532</v>
      </c>
      <c r="O565" t="e">
        <f>VLOOKUP(C565,#REF!,12,FALSE)</f>
        <v>#REF!</v>
      </c>
    </row>
    <row r="566" spans="1:15">
      <c r="A566" s="17">
        <v>565</v>
      </c>
      <c r="B566" s="6" t="s">
        <v>1142</v>
      </c>
      <c r="C566" s="7">
        <v>2022005125</v>
      </c>
      <c r="D566" s="7">
        <v>2201010748</v>
      </c>
      <c r="E566" s="7" t="s">
        <v>1811</v>
      </c>
      <c r="F566" s="17" t="e">
        <f>VLOOKUP('2501_MIS '!C566,'[1]Fast Track '!B:K,10,FALSE)</f>
        <v>#N/A</v>
      </c>
      <c r="G566" s="17" t="str">
        <f>VLOOKUP(C566,[2]Sheet7!A:D,4,FALSE)</f>
        <v>Promoted</v>
      </c>
      <c r="H566" s="45" t="s">
        <v>3644</v>
      </c>
      <c r="I566" s="26" t="s">
        <v>3663</v>
      </c>
      <c r="J566" s="6" t="s">
        <v>1143</v>
      </c>
      <c r="K566" s="6" t="s">
        <v>2943</v>
      </c>
      <c r="L566" s="6" t="s">
        <v>2944</v>
      </c>
      <c r="M566" s="6" t="s">
        <v>532</v>
      </c>
      <c r="O566" t="e">
        <f>VLOOKUP(C566,#REF!,12,FALSE)</f>
        <v>#REF!</v>
      </c>
    </row>
    <row r="567" spans="1:15">
      <c r="A567" s="17">
        <v>566</v>
      </c>
      <c r="B567" s="6" t="s">
        <v>1181</v>
      </c>
      <c r="C567" s="7">
        <v>2022413409</v>
      </c>
      <c r="D567" s="7">
        <v>2201010760</v>
      </c>
      <c r="E567" s="7" t="s">
        <v>1811</v>
      </c>
      <c r="F567" s="17" t="e">
        <f>VLOOKUP('2501_MIS '!C567,'[1]Fast Track '!B:K,10,FALSE)</f>
        <v>#N/A</v>
      </c>
      <c r="G567" s="17" t="str">
        <f>VLOOKUP(C567,[2]Sheet7!A:D,4,FALSE)</f>
        <v>Promoted</v>
      </c>
      <c r="H567" s="45" t="s">
        <v>3644</v>
      </c>
      <c r="I567" s="26" t="s">
        <v>3663</v>
      </c>
      <c r="J567" s="6" t="s">
        <v>1182</v>
      </c>
      <c r="K567" s="6" t="s">
        <v>2945</v>
      </c>
      <c r="L567" s="6" t="s">
        <v>2946</v>
      </c>
      <c r="M567" s="6" t="s">
        <v>532</v>
      </c>
      <c r="O567" t="e">
        <f>VLOOKUP(C567,#REF!,12,FALSE)</f>
        <v>#REF!</v>
      </c>
    </row>
    <row r="568" spans="1:15">
      <c r="A568" s="17">
        <v>567</v>
      </c>
      <c r="B568" s="6" t="s">
        <v>1169</v>
      </c>
      <c r="C568" s="7">
        <v>2022354885</v>
      </c>
      <c r="D568" s="7">
        <v>2201010772</v>
      </c>
      <c r="E568" s="7" t="s">
        <v>1811</v>
      </c>
      <c r="F568" s="17" t="e">
        <f>VLOOKUP('2501_MIS '!C568,'[1]Fast Track '!B:K,10,FALSE)</f>
        <v>#N/A</v>
      </c>
      <c r="G568" s="17" t="str">
        <f>VLOOKUP(C568,[2]Sheet7!A:D,4,FALSE)</f>
        <v>Promoted</v>
      </c>
      <c r="H568" s="45" t="s">
        <v>3644</v>
      </c>
      <c r="I568" s="26" t="s">
        <v>3663</v>
      </c>
      <c r="J568" s="6" t="s">
        <v>1170</v>
      </c>
      <c r="K568" s="6" t="s">
        <v>2947</v>
      </c>
      <c r="L568" s="6" t="s">
        <v>2948</v>
      </c>
      <c r="M568" s="6" t="s">
        <v>532</v>
      </c>
      <c r="O568" t="e">
        <f>VLOOKUP(C568,#REF!,12,FALSE)</f>
        <v>#REF!</v>
      </c>
    </row>
    <row r="569" spans="1:15">
      <c r="A569" s="17">
        <v>568</v>
      </c>
      <c r="B569" s="6" t="s">
        <v>1138</v>
      </c>
      <c r="C569" s="7">
        <v>2022003792</v>
      </c>
      <c r="D569" s="7">
        <v>2201010777</v>
      </c>
      <c r="E569" s="7" t="s">
        <v>1811</v>
      </c>
      <c r="F569" s="17" t="e">
        <f>VLOOKUP('2501_MIS '!C569,'[1]Fast Track '!B:K,10,FALSE)</f>
        <v>#N/A</v>
      </c>
      <c r="G569" s="17" t="str">
        <f>VLOOKUP(C569,[2]Sheet7!A:D,4,FALSE)</f>
        <v>Promoted</v>
      </c>
      <c r="H569" s="45" t="s">
        <v>3644</v>
      </c>
      <c r="I569" s="26" t="s">
        <v>3663</v>
      </c>
      <c r="J569" s="6" t="s">
        <v>1139</v>
      </c>
      <c r="K569" s="6" t="s">
        <v>2951</v>
      </c>
      <c r="L569" s="6" t="s">
        <v>2952</v>
      </c>
      <c r="M569" s="6" t="s">
        <v>532</v>
      </c>
      <c r="O569" t="e">
        <f>VLOOKUP(C569,#REF!,12,FALSE)</f>
        <v>#REF!</v>
      </c>
    </row>
    <row r="570" spans="1:15">
      <c r="A570" s="17">
        <v>569</v>
      </c>
      <c r="B570" s="6" t="s">
        <v>1213</v>
      </c>
      <c r="C570" s="7">
        <v>2022498647</v>
      </c>
      <c r="D570" s="7">
        <v>2201010789</v>
      </c>
      <c r="E570" s="7" t="s">
        <v>1811</v>
      </c>
      <c r="F570" s="17" t="e">
        <f>VLOOKUP('2501_MIS '!C570,'[1]Fast Track '!B:K,10,FALSE)</f>
        <v>#N/A</v>
      </c>
      <c r="G570" s="17" t="str">
        <f>VLOOKUP(C570,[2]Sheet7!A:D,4,FALSE)</f>
        <v>Promoted</v>
      </c>
      <c r="H570" s="45" t="s">
        <v>3644</v>
      </c>
      <c r="I570" s="26" t="s">
        <v>3663</v>
      </c>
      <c r="J570" s="6" t="s">
        <v>1214</v>
      </c>
      <c r="K570" s="6" t="s">
        <v>2953</v>
      </c>
      <c r="L570" s="6" t="s">
        <v>2954</v>
      </c>
      <c r="M570" s="6" t="s">
        <v>532</v>
      </c>
      <c r="O570" t="e">
        <f>VLOOKUP(C570,#REF!,12,FALSE)</f>
        <v>#REF!</v>
      </c>
    </row>
    <row r="571" spans="1:15">
      <c r="A571" s="17">
        <v>570</v>
      </c>
      <c r="B571" s="6" t="s">
        <v>1225</v>
      </c>
      <c r="C571" s="7">
        <v>2022521262</v>
      </c>
      <c r="D571" s="7">
        <v>2201010792</v>
      </c>
      <c r="E571" s="7" t="s">
        <v>1811</v>
      </c>
      <c r="F571" s="17" t="e">
        <f>VLOOKUP('2501_MIS '!C571,'[1]Fast Track '!B:K,10,FALSE)</f>
        <v>#N/A</v>
      </c>
      <c r="G571" s="17" t="str">
        <f>VLOOKUP(C571,[2]Sheet7!A:D,4,FALSE)</f>
        <v>Promoted</v>
      </c>
      <c r="H571" s="45" t="s">
        <v>3644</v>
      </c>
      <c r="I571" s="26" t="s">
        <v>3663</v>
      </c>
      <c r="J571" s="6" t="s">
        <v>1226</v>
      </c>
      <c r="K571" s="6" t="s">
        <v>2955</v>
      </c>
      <c r="L571" s="6" t="s">
        <v>2956</v>
      </c>
      <c r="M571" s="6" t="s">
        <v>532</v>
      </c>
      <c r="O571" t="e">
        <f>VLOOKUP(C571,#REF!,12,FALSE)</f>
        <v>#REF!</v>
      </c>
    </row>
    <row r="572" spans="1:15">
      <c r="A572" s="17">
        <v>571</v>
      </c>
      <c r="B572" s="6" t="s">
        <v>465</v>
      </c>
      <c r="C572" s="7">
        <v>2022339160</v>
      </c>
      <c r="D572" s="7">
        <v>2201010808</v>
      </c>
      <c r="E572" s="7" t="s">
        <v>1811</v>
      </c>
      <c r="F572" s="17" t="e">
        <f>VLOOKUP('2501_MIS '!C572,'[1]Fast Track '!B:K,10,FALSE)</f>
        <v>#N/A</v>
      </c>
      <c r="G572" s="17" t="str">
        <f>VLOOKUP(C572,[2]Sheet7!A:D,4,FALSE)</f>
        <v>Promoted</v>
      </c>
      <c r="H572" s="45" t="s">
        <v>3644</v>
      </c>
      <c r="I572" s="26" t="s">
        <v>3663</v>
      </c>
      <c r="J572" s="6" t="s">
        <v>1164</v>
      </c>
      <c r="K572" s="6" t="s">
        <v>2957</v>
      </c>
      <c r="L572" s="6" t="s">
        <v>2958</v>
      </c>
      <c r="M572" s="6" t="s">
        <v>532</v>
      </c>
      <c r="O572" t="e">
        <f>VLOOKUP(C572,#REF!,12,FALSE)</f>
        <v>#REF!</v>
      </c>
    </row>
    <row r="573" spans="1:15">
      <c r="A573" s="17">
        <v>572</v>
      </c>
      <c r="B573" s="6" t="s">
        <v>1154</v>
      </c>
      <c r="C573" s="7">
        <v>2022007267</v>
      </c>
      <c r="D573" s="7">
        <v>2201010838</v>
      </c>
      <c r="E573" s="7" t="s">
        <v>1811</v>
      </c>
      <c r="F573" s="17" t="e">
        <f>VLOOKUP('2501_MIS '!C573,'[1]Fast Track '!B:K,10,FALSE)</f>
        <v>#N/A</v>
      </c>
      <c r="G573" s="17" t="str">
        <f>VLOOKUP(C573,[2]Sheet7!A:D,4,FALSE)</f>
        <v>Promoted</v>
      </c>
      <c r="H573" s="45" t="s">
        <v>3644</v>
      </c>
      <c r="I573" s="26" t="s">
        <v>3663</v>
      </c>
      <c r="J573" s="6" t="s">
        <v>1155</v>
      </c>
      <c r="K573" s="6" t="s">
        <v>2959</v>
      </c>
      <c r="L573" s="6" t="s">
        <v>2960</v>
      </c>
      <c r="M573" s="6" t="s">
        <v>532</v>
      </c>
      <c r="O573" t="e">
        <f>VLOOKUP(C573,#REF!,12,FALSE)</f>
        <v>#REF!</v>
      </c>
    </row>
    <row r="574" spans="1:15">
      <c r="A574" s="17">
        <v>573</v>
      </c>
      <c r="B574" s="6" t="s">
        <v>1237</v>
      </c>
      <c r="C574" s="7">
        <v>2022620180</v>
      </c>
      <c r="D574" s="7">
        <v>2201010904</v>
      </c>
      <c r="E574" s="7" t="s">
        <v>1811</v>
      </c>
      <c r="F574" s="17" t="e">
        <f>VLOOKUP('2501_MIS '!C574,'[1]Fast Track '!B:K,10,FALSE)</f>
        <v>#N/A</v>
      </c>
      <c r="G574" s="17" t="str">
        <f>VLOOKUP(C574,[2]Sheet7!A:D,4,FALSE)</f>
        <v>Promoted</v>
      </c>
      <c r="H574" s="45" t="s">
        <v>3644</v>
      </c>
      <c r="I574" s="26" t="s">
        <v>3663</v>
      </c>
      <c r="J574" s="6" t="s">
        <v>1238</v>
      </c>
      <c r="K574" s="6" t="s">
        <v>2961</v>
      </c>
      <c r="L574" s="6" t="s">
        <v>2962</v>
      </c>
      <c r="M574" s="6" t="s">
        <v>532</v>
      </c>
      <c r="O574" t="e">
        <f>VLOOKUP(C574,#REF!,12,FALSE)</f>
        <v>#REF!</v>
      </c>
    </row>
    <row r="575" spans="1:15">
      <c r="A575" s="17">
        <v>574</v>
      </c>
      <c r="B575" s="6" t="s">
        <v>1203</v>
      </c>
      <c r="C575" s="7">
        <v>2022479218</v>
      </c>
      <c r="D575" s="7">
        <v>2201010929</v>
      </c>
      <c r="E575" s="7" t="s">
        <v>1811</v>
      </c>
      <c r="F575" s="17" t="e">
        <f>VLOOKUP('2501_MIS '!C575,'[1]Fast Track '!B:K,10,FALSE)</f>
        <v>#N/A</v>
      </c>
      <c r="G575" s="17" t="str">
        <f>VLOOKUP(C575,[2]Sheet7!A:D,4,FALSE)</f>
        <v>Promoted</v>
      </c>
      <c r="H575" s="45" t="s">
        <v>3644</v>
      </c>
      <c r="I575" s="26" t="s">
        <v>3663</v>
      </c>
      <c r="J575" s="6" t="s">
        <v>1204</v>
      </c>
      <c r="K575" s="6" t="s">
        <v>2963</v>
      </c>
      <c r="L575" s="6" t="s">
        <v>2964</v>
      </c>
      <c r="M575" s="6" t="s">
        <v>532</v>
      </c>
      <c r="O575" t="e">
        <f>VLOOKUP(C575,#REF!,12,FALSE)</f>
        <v>#REF!</v>
      </c>
    </row>
    <row r="576" spans="1:15">
      <c r="A576" s="17">
        <v>575</v>
      </c>
      <c r="B576" s="6" t="s">
        <v>1231</v>
      </c>
      <c r="C576" s="7">
        <v>2022600192</v>
      </c>
      <c r="D576" s="7">
        <v>2201010933</v>
      </c>
      <c r="E576" s="7" t="s">
        <v>1811</v>
      </c>
      <c r="F576" s="17" t="e">
        <f>VLOOKUP('2501_MIS '!C576,'[1]Fast Track '!B:K,10,FALSE)</f>
        <v>#N/A</v>
      </c>
      <c r="G576" s="17" t="str">
        <f>VLOOKUP(C576,[2]Sheet7!A:D,4,FALSE)</f>
        <v>Promoted</v>
      </c>
      <c r="H576" s="45" t="s">
        <v>3644</v>
      </c>
      <c r="I576" s="26" t="s">
        <v>3663</v>
      </c>
      <c r="J576" s="6" t="s">
        <v>1232</v>
      </c>
      <c r="K576" s="6" t="s">
        <v>2965</v>
      </c>
      <c r="L576" s="6" t="s">
        <v>2966</v>
      </c>
      <c r="M576" s="6" t="s">
        <v>532</v>
      </c>
      <c r="O576" t="e">
        <f>VLOOKUP(C576,#REF!,12,FALSE)</f>
        <v>#REF!</v>
      </c>
    </row>
    <row r="577" spans="1:15">
      <c r="A577" s="17">
        <v>576</v>
      </c>
      <c r="B577" s="6" t="s">
        <v>1233</v>
      </c>
      <c r="C577" s="7">
        <v>2022601761</v>
      </c>
      <c r="D577" s="7">
        <v>2201010934</v>
      </c>
      <c r="E577" s="7" t="s">
        <v>1811</v>
      </c>
      <c r="F577" s="17" t="e">
        <f>VLOOKUP('2501_MIS '!C577,'[1]Fast Track '!B:K,10,FALSE)</f>
        <v>#N/A</v>
      </c>
      <c r="G577" s="17" t="str">
        <f>VLOOKUP(C577,[2]Sheet7!A:D,4,FALSE)</f>
        <v>Promoted</v>
      </c>
      <c r="H577" s="45" t="s">
        <v>3644</v>
      </c>
      <c r="I577" s="26" t="s">
        <v>3663</v>
      </c>
      <c r="J577" s="6" t="s">
        <v>1234</v>
      </c>
      <c r="K577" s="6" t="s">
        <v>2967</v>
      </c>
      <c r="L577" s="6" t="s">
        <v>2968</v>
      </c>
      <c r="M577" s="6" t="s">
        <v>532</v>
      </c>
      <c r="O577" t="e">
        <f>VLOOKUP(C577,#REF!,12,FALSE)</f>
        <v>#REF!</v>
      </c>
    </row>
    <row r="578" spans="1:15">
      <c r="A578" s="17">
        <v>577</v>
      </c>
      <c r="B578" s="6" t="s">
        <v>1235</v>
      </c>
      <c r="C578" s="7">
        <v>2022610396</v>
      </c>
      <c r="D578" s="7">
        <v>2201010937</v>
      </c>
      <c r="E578" s="7" t="s">
        <v>1811</v>
      </c>
      <c r="F578" s="17" t="e">
        <f>VLOOKUP('2501_MIS '!C578,'[1]Fast Track '!B:K,10,FALSE)</f>
        <v>#N/A</v>
      </c>
      <c r="G578" s="17" t="str">
        <f>VLOOKUP(C578,[2]Sheet7!A:D,4,FALSE)</f>
        <v>Promoted</v>
      </c>
      <c r="H578" s="45" t="s">
        <v>3644</v>
      </c>
      <c r="I578" s="26" t="s">
        <v>3663</v>
      </c>
      <c r="J578" s="6" t="s">
        <v>1236</v>
      </c>
      <c r="K578" s="6" t="s">
        <v>2969</v>
      </c>
      <c r="L578" s="6" t="s">
        <v>2970</v>
      </c>
      <c r="M578" s="6" t="s">
        <v>532</v>
      </c>
      <c r="O578" t="e">
        <f>VLOOKUP(C578,#REF!,12,FALSE)</f>
        <v>#REF!</v>
      </c>
    </row>
    <row r="579" spans="1:15">
      <c r="A579" s="17">
        <v>578</v>
      </c>
      <c r="B579" s="6" t="s">
        <v>1239</v>
      </c>
      <c r="C579" s="7">
        <v>2022623133</v>
      </c>
      <c r="D579" s="7">
        <v>2201010939</v>
      </c>
      <c r="E579" s="7" t="s">
        <v>1811</v>
      </c>
      <c r="F579" s="17" t="e">
        <f>VLOOKUP('2501_MIS '!C579,'[1]Fast Track '!B:K,10,FALSE)</f>
        <v>#N/A</v>
      </c>
      <c r="G579" s="17" t="str">
        <f>VLOOKUP(C579,[2]Sheet7!A:D,4,FALSE)</f>
        <v>Promoted</v>
      </c>
      <c r="H579" s="45" t="s">
        <v>3644</v>
      </c>
      <c r="I579" s="26" t="s">
        <v>3663</v>
      </c>
      <c r="J579" s="6" t="s">
        <v>1240</v>
      </c>
      <c r="K579" s="6" t="s">
        <v>2971</v>
      </c>
      <c r="L579" s="6" t="s">
        <v>2972</v>
      </c>
      <c r="M579" s="6" t="s">
        <v>532</v>
      </c>
      <c r="O579" t="e">
        <f>VLOOKUP(C579,#REF!,12,FALSE)</f>
        <v>#REF!</v>
      </c>
    </row>
    <row r="580" spans="1:15">
      <c r="A580" s="17">
        <v>579</v>
      </c>
      <c r="B580" s="6" t="s">
        <v>1375</v>
      </c>
      <c r="C580" s="7">
        <v>2021362606</v>
      </c>
      <c r="D580" s="7">
        <v>210101044</v>
      </c>
      <c r="E580" s="7" t="s">
        <v>1812</v>
      </c>
      <c r="F580" s="17" t="e">
        <f>VLOOKUP('2501_MIS '!C580,'[1]Fast Track '!B:K,10,FALSE)</f>
        <v>#N/A</v>
      </c>
      <c r="G580" s="17" t="str">
        <f>VLOOKUP(C580,[2]Sheet7!A:D,4,FALSE)</f>
        <v>Not Promoted</v>
      </c>
      <c r="H580" s="45" t="s">
        <v>3645</v>
      </c>
      <c r="I580" s="26" t="s">
        <v>3664</v>
      </c>
      <c r="J580" s="6" t="s">
        <v>1376</v>
      </c>
      <c r="K580" s="6" t="s">
        <v>3107</v>
      </c>
      <c r="L580" s="6" t="s">
        <v>3108</v>
      </c>
      <c r="M580" s="6" t="s">
        <v>532</v>
      </c>
      <c r="O580" t="e">
        <f>VLOOKUP(C580,#REF!,12,FALSE)</f>
        <v>#REF!</v>
      </c>
    </row>
    <row r="581" spans="1:15">
      <c r="A581" s="17">
        <v>580</v>
      </c>
      <c r="B581" s="6" t="s">
        <v>377</v>
      </c>
      <c r="C581" s="7">
        <v>2021518169</v>
      </c>
      <c r="D581" s="7">
        <v>210101063</v>
      </c>
      <c r="E581" s="7" t="s">
        <v>1812</v>
      </c>
      <c r="F581" s="17" t="e">
        <f>VLOOKUP('2501_MIS '!C581,'[1]Fast Track '!B:K,10,FALSE)</f>
        <v>#N/A</v>
      </c>
      <c r="G581" s="17" t="str">
        <f>VLOOKUP(C581,[2]Sheet7!A:D,4,FALSE)</f>
        <v>Not Promoted</v>
      </c>
      <c r="H581" s="45" t="s">
        <v>3645</v>
      </c>
      <c r="I581" s="26" t="s">
        <v>3664</v>
      </c>
      <c r="J581" s="11" t="s">
        <v>1504</v>
      </c>
      <c r="K581" s="6" t="s">
        <v>3109</v>
      </c>
      <c r="L581" s="6" t="s">
        <v>3110</v>
      </c>
      <c r="M581" s="6" t="s">
        <v>532</v>
      </c>
      <c r="O581" t="e">
        <f>VLOOKUP(C581,#REF!,12,FALSE)</f>
        <v>#REF!</v>
      </c>
    </row>
    <row r="582" spans="1:15">
      <c r="A582" s="17">
        <v>581</v>
      </c>
      <c r="B582" s="16" t="s">
        <v>47</v>
      </c>
      <c r="C582" s="16">
        <v>2021455580</v>
      </c>
      <c r="D582" s="7">
        <v>210101114</v>
      </c>
      <c r="E582" s="7" t="s">
        <v>1812</v>
      </c>
      <c r="F582" s="17" t="e">
        <f>VLOOKUP('2501_MIS '!C582,'[1]Fast Track '!B:K,10,FALSE)</f>
        <v>#N/A</v>
      </c>
      <c r="G582" s="17" t="str">
        <f>VLOOKUP(C582,[2]Sheet7!A:D,4,FALSE)</f>
        <v>Not Promoted</v>
      </c>
      <c r="H582" s="45" t="s">
        <v>3645</v>
      </c>
      <c r="I582" s="26" t="s">
        <v>3664</v>
      </c>
      <c r="J582" s="59" t="s">
        <v>3689</v>
      </c>
      <c r="K582" s="6" t="s">
        <v>3111</v>
      </c>
      <c r="L582" s="6">
        <v>8707071635</v>
      </c>
      <c r="M582" s="6" t="s">
        <v>532</v>
      </c>
      <c r="O582" t="e">
        <f>VLOOKUP(C582,#REF!,12,FALSE)</f>
        <v>#REF!</v>
      </c>
    </row>
    <row r="583" spans="1:15">
      <c r="A583" s="17">
        <v>582</v>
      </c>
      <c r="B583" s="6" t="s">
        <v>1498</v>
      </c>
      <c r="C583" s="7">
        <v>2021341739</v>
      </c>
      <c r="D583" s="7">
        <v>210101150</v>
      </c>
      <c r="E583" s="7" t="s">
        <v>1812</v>
      </c>
      <c r="F583" s="17" t="e">
        <f>VLOOKUP('2501_MIS '!C583,'[1]Fast Track '!B:K,10,FALSE)</f>
        <v>#N/A</v>
      </c>
      <c r="G583" s="17" t="str">
        <f>VLOOKUP(C583,[2]Sheet7!A:D,4,FALSE)</f>
        <v>Not Promoted</v>
      </c>
      <c r="H583" s="45" t="s">
        <v>3645</v>
      </c>
      <c r="I583" s="26" t="s">
        <v>3664</v>
      </c>
      <c r="J583" s="11" t="s">
        <v>1499</v>
      </c>
      <c r="K583" s="6" t="s">
        <v>3112</v>
      </c>
      <c r="L583" s="6" t="s">
        <v>3113</v>
      </c>
      <c r="M583" s="6" t="s">
        <v>532</v>
      </c>
      <c r="O583" t="e">
        <f>VLOOKUP(C583,#REF!,12,FALSE)</f>
        <v>#REF!</v>
      </c>
    </row>
    <row r="584" spans="1:15">
      <c r="A584" s="17">
        <v>583</v>
      </c>
      <c r="B584" s="6" t="s">
        <v>1502</v>
      </c>
      <c r="C584" s="7">
        <v>2021399162</v>
      </c>
      <c r="D584" s="7">
        <v>210101172</v>
      </c>
      <c r="E584" s="7" t="s">
        <v>1812</v>
      </c>
      <c r="F584" s="17" t="e">
        <f>VLOOKUP('2501_MIS '!C584,'[1]Fast Track '!B:K,10,FALSE)</f>
        <v>#N/A</v>
      </c>
      <c r="G584" s="17" t="str">
        <f>VLOOKUP(C584,[2]Sheet7!A:D,4,FALSE)</f>
        <v>Not Promoted</v>
      </c>
      <c r="H584" s="45" t="s">
        <v>3645</v>
      </c>
      <c r="I584" s="26" t="s">
        <v>3664</v>
      </c>
      <c r="J584" s="6" t="s">
        <v>1503</v>
      </c>
      <c r="K584" s="6" t="s">
        <v>3114</v>
      </c>
      <c r="L584" s="6" t="s">
        <v>3115</v>
      </c>
      <c r="M584" s="6" t="s">
        <v>532</v>
      </c>
      <c r="O584" t="e">
        <f>VLOOKUP(C584,#REF!,12,FALSE)</f>
        <v>#REF!</v>
      </c>
    </row>
    <row r="585" spans="1:15">
      <c r="A585" s="17">
        <v>584</v>
      </c>
      <c r="B585" s="16" t="s">
        <v>1800</v>
      </c>
      <c r="C585" s="16">
        <v>2021411743</v>
      </c>
      <c r="D585" s="7">
        <v>210101211</v>
      </c>
      <c r="E585" s="7" t="s">
        <v>1812</v>
      </c>
      <c r="F585" s="17" t="e">
        <f>VLOOKUP('2501_MIS '!C585,'[1]Fast Track '!B:K,10,FALSE)</f>
        <v>#N/A</v>
      </c>
      <c r="G585" s="17" t="str">
        <f>VLOOKUP(C585,[2]Sheet7!A:D,4,FALSE)</f>
        <v>Not Promoted</v>
      </c>
      <c r="H585" s="45" t="s">
        <v>3645</v>
      </c>
      <c r="I585" s="26" t="s">
        <v>3664</v>
      </c>
      <c r="J585" s="16"/>
      <c r="K585" s="6" t="s">
        <v>3116</v>
      </c>
      <c r="L585" s="6">
        <v>9399130373</v>
      </c>
      <c r="M585" s="6" t="s">
        <v>532</v>
      </c>
      <c r="O585" t="e">
        <f>VLOOKUP(C585,#REF!,12,FALSE)</f>
        <v>#REF!</v>
      </c>
    </row>
    <row r="586" spans="1:15">
      <c r="A586" s="17">
        <v>585</v>
      </c>
      <c r="B586" s="6" t="s">
        <v>1500</v>
      </c>
      <c r="C586" s="7">
        <v>2021344584</v>
      </c>
      <c r="D586" s="7">
        <v>210101214</v>
      </c>
      <c r="E586" s="7" t="s">
        <v>1812</v>
      </c>
      <c r="F586" s="17" t="e">
        <f>VLOOKUP('2501_MIS '!C586,'[1]Fast Track '!B:K,10,FALSE)</f>
        <v>#N/A</v>
      </c>
      <c r="G586" s="17" t="str">
        <f>VLOOKUP(C586,[2]Sheet7!A:D,4,FALSE)</f>
        <v>Not Promoted</v>
      </c>
      <c r="H586" s="45" t="s">
        <v>3645</v>
      </c>
      <c r="I586" s="26" t="s">
        <v>3664</v>
      </c>
      <c r="J586" s="11" t="s">
        <v>1501</v>
      </c>
      <c r="K586" s="6" t="s">
        <v>3117</v>
      </c>
      <c r="L586" s="6" t="s">
        <v>3118</v>
      </c>
      <c r="M586" s="6" t="s">
        <v>532</v>
      </c>
      <c r="O586" t="e">
        <f>VLOOKUP(C586,#REF!,12,FALSE)</f>
        <v>#REF!</v>
      </c>
    </row>
    <row r="587" spans="1:15">
      <c r="A587" s="17">
        <v>586</v>
      </c>
      <c r="B587" s="6" t="s">
        <v>1268</v>
      </c>
      <c r="C587" s="7">
        <v>2021390811</v>
      </c>
      <c r="D587" s="7">
        <v>210101238</v>
      </c>
      <c r="E587" s="7" t="s">
        <v>1812</v>
      </c>
      <c r="F587" s="17" t="e">
        <f>VLOOKUP('2501_MIS '!C587,'[1]Fast Track '!B:K,10,FALSE)</f>
        <v>#N/A</v>
      </c>
      <c r="G587" s="17" t="str">
        <f>VLOOKUP(C587,[2]Sheet7!A:D,4,FALSE)</f>
        <v>Promoted</v>
      </c>
      <c r="H587" s="45" t="s">
        <v>3645</v>
      </c>
      <c r="I587" s="26" t="s">
        <v>3664</v>
      </c>
      <c r="J587" s="6" t="s">
        <v>1269</v>
      </c>
      <c r="K587" s="6" t="s">
        <v>3119</v>
      </c>
      <c r="L587" s="6" t="s">
        <v>3120</v>
      </c>
      <c r="M587" s="6" t="s">
        <v>532</v>
      </c>
      <c r="O587" t="e">
        <f>VLOOKUP(C587,#REF!,12,FALSE)</f>
        <v>#REF!</v>
      </c>
    </row>
    <row r="588" spans="1:15">
      <c r="A588" s="17">
        <v>587</v>
      </c>
      <c r="B588" s="6" t="s">
        <v>1266</v>
      </c>
      <c r="C588" s="7">
        <v>2021369165</v>
      </c>
      <c r="D588" s="7">
        <v>2101134004</v>
      </c>
      <c r="E588" s="7" t="s">
        <v>1812</v>
      </c>
      <c r="F588" s="17" t="e">
        <f>VLOOKUP('2501_MIS '!C588,'[1]Fast Track '!B:K,10,FALSE)</f>
        <v>#N/A</v>
      </c>
      <c r="G588" s="17" t="str">
        <f>VLOOKUP(C588,[2]Sheet7!A:D,4,FALSE)</f>
        <v>Promoted</v>
      </c>
      <c r="H588" s="45" t="s">
        <v>3645</v>
      </c>
      <c r="I588" s="26" t="s">
        <v>3664</v>
      </c>
      <c r="J588" s="11" t="s">
        <v>1267</v>
      </c>
      <c r="K588" s="6" t="s">
        <v>3121</v>
      </c>
      <c r="L588" s="6" t="s">
        <v>3122</v>
      </c>
      <c r="M588" s="6" t="s">
        <v>532</v>
      </c>
      <c r="O588" t="e">
        <f>VLOOKUP(C588,#REF!,12,FALSE)</f>
        <v>#REF!</v>
      </c>
    </row>
    <row r="589" spans="1:15">
      <c r="A589" s="17">
        <v>588</v>
      </c>
      <c r="B589" s="6" t="s">
        <v>1277</v>
      </c>
      <c r="C589" s="7">
        <v>2022004949</v>
      </c>
      <c r="D589" s="7">
        <v>2201010006</v>
      </c>
      <c r="E589" s="7" t="s">
        <v>1812</v>
      </c>
      <c r="F589" s="17" t="e">
        <f>VLOOKUP('2501_MIS '!C589,'[1]Fast Track '!B:K,10,FALSE)</f>
        <v>#N/A</v>
      </c>
      <c r="G589" s="17" t="str">
        <f>VLOOKUP(C589,[2]Sheet7!A:D,4,FALSE)</f>
        <v>Promoted</v>
      </c>
      <c r="H589" s="45" t="s">
        <v>3645</v>
      </c>
      <c r="I589" s="26" t="s">
        <v>3664</v>
      </c>
      <c r="J589" s="6" t="s">
        <v>1278</v>
      </c>
      <c r="K589" s="6" t="s">
        <v>3123</v>
      </c>
      <c r="L589" s="6" t="s">
        <v>3124</v>
      </c>
      <c r="M589" s="6" t="s">
        <v>532</v>
      </c>
      <c r="O589" t="e">
        <f>VLOOKUP(C589,#REF!,12,FALSE)</f>
        <v>#REF!</v>
      </c>
    </row>
    <row r="590" spans="1:15">
      <c r="A590" s="17">
        <v>589</v>
      </c>
      <c r="B590" s="6" t="s">
        <v>1287</v>
      </c>
      <c r="C590" s="7">
        <v>2022006849</v>
      </c>
      <c r="D590" s="7">
        <v>2201010092</v>
      </c>
      <c r="E590" s="7" t="s">
        <v>1812</v>
      </c>
      <c r="F590" s="17" t="e">
        <f>VLOOKUP('2501_MIS '!C590,'[1]Fast Track '!B:K,10,FALSE)</f>
        <v>#N/A</v>
      </c>
      <c r="G590" s="17" t="str">
        <f>VLOOKUP(C590,[2]Sheet7!A:D,4,FALSE)</f>
        <v>Promoted</v>
      </c>
      <c r="H590" s="45" t="s">
        <v>3645</v>
      </c>
      <c r="I590" s="26" t="s">
        <v>3664</v>
      </c>
      <c r="J590" s="6" t="s">
        <v>1288</v>
      </c>
      <c r="K590" s="6" t="s">
        <v>3125</v>
      </c>
      <c r="L590" s="6" t="s">
        <v>3126</v>
      </c>
      <c r="M590" s="6" t="s">
        <v>532</v>
      </c>
      <c r="O590" t="e">
        <f>VLOOKUP(C590,#REF!,12,FALSE)</f>
        <v>#REF!</v>
      </c>
    </row>
    <row r="591" spans="1:15">
      <c r="A591" s="17">
        <v>590</v>
      </c>
      <c r="B591" s="6" t="s">
        <v>1357</v>
      </c>
      <c r="C591" s="7">
        <v>2022589100</v>
      </c>
      <c r="D591" s="7">
        <v>2201010107</v>
      </c>
      <c r="E591" s="7" t="s">
        <v>1812</v>
      </c>
      <c r="F591" s="17" t="e">
        <f>VLOOKUP('2501_MIS '!C591,'[1]Fast Track '!B:K,10,FALSE)</f>
        <v>#N/A</v>
      </c>
      <c r="G591" s="17" t="str">
        <f>VLOOKUP(C591,[2]Sheet7!A:D,4,FALSE)</f>
        <v>Promoted</v>
      </c>
      <c r="H591" s="45" t="s">
        <v>3645</v>
      </c>
      <c r="I591" s="26" t="s">
        <v>3664</v>
      </c>
      <c r="J591" s="6" t="s">
        <v>1358</v>
      </c>
      <c r="K591" s="6" t="s">
        <v>3127</v>
      </c>
      <c r="L591" s="6" t="s">
        <v>3128</v>
      </c>
      <c r="M591" s="6" t="s">
        <v>532</v>
      </c>
      <c r="O591" t="e">
        <f>VLOOKUP(C591,#REF!,12,FALSE)</f>
        <v>#REF!</v>
      </c>
    </row>
    <row r="592" spans="1:15">
      <c r="A592" s="17">
        <v>591</v>
      </c>
      <c r="B592" s="6" t="s">
        <v>1328</v>
      </c>
      <c r="C592" s="7">
        <v>2022512918</v>
      </c>
      <c r="D592" s="7">
        <v>2201010170</v>
      </c>
      <c r="E592" s="7" t="s">
        <v>1812</v>
      </c>
      <c r="F592" s="17" t="e">
        <f>VLOOKUP('2501_MIS '!C592,'[1]Fast Track '!B:K,10,FALSE)</f>
        <v>#N/A</v>
      </c>
      <c r="G592" s="17" t="str">
        <f>VLOOKUP(C592,[2]Sheet7!A:D,4,FALSE)</f>
        <v>Promoted</v>
      </c>
      <c r="H592" s="45" t="s">
        <v>3645</v>
      </c>
      <c r="I592" s="26" t="s">
        <v>3664</v>
      </c>
      <c r="J592" s="6" t="s">
        <v>1329</v>
      </c>
      <c r="K592" s="6" t="s">
        <v>3129</v>
      </c>
      <c r="L592" s="6" t="s">
        <v>3130</v>
      </c>
      <c r="M592" s="6" t="s">
        <v>532</v>
      </c>
      <c r="O592" t="e">
        <f>VLOOKUP(C592,#REF!,12,FALSE)</f>
        <v>#REF!</v>
      </c>
    </row>
    <row r="593" spans="1:15">
      <c r="A593" s="17">
        <v>592</v>
      </c>
      <c r="B593" s="6" t="s">
        <v>1293</v>
      </c>
      <c r="C593" s="7">
        <v>2022309968</v>
      </c>
      <c r="D593" s="7">
        <v>2201010192</v>
      </c>
      <c r="E593" s="7" t="s">
        <v>1812</v>
      </c>
      <c r="F593" s="17" t="e">
        <f>VLOOKUP('2501_MIS '!C593,'[1]Fast Track '!B:K,10,FALSE)</f>
        <v>#N/A</v>
      </c>
      <c r="G593" s="17" t="str">
        <f>VLOOKUP(C593,[2]Sheet7!A:D,4,FALSE)</f>
        <v>Promoted</v>
      </c>
      <c r="H593" s="45" t="s">
        <v>3645</v>
      </c>
      <c r="I593" s="26" t="s">
        <v>3664</v>
      </c>
      <c r="J593" s="6" t="s">
        <v>1294</v>
      </c>
      <c r="K593" s="6" t="s">
        <v>3131</v>
      </c>
      <c r="L593" s="6" t="s">
        <v>3132</v>
      </c>
      <c r="M593" s="6" t="s">
        <v>532</v>
      </c>
      <c r="O593" t="e">
        <f>VLOOKUP(C593,#REF!,12,FALSE)</f>
        <v>#REF!</v>
      </c>
    </row>
    <row r="594" spans="1:15">
      <c r="A594" s="17">
        <v>593</v>
      </c>
      <c r="B594" s="6" t="s">
        <v>1505</v>
      </c>
      <c r="C594" s="7">
        <v>2022473465</v>
      </c>
      <c r="D594" s="7">
        <v>2201010205</v>
      </c>
      <c r="E594" s="7" t="s">
        <v>1812</v>
      </c>
      <c r="F594" s="17" t="e">
        <f>VLOOKUP('2501_MIS '!C594,'[1]Fast Track '!B:K,10,FALSE)</f>
        <v>#N/A</v>
      </c>
      <c r="G594" s="17" t="str">
        <f>VLOOKUP(C594,[2]Sheet7!A:D,4,FALSE)</f>
        <v>Promoted</v>
      </c>
      <c r="H594" s="45" t="s">
        <v>3645</v>
      </c>
      <c r="I594" s="26" t="s">
        <v>3664</v>
      </c>
      <c r="J594" s="6" t="s">
        <v>1506</v>
      </c>
      <c r="K594" s="6" t="s">
        <v>3133</v>
      </c>
      <c r="L594" s="6" t="s">
        <v>3134</v>
      </c>
      <c r="M594" s="6" t="s">
        <v>532</v>
      </c>
      <c r="O594" t="e">
        <f>VLOOKUP(C594,#REF!,12,FALSE)</f>
        <v>#REF!</v>
      </c>
    </row>
    <row r="595" spans="1:15">
      <c r="A595" s="17">
        <v>594</v>
      </c>
      <c r="B595" s="6" t="s">
        <v>1543</v>
      </c>
      <c r="C595" s="7">
        <v>2022340865</v>
      </c>
      <c r="D595" s="7">
        <v>2201010208</v>
      </c>
      <c r="E595" s="7" t="s">
        <v>1812</v>
      </c>
      <c r="F595" s="17" t="e">
        <f>VLOOKUP('2501_MIS '!C595,'[1]Fast Track '!B:K,10,FALSE)</f>
        <v>#N/A</v>
      </c>
      <c r="G595" s="17" t="str">
        <f>VLOOKUP(C595,[2]Sheet7!A:D,4,FALSE)</f>
        <v>Not Promoted</v>
      </c>
      <c r="H595" s="45" t="s">
        <v>3645</v>
      </c>
      <c r="I595" s="26" t="s">
        <v>3664</v>
      </c>
      <c r="J595" s="6" t="s">
        <v>1544</v>
      </c>
      <c r="K595" s="6" t="s">
        <v>3135</v>
      </c>
      <c r="L595" s="6" t="s">
        <v>3136</v>
      </c>
      <c r="M595" s="6" t="s">
        <v>532</v>
      </c>
      <c r="O595" t="e">
        <f>VLOOKUP(C595,#REF!,12,FALSE)</f>
        <v>#REF!</v>
      </c>
    </row>
    <row r="596" spans="1:15">
      <c r="A596" s="17">
        <v>595</v>
      </c>
      <c r="B596" s="6" t="s">
        <v>730</v>
      </c>
      <c r="C596" s="7">
        <v>2022527313</v>
      </c>
      <c r="D596" s="7">
        <v>2201010267</v>
      </c>
      <c r="E596" s="7" t="s">
        <v>1812</v>
      </c>
      <c r="F596" s="17" t="e">
        <f>VLOOKUP('2501_MIS '!C596,'[1]Fast Track '!B:K,10,FALSE)</f>
        <v>#N/A</v>
      </c>
      <c r="G596" s="17" t="str">
        <f>VLOOKUP(C596,[2]Sheet7!A:D,4,FALSE)</f>
        <v>Not Promoted</v>
      </c>
      <c r="H596" s="45" t="s">
        <v>3645</v>
      </c>
      <c r="I596" s="26" t="s">
        <v>3664</v>
      </c>
      <c r="J596" s="6" t="s">
        <v>1338</v>
      </c>
      <c r="K596" s="6" t="s">
        <v>3137</v>
      </c>
      <c r="L596" s="6" t="s">
        <v>3138</v>
      </c>
      <c r="M596" s="6" t="s">
        <v>532</v>
      </c>
      <c r="O596" t="e">
        <f>VLOOKUP(C596,#REF!,12,FALSE)</f>
        <v>#REF!</v>
      </c>
    </row>
    <row r="597" spans="1:15">
      <c r="A597" s="17">
        <v>596</v>
      </c>
      <c r="B597" s="6" t="s">
        <v>1353</v>
      </c>
      <c r="C597" s="7">
        <v>2022572764</v>
      </c>
      <c r="D597" s="7">
        <v>2201010290</v>
      </c>
      <c r="E597" s="7" t="s">
        <v>1812</v>
      </c>
      <c r="F597" s="17" t="e">
        <f>VLOOKUP('2501_MIS '!C597,'[1]Fast Track '!B:K,10,FALSE)</f>
        <v>#N/A</v>
      </c>
      <c r="G597" s="17" t="str">
        <f>VLOOKUP(C597,[2]Sheet7!A:D,4,FALSE)</f>
        <v>Promoted</v>
      </c>
      <c r="H597" s="45" t="s">
        <v>3645</v>
      </c>
      <c r="I597" s="26" t="s">
        <v>3664</v>
      </c>
      <c r="J597" s="6" t="s">
        <v>1354</v>
      </c>
      <c r="K597" s="6" t="s">
        <v>3139</v>
      </c>
      <c r="L597" s="6" t="s">
        <v>3140</v>
      </c>
      <c r="M597" s="6" t="s">
        <v>532</v>
      </c>
      <c r="O597" t="e">
        <f>VLOOKUP(C597,#REF!,12,FALSE)</f>
        <v>#REF!</v>
      </c>
    </row>
    <row r="598" spans="1:15">
      <c r="A598" s="17">
        <v>597</v>
      </c>
      <c r="B598" s="6" t="s">
        <v>1312</v>
      </c>
      <c r="C598" s="7">
        <v>2022416375</v>
      </c>
      <c r="D598" s="7">
        <v>2201010295</v>
      </c>
      <c r="E598" s="7" t="s">
        <v>1812</v>
      </c>
      <c r="F598" s="17" t="e">
        <f>VLOOKUP('2501_MIS '!C598,'[1]Fast Track '!B:K,10,FALSE)</f>
        <v>#N/A</v>
      </c>
      <c r="G598" s="17" t="str">
        <f>VLOOKUP(C598,[2]Sheet7!A:D,4,FALSE)</f>
        <v>Promoted</v>
      </c>
      <c r="H598" s="45" t="s">
        <v>3645</v>
      </c>
      <c r="I598" s="26" t="s">
        <v>3664</v>
      </c>
      <c r="J598" s="6" t="s">
        <v>1313</v>
      </c>
      <c r="K598" s="6" t="s">
        <v>3141</v>
      </c>
      <c r="L598" s="6" t="s">
        <v>3142</v>
      </c>
      <c r="M598" s="6" t="s">
        <v>532</v>
      </c>
      <c r="O598" t="e">
        <f>VLOOKUP(C598,#REF!,12,FALSE)</f>
        <v>#REF!</v>
      </c>
    </row>
    <row r="599" spans="1:15">
      <c r="A599" s="17">
        <v>598</v>
      </c>
      <c r="B599" s="6" t="s">
        <v>1270</v>
      </c>
      <c r="C599" s="7">
        <v>2022000628</v>
      </c>
      <c r="D599" s="7">
        <v>2201010313</v>
      </c>
      <c r="E599" s="7" t="s">
        <v>1812</v>
      </c>
      <c r="F599" s="17" t="e">
        <f>VLOOKUP('2501_MIS '!C599,'[1]Fast Track '!B:K,10,FALSE)</f>
        <v>#N/A</v>
      </c>
      <c r="G599" s="17" t="str">
        <f>VLOOKUP(C599,[2]Sheet7!A:D,4,FALSE)</f>
        <v>Promoted</v>
      </c>
      <c r="H599" s="45" t="s">
        <v>3645</v>
      </c>
      <c r="I599" s="26" t="s">
        <v>3664</v>
      </c>
      <c r="J599" s="6" t="s">
        <v>1271</v>
      </c>
      <c r="K599" s="6" t="s">
        <v>3143</v>
      </c>
      <c r="L599" s="6" t="s">
        <v>3144</v>
      </c>
      <c r="M599" s="6" t="s">
        <v>532</v>
      </c>
      <c r="O599" t="e">
        <f>VLOOKUP(C599,#REF!,12,FALSE)</f>
        <v>#REF!</v>
      </c>
    </row>
    <row r="600" spans="1:15">
      <c r="A600" s="17">
        <v>599</v>
      </c>
      <c r="B600" s="6" t="s">
        <v>1262</v>
      </c>
      <c r="C600" s="7">
        <v>2022512289</v>
      </c>
      <c r="D600" s="7">
        <v>2201010366</v>
      </c>
      <c r="E600" s="7" t="s">
        <v>1812</v>
      </c>
      <c r="F600" s="17" t="e">
        <f>VLOOKUP('2501_MIS '!C600,'[1]Fast Track '!B:K,10,FALSE)</f>
        <v>#N/A</v>
      </c>
      <c r="G600" s="17" t="str">
        <f>VLOOKUP(C600,[2]Sheet7!A:D,4,FALSE)</f>
        <v>Promoted</v>
      </c>
      <c r="H600" s="45" t="s">
        <v>3645</v>
      </c>
      <c r="I600" s="26" t="s">
        <v>3664</v>
      </c>
      <c r="J600" s="6" t="s">
        <v>1263</v>
      </c>
      <c r="K600" s="6" t="s">
        <v>3145</v>
      </c>
      <c r="L600" s="6" t="s">
        <v>3146</v>
      </c>
      <c r="M600" s="6" t="s">
        <v>532</v>
      </c>
      <c r="O600" t="e">
        <f>VLOOKUP(C600,#REF!,12,FALSE)</f>
        <v>#REF!</v>
      </c>
    </row>
    <row r="601" spans="1:15">
      <c r="A601" s="17">
        <v>600</v>
      </c>
      <c r="B601" s="6" t="s">
        <v>1507</v>
      </c>
      <c r="C601" s="7">
        <v>2022510361</v>
      </c>
      <c r="D601" s="7">
        <v>2201010385</v>
      </c>
      <c r="E601" s="7" t="s">
        <v>1812</v>
      </c>
      <c r="F601" s="17" t="e">
        <f>VLOOKUP('2501_MIS '!C601,'[1]Fast Track '!B:K,10,FALSE)</f>
        <v>#N/A</v>
      </c>
      <c r="G601" s="17" t="str">
        <f>VLOOKUP(C601,[2]Sheet7!A:D,4,FALSE)</f>
        <v>Not Promoted</v>
      </c>
      <c r="H601" s="45" t="s">
        <v>3645</v>
      </c>
      <c r="I601" s="26" t="s">
        <v>3664</v>
      </c>
      <c r="J601" s="6" t="s">
        <v>1508</v>
      </c>
      <c r="K601" s="6" t="s">
        <v>3147</v>
      </c>
      <c r="L601" s="6" t="s">
        <v>3148</v>
      </c>
      <c r="M601" s="6" t="s">
        <v>532</v>
      </c>
      <c r="O601" t="e">
        <f>VLOOKUP(C601,#REF!,12,FALSE)</f>
        <v>#REF!</v>
      </c>
    </row>
    <row r="602" spans="1:15">
      <c r="A602" s="17">
        <v>601</v>
      </c>
      <c r="B602" s="6" t="s">
        <v>1260</v>
      </c>
      <c r="C602" s="7">
        <v>2022449092</v>
      </c>
      <c r="D602" s="7">
        <v>2201010400</v>
      </c>
      <c r="E602" s="7" t="s">
        <v>1812</v>
      </c>
      <c r="F602" s="17" t="e">
        <f>VLOOKUP('2501_MIS '!C602,'[1]Fast Track '!B:K,10,FALSE)</f>
        <v>#N/A</v>
      </c>
      <c r="G602" s="17" t="str">
        <f>VLOOKUP(C602,[2]Sheet7!A:D,4,FALSE)</f>
        <v>Promoted</v>
      </c>
      <c r="H602" s="45" t="s">
        <v>3645</v>
      </c>
      <c r="I602" s="26" t="s">
        <v>3664</v>
      </c>
      <c r="J602" s="6" t="s">
        <v>1261</v>
      </c>
      <c r="K602" s="6" t="s">
        <v>3149</v>
      </c>
      <c r="L602" s="6" t="s">
        <v>3150</v>
      </c>
      <c r="M602" s="6" t="s">
        <v>532</v>
      </c>
      <c r="O602" t="e">
        <f>VLOOKUP(C602,#REF!,12,FALSE)</f>
        <v>#REF!</v>
      </c>
    </row>
    <row r="603" spans="1:15">
      <c r="A603" s="17">
        <v>602</v>
      </c>
      <c r="B603" s="6" t="s">
        <v>1326</v>
      </c>
      <c r="C603" s="7">
        <v>2022505589</v>
      </c>
      <c r="D603" s="7">
        <v>2201010407</v>
      </c>
      <c r="E603" s="7" t="s">
        <v>1812</v>
      </c>
      <c r="F603" s="17" t="e">
        <f>VLOOKUP('2501_MIS '!C603,'[1]Fast Track '!B:K,10,FALSE)</f>
        <v>#N/A</v>
      </c>
      <c r="G603" s="17" t="str">
        <f>VLOOKUP(C603,[2]Sheet7!A:D,4,FALSE)</f>
        <v>Promoted</v>
      </c>
      <c r="H603" s="45" t="s">
        <v>3645</v>
      </c>
      <c r="I603" s="26" t="s">
        <v>3664</v>
      </c>
      <c r="J603" s="6" t="s">
        <v>1327</v>
      </c>
      <c r="K603" s="6" t="s">
        <v>3151</v>
      </c>
      <c r="L603" s="6" t="s">
        <v>3152</v>
      </c>
      <c r="M603" s="6" t="s">
        <v>532</v>
      </c>
      <c r="O603" t="e">
        <f>VLOOKUP(C603,#REF!,12,FALSE)</f>
        <v>#REF!</v>
      </c>
    </row>
    <row r="604" spans="1:15">
      <c r="A604" s="17">
        <v>603</v>
      </c>
      <c r="B604" s="6" t="s">
        <v>1355</v>
      </c>
      <c r="C604" s="7">
        <v>2022574378</v>
      </c>
      <c r="D604" s="7">
        <v>2201010426</v>
      </c>
      <c r="E604" s="7" t="s">
        <v>1812</v>
      </c>
      <c r="F604" s="17" t="e">
        <f>VLOOKUP('2501_MIS '!C604,'[1]Fast Track '!B:K,10,FALSE)</f>
        <v>#N/A</v>
      </c>
      <c r="G604" s="17" t="str">
        <f>VLOOKUP(C604,[2]Sheet7!A:D,4,FALSE)</f>
        <v>Promoted</v>
      </c>
      <c r="H604" s="45" t="s">
        <v>3645</v>
      </c>
      <c r="I604" s="26" t="s">
        <v>3664</v>
      </c>
      <c r="J604" s="6" t="s">
        <v>1356</v>
      </c>
      <c r="K604" s="6" t="s">
        <v>3153</v>
      </c>
      <c r="L604" s="6" t="s">
        <v>3154</v>
      </c>
      <c r="M604" s="6" t="s">
        <v>532</v>
      </c>
      <c r="O604" t="e">
        <f>VLOOKUP(C604,#REF!,12,FALSE)</f>
        <v>#REF!</v>
      </c>
    </row>
    <row r="605" spans="1:15">
      <c r="A605" s="17">
        <v>604</v>
      </c>
      <c r="B605" s="6" t="s">
        <v>1345</v>
      </c>
      <c r="C605" s="7">
        <v>2022539044</v>
      </c>
      <c r="D605" s="7">
        <v>2201010434</v>
      </c>
      <c r="E605" s="7" t="s">
        <v>1812</v>
      </c>
      <c r="F605" s="17" t="e">
        <f>VLOOKUP('2501_MIS '!C605,'[1]Fast Track '!B:K,10,FALSE)</f>
        <v>#N/A</v>
      </c>
      <c r="G605" s="17" t="str">
        <f>VLOOKUP(C605,[2]Sheet7!A:D,4,FALSE)</f>
        <v>Promoted</v>
      </c>
      <c r="H605" s="45" t="s">
        <v>3645</v>
      </c>
      <c r="I605" s="26" t="s">
        <v>3664</v>
      </c>
      <c r="J605" s="6" t="s">
        <v>1346</v>
      </c>
      <c r="K605" s="6" t="s">
        <v>3155</v>
      </c>
      <c r="L605" s="6" t="s">
        <v>3156</v>
      </c>
      <c r="M605" s="6" t="s">
        <v>532</v>
      </c>
      <c r="O605" t="e">
        <f>VLOOKUP(C605,#REF!,12,FALSE)</f>
        <v>#REF!</v>
      </c>
    </row>
    <row r="606" spans="1:15">
      <c r="A606" s="17">
        <v>605</v>
      </c>
      <c r="B606" s="6" t="s">
        <v>1272</v>
      </c>
      <c r="C606" s="7">
        <v>2022001306</v>
      </c>
      <c r="D606" s="7">
        <v>2201010469</v>
      </c>
      <c r="E606" s="7" t="s">
        <v>1812</v>
      </c>
      <c r="F606" s="17" t="e">
        <f>VLOOKUP('2501_MIS '!C606,'[1]Fast Track '!B:K,10,FALSE)</f>
        <v>#N/A</v>
      </c>
      <c r="G606" s="17" t="str">
        <f>VLOOKUP(C606,[2]Sheet7!A:D,4,FALSE)</f>
        <v>Promoted</v>
      </c>
      <c r="H606" s="45" t="s">
        <v>3645</v>
      </c>
      <c r="I606" s="26" t="s">
        <v>3664</v>
      </c>
      <c r="J606" s="6" t="s">
        <v>1273</v>
      </c>
      <c r="K606" s="6" t="s">
        <v>3157</v>
      </c>
      <c r="L606" s="6" t="s">
        <v>3158</v>
      </c>
      <c r="M606" s="6" t="s">
        <v>532</v>
      </c>
      <c r="O606" t="e">
        <f>VLOOKUP(C606,#REF!,12,FALSE)</f>
        <v>#REF!</v>
      </c>
    </row>
    <row r="607" spans="1:15">
      <c r="A607" s="17">
        <v>606</v>
      </c>
      <c r="B607" s="6" t="s">
        <v>1332</v>
      </c>
      <c r="C607" s="7">
        <v>2022515421</v>
      </c>
      <c r="D607" s="7">
        <v>2201010484</v>
      </c>
      <c r="E607" s="7" t="s">
        <v>1812</v>
      </c>
      <c r="F607" s="17" t="e">
        <f>VLOOKUP('2501_MIS '!C607,'[1]Fast Track '!B:K,10,FALSE)</f>
        <v>#N/A</v>
      </c>
      <c r="G607" s="17" t="str">
        <f>VLOOKUP(C607,[2]Sheet7!A:D,4,FALSE)</f>
        <v>Promoted</v>
      </c>
      <c r="H607" s="45" t="s">
        <v>3645</v>
      </c>
      <c r="I607" s="26" t="s">
        <v>3664</v>
      </c>
      <c r="J607" s="6" t="s">
        <v>1333</v>
      </c>
      <c r="K607" s="6" t="s">
        <v>3159</v>
      </c>
      <c r="L607" s="6" t="s">
        <v>3160</v>
      </c>
      <c r="M607" s="6" t="s">
        <v>532</v>
      </c>
      <c r="O607" t="e">
        <f>VLOOKUP(C607,#REF!,12,FALSE)</f>
        <v>#REF!</v>
      </c>
    </row>
    <row r="608" spans="1:15">
      <c r="A608" s="17">
        <v>607</v>
      </c>
      <c r="B608" s="6" t="s">
        <v>1351</v>
      </c>
      <c r="C608" s="7">
        <v>2022563312</v>
      </c>
      <c r="D608" s="7">
        <v>2201010532</v>
      </c>
      <c r="E608" s="7" t="s">
        <v>1812</v>
      </c>
      <c r="F608" s="17" t="e">
        <f>VLOOKUP('2501_MIS '!C608,'[1]Fast Track '!B:K,10,FALSE)</f>
        <v>#N/A</v>
      </c>
      <c r="G608" s="17" t="str">
        <f>VLOOKUP(C608,[2]Sheet7!A:D,4,FALSE)</f>
        <v>Promoted</v>
      </c>
      <c r="H608" s="45" t="s">
        <v>3645</v>
      </c>
      <c r="I608" s="26" t="s">
        <v>3664</v>
      </c>
      <c r="J608" s="6" t="s">
        <v>1352</v>
      </c>
      <c r="K608" s="6" t="s">
        <v>3161</v>
      </c>
      <c r="L608" s="6" t="s">
        <v>3162</v>
      </c>
      <c r="M608" s="6" t="s">
        <v>532</v>
      </c>
      <c r="O608" t="e">
        <f>VLOOKUP(C608,#REF!,12,FALSE)</f>
        <v>#REF!</v>
      </c>
    </row>
    <row r="609" spans="1:15">
      <c r="A609" s="17">
        <v>608</v>
      </c>
      <c r="B609" s="6" t="s">
        <v>1496</v>
      </c>
      <c r="C609" s="7">
        <v>2022483967</v>
      </c>
      <c r="D609" s="7">
        <v>2201010573</v>
      </c>
      <c r="E609" s="7" t="s">
        <v>1812</v>
      </c>
      <c r="F609" s="17" t="e">
        <f>VLOOKUP('2501_MIS '!C609,'[1]Fast Track '!B:K,10,FALSE)</f>
        <v>#N/A</v>
      </c>
      <c r="G609" s="17" t="str">
        <f>VLOOKUP(C609,[2]Sheet7!A:D,4,FALSE)</f>
        <v>Not Promoted</v>
      </c>
      <c r="H609" s="45" t="s">
        <v>3645</v>
      </c>
      <c r="I609" s="26" t="s">
        <v>3664</v>
      </c>
      <c r="J609" s="6" t="s">
        <v>1497</v>
      </c>
      <c r="K609" s="6" t="s">
        <v>3163</v>
      </c>
      <c r="L609" s="6" t="s">
        <v>3164</v>
      </c>
      <c r="M609" s="6" t="s">
        <v>532</v>
      </c>
      <c r="O609" t="e">
        <f>VLOOKUP(C609,#REF!,12,FALSE)</f>
        <v>#REF!</v>
      </c>
    </row>
    <row r="610" spans="1:15">
      <c r="A610" s="17">
        <v>609</v>
      </c>
      <c r="B610" s="6" t="s">
        <v>1256</v>
      </c>
      <c r="C610" s="7">
        <v>2022330451</v>
      </c>
      <c r="D610" s="7">
        <v>2201010576</v>
      </c>
      <c r="E610" s="7" t="s">
        <v>1812</v>
      </c>
      <c r="F610" s="17" t="e">
        <f>VLOOKUP('2501_MIS '!C610,'[1]Fast Track '!B:K,10,FALSE)</f>
        <v>#N/A</v>
      </c>
      <c r="G610" s="17" t="str">
        <f>VLOOKUP(C610,[2]Sheet7!A:D,4,FALSE)</f>
        <v>Promoted</v>
      </c>
      <c r="H610" s="45" t="s">
        <v>3644</v>
      </c>
      <c r="I610" s="26" t="s">
        <v>3665</v>
      </c>
      <c r="J610" s="6" t="s">
        <v>1257</v>
      </c>
      <c r="K610" s="6" t="s">
        <v>3165</v>
      </c>
      <c r="L610" s="6" t="s">
        <v>3166</v>
      </c>
      <c r="M610" s="6" t="s">
        <v>532</v>
      </c>
      <c r="O610" t="e">
        <f>VLOOKUP(C610,#REF!,12,FALSE)</f>
        <v>#REF!</v>
      </c>
    </row>
    <row r="611" spans="1:15">
      <c r="A611" s="17">
        <v>610</v>
      </c>
      <c r="B611" s="6" t="s">
        <v>1283</v>
      </c>
      <c r="C611" s="7">
        <v>2022006324</v>
      </c>
      <c r="D611" s="7">
        <v>2201010593</v>
      </c>
      <c r="E611" s="7" t="s">
        <v>1812</v>
      </c>
      <c r="F611" s="17" t="e">
        <f>VLOOKUP('2501_MIS '!C611,'[1]Fast Track '!B:K,10,FALSE)</f>
        <v>#N/A</v>
      </c>
      <c r="G611" s="17" t="str">
        <f>VLOOKUP(C611,[2]Sheet7!A:D,4,FALSE)</f>
        <v>Promoted</v>
      </c>
      <c r="H611" s="45" t="s">
        <v>3644</v>
      </c>
      <c r="I611" s="26" t="s">
        <v>3665</v>
      </c>
      <c r="J611" s="6" t="s">
        <v>1284</v>
      </c>
      <c r="K611" s="6" t="s">
        <v>3167</v>
      </c>
      <c r="L611" s="6" t="s">
        <v>3168</v>
      </c>
      <c r="M611" s="6" t="s">
        <v>532</v>
      </c>
      <c r="O611" t="e">
        <f>VLOOKUP(C611,#REF!,12,FALSE)</f>
        <v>#REF!</v>
      </c>
    </row>
    <row r="612" spans="1:15">
      <c r="A612" s="17">
        <v>611</v>
      </c>
      <c r="B612" s="6" t="s">
        <v>1324</v>
      </c>
      <c r="C612" s="7">
        <v>2022495866</v>
      </c>
      <c r="D612" s="7">
        <v>2201010613</v>
      </c>
      <c r="E612" s="7" t="s">
        <v>1812</v>
      </c>
      <c r="F612" s="17" t="e">
        <f>VLOOKUP('2501_MIS '!C612,'[1]Fast Track '!B:K,10,FALSE)</f>
        <v>#N/A</v>
      </c>
      <c r="G612" s="17" t="str">
        <f>VLOOKUP(C612,[2]Sheet7!A:D,4,FALSE)</f>
        <v>Promoted</v>
      </c>
      <c r="H612" s="45" t="s">
        <v>3644</v>
      </c>
      <c r="I612" s="26" t="s">
        <v>3665</v>
      </c>
      <c r="J612" s="6" t="s">
        <v>1325</v>
      </c>
      <c r="K612" s="6" t="s">
        <v>3169</v>
      </c>
      <c r="L612" s="6" t="s">
        <v>3170</v>
      </c>
      <c r="M612" s="6" t="s">
        <v>532</v>
      </c>
      <c r="O612" t="e">
        <f>VLOOKUP(C612,#REF!,12,FALSE)</f>
        <v>#REF!</v>
      </c>
    </row>
    <row r="613" spans="1:15">
      <c r="A613" s="17">
        <v>612</v>
      </c>
      <c r="B613" s="6" t="s">
        <v>1285</v>
      </c>
      <c r="C613" s="7">
        <v>2022006712</v>
      </c>
      <c r="D613" s="7">
        <v>2201010633</v>
      </c>
      <c r="E613" s="7" t="s">
        <v>1812</v>
      </c>
      <c r="F613" s="17" t="e">
        <f>VLOOKUP('2501_MIS '!C613,'[1]Fast Track '!B:K,10,FALSE)</f>
        <v>#N/A</v>
      </c>
      <c r="G613" s="17" t="str">
        <f>VLOOKUP(C613,[2]Sheet7!A:D,4,FALSE)</f>
        <v>Promoted</v>
      </c>
      <c r="H613" s="45" t="s">
        <v>3644</v>
      </c>
      <c r="I613" s="26" t="s">
        <v>3665</v>
      </c>
      <c r="J613" s="6" t="s">
        <v>1286</v>
      </c>
      <c r="K613" s="6" t="s">
        <v>3171</v>
      </c>
      <c r="L613" s="6" t="s">
        <v>3172</v>
      </c>
      <c r="M613" s="6" t="s">
        <v>532</v>
      </c>
      <c r="O613" t="e">
        <f>VLOOKUP(C613,#REF!,12,FALSE)</f>
        <v>#REF!</v>
      </c>
    </row>
    <row r="614" spans="1:15">
      <c r="A614" s="17">
        <v>613</v>
      </c>
      <c r="B614" s="6" t="s">
        <v>1364</v>
      </c>
      <c r="C614" s="7">
        <v>2022368174</v>
      </c>
      <c r="D614" s="7">
        <v>2201010728</v>
      </c>
      <c r="E614" s="7" t="s">
        <v>1812</v>
      </c>
      <c r="F614" s="17" t="e">
        <f>VLOOKUP('2501_MIS '!C614,'[1]Fast Track '!B:K,10,FALSE)</f>
        <v>#N/A</v>
      </c>
      <c r="G614" s="17" t="str">
        <f>VLOOKUP(C614,[2]Sheet7!A:D,4,FALSE)</f>
        <v>Promoted</v>
      </c>
      <c r="H614" s="45" t="s">
        <v>3644</v>
      </c>
      <c r="I614" s="26" t="s">
        <v>3665</v>
      </c>
      <c r="J614" s="6" t="s">
        <v>1365</v>
      </c>
      <c r="K614" s="6" t="s">
        <v>3175</v>
      </c>
      <c r="L614" s="6" t="s">
        <v>3176</v>
      </c>
      <c r="M614" s="6" t="s">
        <v>532</v>
      </c>
      <c r="O614" t="e">
        <f>VLOOKUP(C614,#REF!,12,FALSE)</f>
        <v>#REF!</v>
      </c>
    </row>
    <row r="615" spans="1:15">
      <c r="A615" s="17">
        <v>614</v>
      </c>
      <c r="B615" s="6" t="s">
        <v>1558</v>
      </c>
      <c r="C615" s="7">
        <v>2022484153</v>
      </c>
      <c r="D615" s="7">
        <v>2201010767</v>
      </c>
      <c r="E615" s="7" t="s">
        <v>1812</v>
      </c>
      <c r="F615" s="17" t="e">
        <f>VLOOKUP('2501_MIS '!C615,'[1]Fast Track '!B:K,10,FALSE)</f>
        <v>#N/A</v>
      </c>
      <c r="G615" s="17" t="str">
        <f>VLOOKUP(C615,[2]Sheet7!A:D,4,FALSE)</f>
        <v>Promoted</v>
      </c>
      <c r="H615" s="45" t="s">
        <v>3644</v>
      </c>
      <c r="I615" s="26" t="s">
        <v>3665</v>
      </c>
      <c r="J615" s="6" t="s">
        <v>1559</v>
      </c>
      <c r="K615" s="6" t="s">
        <v>3177</v>
      </c>
      <c r="L615" s="6" t="s">
        <v>3178</v>
      </c>
      <c r="M615" s="6" t="s">
        <v>532</v>
      </c>
      <c r="O615" t="e">
        <f>VLOOKUP(C615,#REF!,12,FALSE)</f>
        <v>#REF!</v>
      </c>
    </row>
    <row r="616" spans="1:15">
      <c r="A616" s="17">
        <v>615</v>
      </c>
      <c r="B616" s="6" t="s">
        <v>1519</v>
      </c>
      <c r="C616" s="7">
        <v>2022003650</v>
      </c>
      <c r="D616" s="7">
        <v>2201010806</v>
      </c>
      <c r="E616" s="7" t="s">
        <v>1812</v>
      </c>
      <c r="F616" s="17" t="e">
        <f>VLOOKUP('2501_MIS '!C616,'[1]Fast Track '!B:K,10,FALSE)</f>
        <v>#N/A</v>
      </c>
      <c r="G616" s="17" t="str">
        <f>VLOOKUP(C616,[2]Sheet7!A:D,4,FALSE)</f>
        <v>Promoted</v>
      </c>
      <c r="H616" s="45" t="s">
        <v>3644</v>
      </c>
      <c r="I616" s="26" t="s">
        <v>3665</v>
      </c>
      <c r="J616" s="6" t="s">
        <v>1520</v>
      </c>
      <c r="K616" s="6" t="s">
        <v>3179</v>
      </c>
      <c r="L616" s="6" t="s">
        <v>3180</v>
      </c>
      <c r="M616" s="6" t="s">
        <v>532</v>
      </c>
      <c r="O616" t="e">
        <f>VLOOKUP(C616,#REF!,12,FALSE)</f>
        <v>#REF!</v>
      </c>
    </row>
    <row r="617" spans="1:15">
      <c r="A617" s="17">
        <v>616</v>
      </c>
      <c r="B617" s="6" t="s">
        <v>1281</v>
      </c>
      <c r="C617" s="7">
        <v>2022005848</v>
      </c>
      <c r="D617" s="7">
        <v>2201010922</v>
      </c>
      <c r="E617" s="7" t="s">
        <v>1812</v>
      </c>
      <c r="F617" s="17" t="e">
        <f>VLOOKUP('2501_MIS '!C617,'[1]Fast Track '!B:K,10,FALSE)</f>
        <v>#N/A</v>
      </c>
      <c r="G617" s="17" t="str">
        <f>VLOOKUP(C617,[2]Sheet7!A:D,4,FALSE)</f>
        <v>Not Promoted</v>
      </c>
      <c r="H617" s="45" t="s">
        <v>3644</v>
      </c>
      <c r="I617" s="26" t="s">
        <v>3665</v>
      </c>
      <c r="J617" s="6" t="s">
        <v>1282</v>
      </c>
      <c r="K617" s="6" t="s">
        <v>3181</v>
      </c>
      <c r="L617" s="6" t="s">
        <v>3182</v>
      </c>
      <c r="M617" s="6" t="s">
        <v>532</v>
      </c>
      <c r="O617" t="e">
        <f>VLOOKUP(C617,#REF!,12,FALSE)</f>
        <v>#REF!</v>
      </c>
    </row>
    <row r="618" spans="1:15">
      <c r="A618" s="17">
        <v>617</v>
      </c>
      <c r="B618" s="6" t="s">
        <v>1289</v>
      </c>
      <c r="C618" s="7">
        <v>2022007324</v>
      </c>
      <c r="D618" s="7">
        <v>2201010924</v>
      </c>
      <c r="E618" s="7" t="s">
        <v>1812</v>
      </c>
      <c r="F618" s="17" t="e">
        <f>VLOOKUP('2501_MIS '!C618,'[1]Fast Track '!B:K,10,FALSE)</f>
        <v>#N/A</v>
      </c>
      <c r="G618" s="17" t="str">
        <f>VLOOKUP(C618,[2]Sheet7!A:D,4,FALSE)</f>
        <v>Promoted</v>
      </c>
      <c r="H618" s="45" t="s">
        <v>3644</v>
      </c>
      <c r="I618" s="26" t="s">
        <v>3665</v>
      </c>
      <c r="J618" s="6" t="s">
        <v>1290</v>
      </c>
      <c r="K618" s="6" t="s">
        <v>3183</v>
      </c>
      <c r="L618" s="6" t="s">
        <v>3184</v>
      </c>
      <c r="M618" s="6" t="s">
        <v>532</v>
      </c>
      <c r="O618" t="e">
        <f>VLOOKUP(C618,#REF!,12,FALSE)</f>
        <v>#REF!</v>
      </c>
    </row>
    <row r="619" spans="1:15">
      <c r="A619" s="17">
        <v>618</v>
      </c>
      <c r="B619" s="6" t="s">
        <v>1291</v>
      </c>
      <c r="C619" s="7">
        <v>2022007387</v>
      </c>
      <c r="D619" s="7">
        <v>2201010925</v>
      </c>
      <c r="E619" s="7" t="s">
        <v>1812</v>
      </c>
      <c r="F619" s="17" t="e">
        <f>VLOOKUP('2501_MIS '!C619,'[1]Fast Track '!B:K,10,FALSE)</f>
        <v>#N/A</v>
      </c>
      <c r="G619" s="17" t="str">
        <f>VLOOKUP(C619,[2]Sheet7!A:D,4,FALSE)</f>
        <v>Promoted</v>
      </c>
      <c r="H619" s="45" t="s">
        <v>3644</v>
      </c>
      <c r="I619" s="26" t="s">
        <v>3665</v>
      </c>
      <c r="J619" s="6" t="s">
        <v>1292</v>
      </c>
      <c r="K619" s="6" t="s">
        <v>3185</v>
      </c>
      <c r="L619" s="6" t="s">
        <v>3186</v>
      </c>
      <c r="M619" s="6" t="s">
        <v>532</v>
      </c>
      <c r="O619" t="e">
        <f>VLOOKUP(C619,#REF!,12,FALSE)</f>
        <v>#REF!</v>
      </c>
    </row>
    <row r="620" spans="1:15">
      <c r="A620" s="17">
        <v>619</v>
      </c>
      <c r="B620" s="6" t="s">
        <v>1295</v>
      </c>
      <c r="C620" s="7">
        <v>2022311612</v>
      </c>
      <c r="D620" s="7">
        <v>2201010927</v>
      </c>
      <c r="E620" s="7" t="s">
        <v>1812</v>
      </c>
      <c r="F620" s="17" t="e">
        <f>VLOOKUP('2501_MIS '!C620,'[1]Fast Track '!B:K,10,FALSE)</f>
        <v>#N/A</v>
      </c>
      <c r="G620" s="17" t="str">
        <f>VLOOKUP(C620,[2]Sheet7!A:D,4,FALSE)</f>
        <v>Promoted</v>
      </c>
      <c r="H620" s="45" t="s">
        <v>3644</v>
      </c>
      <c r="I620" s="26" t="s">
        <v>3665</v>
      </c>
      <c r="J620" s="6" t="s">
        <v>1296</v>
      </c>
      <c r="K620" s="6" t="s">
        <v>3187</v>
      </c>
      <c r="L620" s="6" t="s">
        <v>3188</v>
      </c>
      <c r="M620" s="6" t="s">
        <v>532</v>
      </c>
      <c r="O620" t="e">
        <f>VLOOKUP(C620,#REF!,12,FALSE)</f>
        <v>#REF!</v>
      </c>
    </row>
    <row r="621" spans="1:15">
      <c r="A621" s="17">
        <v>620</v>
      </c>
      <c r="B621" s="6" t="s">
        <v>1339</v>
      </c>
      <c r="C621" s="7">
        <v>2022530497</v>
      </c>
      <c r="D621" s="7">
        <v>2201010932</v>
      </c>
      <c r="E621" s="7" t="s">
        <v>1812</v>
      </c>
      <c r="F621" s="17" t="e">
        <f>VLOOKUP('2501_MIS '!C621,'[1]Fast Track '!B:K,10,FALSE)</f>
        <v>#N/A</v>
      </c>
      <c r="G621" s="17" t="str">
        <f>VLOOKUP(C621,[2]Sheet7!A:D,4,FALSE)</f>
        <v>Promoted</v>
      </c>
      <c r="H621" s="45" t="s">
        <v>3644</v>
      </c>
      <c r="I621" s="26" t="s">
        <v>3665</v>
      </c>
      <c r="J621" s="6" t="s">
        <v>1340</v>
      </c>
      <c r="K621" s="6" t="s">
        <v>3189</v>
      </c>
      <c r="L621" s="6" t="s">
        <v>3190</v>
      </c>
      <c r="M621" s="6" t="s">
        <v>532</v>
      </c>
      <c r="O621" t="e">
        <f>VLOOKUP(C621,#REF!,12,FALSE)</f>
        <v>#REF!</v>
      </c>
    </row>
    <row r="622" spans="1:15">
      <c r="A622" s="17">
        <v>621</v>
      </c>
      <c r="B622" s="6" t="s">
        <v>1116</v>
      </c>
      <c r="C622" s="7">
        <v>2022608097</v>
      </c>
      <c r="D622" s="7">
        <v>2201010935</v>
      </c>
      <c r="E622" s="7" t="s">
        <v>1812</v>
      </c>
      <c r="F622" s="17" t="e">
        <f>VLOOKUP('2501_MIS '!C622,'[1]Fast Track '!B:K,10,FALSE)</f>
        <v>#N/A</v>
      </c>
      <c r="G622" s="17" t="str">
        <f>VLOOKUP(C622,[2]Sheet7!A:D,4,FALSE)</f>
        <v>Promoted</v>
      </c>
      <c r="H622" s="45" t="s">
        <v>3644</v>
      </c>
      <c r="I622" s="26" t="s">
        <v>3665</v>
      </c>
      <c r="J622" s="6" t="s">
        <v>1361</v>
      </c>
      <c r="K622" s="6" t="s">
        <v>3191</v>
      </c>
      <c r="L622" s="6" t="s">
        <v>3192</v>
      </c>
      <c r="M622" s="6" t="s">
        <v>532</v>
      </c>
      <c r="O622" t="e">
        <f>VLOOKUP(C622,#REF!,12,FALSE)</f>
        <v>#REF!</v>
      </c>
    </row>
    <row r="623" spans="1:15">
      <c r="A623" s="17">
        <v>622</v>
      </c>
      <c r="B623" s="6" t="s">
        <v>1509</v>
      </c>
      <c r="C623" s="7">
        <v>2021380904</v>
      </c>
      <c r="D623" s="7">
        <v>210101166</v>
      </c>
      <c r="E623" s="7" t="s">
        <v>1812</v>
      </c>
      <c r="F623" s="17" t="e">
        <f>VLOOKUP('2501_MIS '!C623,'[1]Fast Track '!B:K,10,FALSE)</f>
        <v>#N/A</v>
      </c>
      <c r="G623" s="17" t="str">
        <f>VLOOKUP(C623,[2]Sheet7!A:D,4,FALSE)</f>
        <v>Not Promoted</v>
      </c>
      <c r="H623" s="45" t="s">
        <v>3644</v>
      </c>
      <c r="I623" s="26" t="s">
        <v>3665</v>
      </c>
      <c r="J623" s="6" t="s">
        <v>1510</v>
      </c>
      <c r="K623" s="6" t="s">
        <v>3383</v>
      </c>
      <c r="L623" s="6" t="s">
        <v>3384</v>
      </c>
      <c r="M623" s="6" t="s">
        <v>532</v>
      </c>
      <c r="O623" t="e">
        <f>VLOOKUP(C623,#REF!,12,FALSE)</f>
        <v>#REF!</v>
      </c>
    </row>
    <row r="624" spans="1:15">
      <c r="A624" s="17">
        <v>623</v>
      </c>
      <c r="B624" s="6" t="s">
        <v>1547</v>
      </c>
      <c r="C624" s="7">
        <v>2022386358</v>
      </c>
      <c r="D624" s="7">
        <v>2201010033</v>
      </c>
      <c r="E624" s="7" t="s">
        <v>1812</v>
      </c>
      <c r="F624" s="17" t="e">
        <f>VLOOKUP('2501_MIS '!C624,'[1]Fast Track '!B:K,10,FALSE)</f>
        <v>#N/A</v>
      </c>
      <c r="G624" s="17" t="str">
        <f>VLOOKUP(C624,[2]Sheet7!A:D,4,FALSE)</f>
        <v>Promoted</v>
      </c>
      <c r="H624" s="45" t="s">
        <v>3644</v>
      </c>
      <c r="I624" s="26" t="s">
        <v>3665</v>
      </c>
      <c r="J624" s="6" t="s">
        <v>1548</v>
      </c>
      <c r="K624" s="6" t="s">
        <v>3385</v>
      </c>
      <c r="L624" s="6" t="s">
        <v>3386</v>
      </c>
      <c r="M624" s="6" t="s">
        <v>532</v>
      </c>
      <c r="O624" t="e">
        <f>VLOOKUP(C624,#REF!,12,FALSE)</f>
        <v>#REF!</v>
      </c>
    </row>
    <row r="625" spans="1:15">
      <c r="A625" s="17">
        <v>624</v>
      </c>
      <c r="B625" s="6" t="s">
        <v>1570</v>
      </c>
      <c r="C625" s="7">
        <v>2022510612</v>
      </c>
      <c r="D625" s="7">
        <v>2201010068</v>
      </c>
      <c r="E625" s="7" t="s">
        <v>1812</v>
      </c>
      <c r="F625" s="17" t="e">
        <f>VLOOKUP('2501_MIS '!C625,'[1]Fast Track '!B:K,10,FALSE)</f>
        <v>#N/A</v>
      </c>
      <c r="G625" s="17" t="str">
        <f>VLOOKUP(C625,[2]Sheet7!A:D,4,FALSE)</f>
        <v>Promoted</v>
      </c>
      <c r="H625" s="45" t="s">
        <v>3644</v>
      </c>
      <c r="I625" s="26" t="s">
        <v>3665</v>
      </c>
      <c r="J625" s="6" t="s">
        <v>1571</v>
      </c>
      <c r="K625" s="6" t="s">
        <v>3387</v>
      </c>
      <c r="L625" s="6" t="s">
        <v>3388</v>
      </c>
      <c r="M625" s="6" t="s">
        <v>532</v>
      </c>
      <c r="O625" t="e">
        <f>VLOOKUP(C625,#REF!,12,FALSE)</f>
        <v>#REF!</v>
      </c>
    </row>
    <row r="626" spans="1:15">
      <c r="A626" s="17">
        <v>625</v>
      </c>
      <c r="B626" s="6" t="s">
        <v>1521</v>
      </c>
      <c r="C626" s="7">
        <v>2022004729</v>
      </c>
      <c r="D626" s="7">
        <v>2201010104</v>
      </c>
      <c r="E626" s="7" t="s">
        <v>1812</v>
      </c>
      <c r="F626" s="17" t="e">
        <f>VLOOKUP('2501_MIS '!C626,'[1]Fast Track '!B:K,10,FALSE)</f>
        <v>#N/A</v>
      </c>
      <c r="G626" s="17" t="str">
        <f>VLOOKUP(C626,[2]Sheet7!A:D,4,FALSE)</f>
        <v>Promoted</v>
      </c>
      <c r="H626" s="45" t="s">
        <v>3644</v>
      </c>
      <c r="I626" s="26" t="s">
        <v>3665</v>
      </c>
      <c r="J626" s="6" t="s">
        <v>1522</v>
      </c>
      <c r="K626" s="6" t="s">
        <v>3389</v>
      </c>
      <c r="L626" s="6" t="s">
        <v>3390</v>
      </c>
      <c r="M626" s="6" t="s">
        <v>532</v>
      </c>
      <c r="O626" t="e">
        <f>VLOOKUP(C626,#REF!,12,FALSE)</f>
        <v>#REF!</v>
      </c>
    </row>
    <row r="627" spans="1:15">
      <c r="A627" s="17">
        <v>626</v>
      </c>
      <c r="B627" s="6" t="s">
        <v>1456</v>
      </c>
      <c r="C627" s="7">
        <v>2022003451</v>
      </c>
      <c r="D627" s="7">
        <v>2201010147</v>
      </c>
      <c r="E627" s="7" t="s">
        <v>1812</v>
      </c>
      <c r="F627" s="17" t="e">
        <f>VLOOKUP('2501_MIS '!C627,'[1]Fast Track '!B:K,10,FALSE)</f>
        <v>#N/A</v>
      </c>
      <c r="G627" s="17" t="str">
        <f>VLOOKUP(C627,[2]Sheet7!A:D,4,FALSE)</f>
        <v>Promoted</v>
      </c>
      <c r="H627" s="45" t="s">
        <v>3644</v>
      </c>
      <c r="I627" s="26" t="s">
        <v>3665</v>
      </c>
      <c r="J627" s="6" t="s">
        <v>1518</v>
      </c>
      <c r="K627" s="6" t="s">
        <v>3391</v>
      </c>
      <c r="L627" s="6" t="s">
        <v>3392</v>
      </c>
      <c r="M627" s="6" t="s">
        <v>532</v>
      </c>
      <c r="O627" t="e">
        <f>VLOOKUP(C627,#REF!,12,FALSE)</f>
        <v>#REF!</v>
      </c>
    </row>
    <row r="628" spans="1:15">
      <c r="A628" s="17">
        <v>627</v>
      </c>
      <c r="B628" s="6" t="s">
        <v>1511</v>
      </c>
      <c r="C628" s="7">
        <v>2022000299</v>
      </c>
      <c r="D628" s="7">
        <v>2201010226</v>
      </c>
      <c r="E628" s="7" t="s">
        <v>1812</v>
      </c>
      <c r="F628" s="17" t="e">
        <f>VLOOKUP('2501_MIS '!C628,'[1]Fast Track '!B:K,10,FALSE)</f>
        <v>#N/A</v>
      </c>
      <c r="G628" s="17" t="str">
        <f>VLOOKUP(C628,[2]Sheet7!A:D,4,FALSE)</f>
        <v>Promoted</v>
      </c>
      <c r="H628" s="45" t="s">
        <v>3644</v>
      </c>
      <c r="I628" s="26" t="s">
        <v>3665</v>
      </c>
      <c r="J628" s="6" t="s">
        <v>1512</v>
      </c>
      <c r="K628" s="6" t="s">
        <v>3393</v>
      </c>
      <c r="L628" s="6" t="s">
        <v>3394</v>
      </c>
      <c r="M628" s="6" t="s">
        <v>532</v>
      </c>
      <c r="O628" t="e">
        <f>VLOOKUP(C628,#REF!,12,FALSE)</f>
        <v>#REF!</v>
      </c>
    </row>
    <row r="629" spans="1:15">
      <c r="A629" s="17">
        <v>628</v>
      </c>
      <c r="B629" s="6" t="s">
        <v>1568</v>
      </c>
      <c r="C629" s="7">
        <v>2022509891</v>
      </c>
      <c r="D629" s="7">
        <v>2201010242</v>
      </c>
      <c r="E629" s="7" t="s">
        <v>1812</v>
      </c>
      <c r="F629" s="17" t="e">
        <f>VLOOKUP('2501_MIS '!C629,'[1]Fast Track '!B:K,10,FALSE)</f>
        <v>#N/A</v>
      </c>
      <c r="G629" s="17" t="str">
        <f>VLOOKUP(C629,[2]Sheet7!A:D,4,FALSE)</f>
        <v>Promoted</v>
      </c>
      <c r="H629" s="45" t="s">
        <v>3644</v>
      </c>
      <c r="I629" s="26" t="s">
        <v>3665</v>
      </c>
      <c r="J629" s="6" t="s">
        <v>1569</v>
      </c>
      <c r="K629" s="6" t="s">
        <v>3395</v>
      </c>
      <c r="L629" s="6" t="s">
        <v>3396</v>
      </c>
      <c r="M629" s="6" t="s">
        <v>532</v>
      </c>
      <c r="O629" t="e">
        <f>VLOOKUP(C629,#REF!,12,FALSE)</f>
        <v>#REF!</v>
      </c>
    </row>
    <row r="630" spans="1:15">
      <c r="A630" s="17">
        <v>629</v>
      </c>
      <c r="B630" s="6" t="s">
        <v>1582</v>
      </c>
      <c r="C630" s="7">
        <v>2022536194</v>
      </c>
      <c r="D630" s="7">
        <v>2201010250</v>
      </c>
      <c r="E630" s="7" t="s">
        <v>1812</v>
      </c>
      <c r="F630" s="17" t="e">
        <f>VLOOKUP('2501_MIS '!C630,'[1]Fast Track '!B:K,10,FALSE)</f>
        <v>#N/A</v>
      </c>
      <c r="G630" s="17" t="str">
        <f>VLOOKUP(C630,[2]Sheet7!A:D,4,FALSE)</f>
        <v>Promoted</v>
      </c>
      <c r="H630" s="45" t="s">
        <v>3644</v>
      </c>
      <c r="I630" s="26" t="s">
        <v>3665</v>
      </c>
      <c r="J630" s="6" t="s">
        <v>1583</v>
      </c>
      <c r="K630" s="6" t="s">
        <v>3397</v>
      </c>
      <c r="L630" s="6" t="s">
        <v>3398</v>
      </c>
      <c r="M630" s="6" t="s">
        <v>532</v>
      </c>
      <c r="O630" t="e">
        <f>VLOOKUP(C630,#REF!,12,FALSE)</f>
        <v>#REF!</v>
      </c>
    </row>
    <row r="631" spans="1:15">
      <c r="A631" s="17">
        <v>630</v>
      </c>
      <c r="B631" s="6" t="s">
        <v>1525</v>
      </c>
      <c r="C631" s="7">
        <v>2022005315</v>
      </c>
      <c r="D631" s="7">
        <v>2201010255</v>
      </c>
      <c r="E631" s="7" t="s">
        <v>1812</v>
      </c>
      <c r="F631" s="17" t="e">
        <f>VLOOKUP('2501_MIS '!C631,'[1]Fast Track '!B:K,10,FALSE)</f>
        <v>#N/A</v>
      </c>
      <c r="G631" s="17" t="str">
        <f>VLOOKUP(C631,[2]Sheet7!A:D,4,FALSE)</f>
        <v>Promoted</v>
      </c>
      <c r="H631" s="45" t="s">
        <v>3644</v>
      </c>
      <c r="I631" s="26" t="s">
        <v>3665</v>
      </c>
      <c r="J631" s="6" t="s">
        <v>1526</v>
      </c>
      <c r="K631" s="6" t="s">
        <v>3399</v>
      </c>
      <c r="L631" s="6" t="s">
        <v>3400</v>
      </c>
      <c r="M631" s="6" t="s">
        <v>532</v>
      </c>
      <c r="O631" t="e">
        <f>VLOOKUP(C631,#REF!,12,FALSE)</f>
        <v>#REF!</v>
      </c>
    </row>
    <row r="632" spans="1:15">
      <c r="A632" s="17">
        <v>631</v>
      </c>
      <c r="B632" s="6" t="s">
        <v>1550</v>
      </c>
      <c r="C632" s="7">
        <v>2022390387</v>
      </c>
      <c r="D632" s="7">
        <v>2201010455</v>
      </c>
      <c r="E632" s="7" t="s">
        <v>1812</v>
      </c>
      <c r="F632" s="17" t="e">
        <f>VLOOKUP('2501_MIS '!C632,'[1]Fast Track '!B:K,10,FALSE)</f>
        <v>#N/A</v>
      </c>
      <c r="G632" s="17" t="str">
        <f>VLOOKUP(C632,[2]Sheet7!A:D,4,FALSE)</f>
        <v>Promoted</v>
      </c>
      <c r="H632" s="45" t="s">
        <v>3644</v>
      </c>
      <c r="I632" s="26" t="s">
        <v>3665</v>
      </c>
      <c r="J632" s="6" t="s">
        <v>1551</v>
      </c>
      <c r="K632" s="6" t="s">
        <v>3403</v>
      </c>
      <c r="L632" s="6" t="s">
        <v>3404</v>
      </c>
      <c r="M632" s="6" t="s">
        <v>532</v>
      </c>
      <c r="O632" t="e">
        <f>VLOOKUP(C632,#REF!,12,FALSE)</f>
        <v>#REF!</v>
      </c>
    </row>
    <row r="633" spans="1:15">
      <c r="A633" s="17">
        <v>632</v>
      </c>
      <c r="B633" s="6" t="s">
        <v>1562</v>
      </c>
      <c r="C633" s="7">
        <v>2022504250</v>
      </c>
      <c r="D633" s="7">
        <v>2201010508</v>
      </c>
      <c r="E633" s="7" t="s">
        <v>1812</v>
      </c>
      <c r="F633" s="17" t="e">
        <f>VLOOKUP('2501_MIS '!C633,'[1]Fast Track '!B:K,10,FALSE)</f>
        <v>#N/A</v>
      </c>
      <c r="G633" s="17" t="str">
        <f>VLOOKUP(C633,[2]Sheet7!A:D,4,FALSE)</f>
        <v>Promoted</v>
      </c>
      <c r="H633" s="45" t="s">
        <v>3644</v>
      </c>
      <c r="I633" s="26" t="s">
        <v>3665</v>
      </c>
      <c r="J633" s="6" t="s">
        <v>1563</v>
      </c>
      <c r="K633" s="6" t="s">
        <v>3407</v>
      </c>
      <c r="L633" s="6" t="s">
        <v>3408</v>
      </c>
      <c r="M633" s="6" t="s">
        <v>532</v>
      </c>
      <c r="O633" t="e">
        <f>VLOOKUP(C633,#REF!,12,FALSE)</f>
        <v>#REF!</v>
      </c>
    </row>
    <row r="634" spans="1:15">
      <c r="A634" s="17">
        <v>633</v>
      </c>
      <c r="B634" s="6" t="s">
        <v>1556</v>
      </c>
      <c r="C634" s="7">
        <v>2022477888</v>
      </c>
      <c r="D634" s="7">
        <v>2201010559</v>
      </c>
      <c r="E634" s="7" t="s">
        <v>1812</v>
      </c>
      <c r="F634" s="17" t="e">
        <f>VLOOKUP('2501_MIS '!C634,'[1]Fast Track '!B:K,10,FALSE)</f>
        <v>#N/A</v>
      </c>
      <c r="G634" s="17" t="str">
        <f>VLOOKUP(C634,[2]Sheet7!A:D,4,FALSE)</f>
        <v>Promoted</v>
      </c>
      <c r="H634" s="45" t="s">
        <v>3644</v>
      </c>
      <c r="I634" s="26" t="s">
        <v>3665</v>
      </c>
      <c r="J634" s="6" t="s">
        <v>1557</v>
      </c>
      <c r="K634" s="6" t="s">
        <v>3409</v>
      </c>
      <c r="L634" s="6" t="s">
        <v>3410</v>
      </c>
      <c r="M634" s="6" t="s">
        <v>532</v>
      </c>
      <c r="O634" t="e">
        <f>VLOOKUP(C634,#REF!,12,FALSE)</f>
        <v>#REF!</v>
      </c>
    </row>
    <row r="635" spans="1:15">
      <c r="A635" s="17">
        <v>634</v>
      </c>
      <c r="B635" s="6" t="s">
        <v>820</v>
      </c>
      <c r="C635" s="7">
        <v>2021407901</v>
      </c>
      <c r="D635" s="7">
        <v>210101360</v>
      </c>
      <c r="E635" s="7" t="s">
        <v>1812</v>
      </c>
      <c r="F635" s="17" t="e">
        <f>VLOOKUP('2501_MIS '!C635,'[1]Fast Track '!B:K,10,FALSE)</f>
        <v>#N/A</v>
      </c>
      <c r="G635" s="17" t="str">
        <f>VLOOKUP(C635,[2]Sheet7!A:D,4,FALSE)</f>
        <v>Not Promoted</v>
      </c>
      <c r="H635" s="45" t="s">
        <v>3644</v>
      </c>
      <c r="I635" s="26" t="s">
        <v>3665</v>
      </c>
      <c r="J635" s="11" t="s">
        <v>821</v>
      </c>
      <c r="K635" s="6" t="s">
        <v>3491</v>
      </c>
      <c r="L635" s="6" t="s">
        <v>3492</v>
      </c>
      <c r="M635" s="6" t="s">
        <v>532</v>
      </c>
      <c r="O635" t="e">
        <f>VLOOKUP(C635,#REF!,12,FALSE)</f>
        <v>#REF!</v>
      </c>
    </row>
    <row r="636" spans="1:15">
      <c r="A636" s="17">
        <v>635</v>
      </c>
      <c r="B636" s="6" t="s">
        <v>818</v>
      </c>
      <c r="C636" s="7">
        <v>2021307894</v>
      </c>
      <c r="D636" s="7">
        <v>210101395</v>
      </c>
      <c r="E636" s="7" t="s">
        <v>1812</v>
      </c>
      <c r="F636" s="17" t="e">
        <f>VLOOKUP('2501_MIS '!C636,'[1]Fast Track '!B:K,10,FALSE)</f>
        <v>#N/A</v>
      </c>
      <c r="G636" s="17" t="str">
        <f>VLOOKUP(C636,[2]Sheet7!A:D,4,FALSE)</f>
        <v>Not Promoted</v>
      </c>
      <c r="H636" s="45" t="s">
        <v>3644</v>
      </c>
      <c r="I636" s="26" t="s">
        <v>3665</v>
      </c>
      <c r="J636" s="6" t="s">
        <v>819</v>
      </c>
      <c r="K636" s="6" t="s">
        <v>3493</v>
      </c>
      <c r="L636" s="6" t="s">
        <v>3494</v>
      </c>
      <c r="M636" s="6" t="s">
        <v>532</v>
      </c>
      <c r="O636" t="e">
        <f>VLOOKUP(C636,#REF!,12,FALSE)</f>
        <v>#REF!</v>
      </c>
    </row>
    <row r="637" spans="1:15">
      <c r="A637" s="17">
        <v>636</v>
      </c>
      <c r="B637" s="6" t="s">
        <v>530</v>
      </c>
      <c r="C637" s="7">
        <v>2022490456</v>
      </c>
      <c r="D637" s="7">
        <v>2201010214</v>
      </c>
      <c r="E637" s="7" t="s">
        <v>1812</v>
      </c>
      <c r="F637" s="17" t="e">
        <f>VLOOKUP('2501_MIS '!C637,'[1]Fast Track '!B:K,10,FALSE)</f>
        <v>#N/A</v>
      </c>
      <c r="G637" s="17" t="str">
        <f>VLOOKUP(C637,[2]Sheet7!A:D,4,FALSE)</f>
        <v>Not Promoted</v>
      </c>
      <c r="H637" s="45" t="s">
        <v>3644</v>
      </c>
      <c r="I637" s="26" t="s">
        <v>3665</v>
      </c>
      <c r="J637" s="6" t="s">
        <v>531</v>
      </c>
      <c r="K637" s="6" t="s">
        <v>3495</v>
      </c>
      <c r="L637" s="6" t="s">
        <v>3496</v>
      </c>
      <c r="M637" s="6" t="s">
        <v>532</v>
      </c>
      <c r="O637" t="e">
        <f>VLOOKUP(C637,#REF!,12,FALSE)</f>
        <v>#REF!</v>
      </c>
    </row>
    <row r="638" spans="1:15">
      <c r="A638" s="17">
        <v>637</v>
      </c>
      <c r="B638" s="6" t="s">
        <v>1596</v>
      </c>
      <c r="C638" s="7">
        <v>2022003855</v>
      </c>
      <c r="D638" s="7">
        <v>2201010516</v>
      </c>
      <c r="E638" s="7" t="s">
        <v>1812</v>
      </c>
      <c r="F638" s="17" t="e">
        <f>VLOOKUP('2501_MIS '!C638,'[1]Fast Track '!B:K,10,FALSE)</f>
        <v>#N/A</v>
      </c>
      <c r="G638" s="17" t="str">
        <f>VLOOKUP(C638,[2]Sheet7!A:D,4,FALSE)</f>
        <v>Promoted</v>
      </c>
      <c r="H638" s="45" t="s">
        <v>3644</v>
      </c>
      <c r="I638" s="26" t="s">
        <v>3665</v>
      </c>
      <c r="J638" s="6" t="s">
        <v>1597</v>
      </c>
      <c r="K638" s="6" t="s">
        <v>3497</v>
      </c>
      <c r="L638" s="6" t="s">
        <v>3498</v>
      </c>
      <c r="M638" s="6" t="s">
        <v>532</v>
      </c>
      <c r="O638" t="e">
        <f>VLOOKUP(C638,#REF!,12,FALSE)</f>
        <v>#REF!</v>
      </c>
    </row>
    <row r="639" spans="1:15">
      <c r="A639" s="17">
        <v>638</v>
      </c>
      <c r="B639" s="6" t="s">
        <v>832</v>
      </c>
      <c r="C639" s="7">
        <v>2022006315</v>
      </c>
      <c r="D639" s="7">
        <v>2201010791</v>
      </c>
      <c r="E639" s="7" t="s">
        <v>1812</v>
      </c>
      <c r="F639" s="17" t="e">
        <f>VLOOKUP('2501_MIS '!C639,'[1]Fast Track '!B:K,10,FALSE)</f>
        <v>#N/A</v>
      </c>
      <c r="G639" s="17" t="str">
        <f>VLOOKUP(C639,[2]Sheet7!A:D,4,FALSE)</f>
        <v>Promoted</v>
      </c>
      <c r="H639" s="45" t="s">
        <v>3644</v>
      </c>
      <c r="I639" s="26" t="s">
        <v>3665</v>
      </c>
      <c r="J639" s="6" t="s">
        <v>833</v>
      </c>
      <c r="K639" s="6" t="s">
        <v>3499</v>
      </c>
      <c r="L639" s="6" t="s">
        <v>3500</v>
      </c>
      <c r="M639" s="6" t="s">
        <v>532</v>
      </c>
      <c r="O639" t="e">
        <f>VLOOKUP(C639,#REF!,12,FALSE)</f>
        <v>#REF!</v>
      </c>
    </row>
    <row r="640" spans="1:15">
      <c r="A640" s="17">
        <v>639</v>
      </c>
      <c r="B640" s="6" t="s">
        <v>1377</v>
      </c>
      <c r="C640" s="7">
        <v>2021476666</v>
      </c>
      <c r="D640" s="7">
        <v>210101001</v>
      </c>
      <c r="E640" s="7" t="s">
        <v>1810</v>
      </c>
      <c r="F640" s="17" t="e">
        <f>VLOOKUP('2501_MIS '!C640,'[1]Fast Track '!B:K,10,FALSE)</f>
        <v>#N/A</v>
      </c>
      <c r="G640" s="17" t="str">
        <f>VLOOKUP(C640,[2]Sheet7!A:D,4,FALSE)</f>
        <v>Not Promoted</v>
      </c>
      <c r="H640" s="45" t="s">
        <v>3645</v>
      </c>
      <c r="I640" s="26" t="s">
        <v>3682</v>
      </c>
      <c r="J640" s="11" t="s">
        <v>1378</v>
      </c>
      <c r="K640" s="6" t="s">
        <v>3231</v>
      </c>
      <c r="L640" s="6" t="s">
        <v>3232</v>
      </c>
      <c r="M640" s="6" t="s">
        <v>532</v>
      </c>
      <c r="O640" t="e">
        <f>VLOOKUP(C640,#REF!,12,FALSE)</f>
        <v>#REF!</v>
      </c>
    </row>
    <row r="641" spans="1:15">
      <c r="A641" s="17">
        <v>640</v>
      </c>
      <c r="B641" s="6" t="s">
        <v>783</v>
      </c>
      <c r="C641" s="7">
        <v>2021406215</v>
      </c>
      <c r="D641" s="7">
        <v>210101266</v>
      </c>
      <c r="E641" s="7" t="s">
        <v>1810</v>
      </c>
      <c r="F641" s="17" t="e">
        <f>VLOOKUP('2501_MIS '!C641,'[1]Fast Track '!B:K,10,FALSE)</f>
        <v>#N/A</v>
      </c>
      <c r="G641" s="17" t="str">
        <f>VLOOKUP(C641,[2]Sheet7!A:D,4,FALSE)</f>
        <v>Not Promoted</v>
      </c>
      <c r="H641" s="45" t="s">
        <v>3645</v>
      </c>
      <c r="I641" s="26" t="s">
        <v>3682</v>
      </c>
      <c r="J641" s="6" t="s">
        <v>784</v>
      </c>
      <c r="K641" s="6" t="s">
        <v>3233</v>
      </c>
      <c r="L641" s="6" t="s">
        <v>3234</v>
      </c>
      <c r="M641" s="6" t="s">
        <v>532</v>
      </c>
      <c r="O641" t="e">
        <f>VLOOKUP(C641,#REF!,12,FALSE)</f>
        <v>#REF!</v>
      </c>
    </row>
    <row r="642" spans="1:15">
      <c r="A642" s="17">
        <v>641</v>
      </c>
      <c r="B642" s="6" t="s">
        <v>824</v>
      </c>
      <c r="C642" s="7">
        <v>2021826104</v>
      </c>
      <c r="D642" s="7">
        <v>210101272</v>
      </c>
      <c r="E642" s="7" t="s">
        <v>1810</v>
      </c>
      <c r="F642" s="17" t="e">
        <f>VLOOKUP('2501_MIS '!C642,'[1]Fast Track '!B:K,10,FALSE)</f>
        <v>#N/A</v>
      </c>
      <c r="G642" s="17" t="str">
        <f>VLOOKUP(C642,[2]Sheet7!A:D,4,FALSE)</f>
        <v>Not Promoted</v>
      </c>
      <c r="H642" s="45" t="s">
        <v>3645</v>
      </c>
      <c r="I642" s="26" t="s">
        <v>3682</v>
      </c>
      <c r="J642" s="6" t="s">
        <v>825</v>
      </c>
      <c r="K642" s="6" t="s">
        <v>3235</v>
      </c>
      <c r="L642" s="6" t="s">
        <v>3236</v>
      </c>
      <c r="M642" s="6" t="s">
        <v>532</v>
      </c>
      <c r="O642" t="e">
        <f>VLOOKUP(C642,#REF!,12,FALSE)</f>
        <v>#REF!</v>
      </c>
    </row>
    <row r="643" spans="1:15">
      <c r="A643" s="17">
        <v>642</v>
      </c>
      <c r="B643" s="6" t="s">
        <v>822</v>
      </c>
      <c r="C643" s="7">
        <v>2021472701</v>
      </c>
      <c r="D643" s="7">
        <v>210101476</v>
      </c>
      <c r="E643" s="7" t="s">
        <v>1810</v>
      </c>
      <c r="F643" s="17" t="e">
        <f>VLOOKUP('2501_MIS '!C643,'[1]Fast Track '!B:K,10,FALSE)</f>
        <v>#N/A</v>
      </c>
      <c r="G643" s="17" t="str">
        <f>VLOOKUP(C643,[2]Sheet7!A:D,4,FALSE)</f>
        <v>Promoted</v>
      </c>
      <c r="H643" s="45" t="s">
        <v>3645</v>
      </c>
      <c r="I643" s="26" t="s">
        <v>3682</v>
      </c>
      <c r="J643" s="6" t="s">
        <v>823</v>
      </c>
      <c r="K643" s="6" t="s">
        <v>3237</v>
      </c>
      <c r="L643" s="6" t="s">
        <v>3238</v>
      </c>
      <c r="M643" s="6" t="s">
        <v>532</v>
      </c>
      <c r="O643" t="e">
        <f>VLOOKUP(C643,#REF!,12,FALSE)</f>
        <v>#REF!</v>
      </c>
    </row>
    <row r="644" spans="1:15">
      <c r="A644" s="17">
        <v>643</v>
      </c>
      <c r="B644" s="6" t="s">
        <v>850</v>
      </c>
      <c r="C644" s="7">
        <v>2022398713</v>
      </c>
      <c r="D644" s="7">
        <v>2201010017</v>
      </c>
      <c r="E644" s="7" t="s">
        <v>1810</v>
      </c>
      <c r="F644" s="17" t="e">
        <f>VLOOKUP('2501_MIS '!C644,'[1]Fast Track '!B:K,10,FALSE)</f>
        <v>#N/A</v>
      </c>
      <c r="G644" s="17" t="str">
        <f>VLOOKUP(C644,[2]Sheet7!A:D,4,FALSE)</f>
        <v>Not Promoted</v>
      </c>
      <c r="H644" s="45" t="s">
        <v>3645</v>
      </c>
      <c r="I644" s="26" t="s">
        <v>3682</v>
      </c>
      <c r="J644" s="6" t="s">
        <v>851</v>
      </c>
      <c r="K644" s="6" t="s">
        <v>3239</v>
      </c>
      <c r="L644" s="6" t="s">
        <v>3240</v>
      </c>
      <c r="M644" s="6" t="s">
        <v>532</v>
      </c>
      <c r="O644" t="e">
        <f>VLOOKUP(C644,#REF!,12,FALSE)</f>
        <v>#REF!</v>
      </c>
    </row>
    <row r="645" spans="1:15">
      <c r="A645" s="17">
        <v>644</v>
      </c>
      <c r="B645" s="6" t="s">
        <v>1385</v>
      </c>
      <c r="C645" s="7">
        <v>2022508386</v>
      </c>
      <c r="D645" s="7">
        <v>2201010025</v>
      </c>
      <c r="E645" s="7" t="s">
        <v>1810</v>
      </c>
      <c r="F645" s="17" t="e">
        <f>VLOOKUP('2501_MIS '!C645,'[1]Fast Track '!B:K,10,FALSE)</f>
        <v>#N/A</v>
      </c>
      <c r="G645" s="17" t="str">
        <f>VLOOKUP(C645,[2]Sheet7!A:D,4,FALSE)</f>
        <v>Not Promoted</v>
      </c>
      <c r="H645" s="45" t="s">
        <v>3645</v>
      </c>
      <c r="I645" s="26" t="s">
        <v>3682</v>
      </c>
      <c r="J645" s="6" t="s">
        <v>1386</v>
      </c>
      <c r="K645" s="6" t="s">
        <v>3241</v>
      </c>
      <c r="L645" s="6" t="s">
        <v>3242</v>
      </c>
      <c r="M645" s="6" t="s">
        <v>532</v>
      </c>
      <c r="O645" t="e">
        <f>VLOOKUP(C645,#REF!,12,FALSE)</f>
        <v>#REF!</v>
      </c>
    </row>
    <row r="646" spans="1:15">
      <c r="A646" s="17">
        <v>645</v>
      </c>
      <c r="B646" s="6" t="s">
        <v>836</v>
      </c>
      <c r="C646" s="7">
        <v>2022006640</v>
      </c>
      <c r="D646" s="7">
        <v>2201010027</v>
      </c>
      <c r="E646" s="7" t="s">
        <v>1810</v>
      </c>
      <c r="F646" s="17" t="e">
        <f>VLOOKUP('2501_MIS '!C646,'[1]Fast Track '!B:K,10,FALSE)</f>
        <v>#N/A</v>
      </c>
      <c r="G646" s="17" t="str">
        <f>VLOOKUP(C646,[2]Sheet7!A:D,4,FALSE)</f>
        <v>Promoted</v>
      </c>
      <c r="H646" s="45" t="s">
        <v>3645</v>
      </c>
      <c r="I646" s="26" t="s">
        <v>3682</v>
      </c>
      <c r="J646" s="6" t="s">
        <v>837</v>
      </c>
      <c r="K646" s="6" t="s">
        <v>3243</v>
      </c>
      <c r="L646" s="6" t="s">
        <v>3244</v>
      </c>
      <c r="M646" s="6" t="s">
        <v>532</v>
      </c>
      <c r="O646" t="e">
        <f>VLOOKUP(C646,#REF!,12,FALSE)</f>
        <v>#REF!</v>
      </c>
    </row>
    <row r="647" spans="1:15">
      <c r="A647" s="17">
        <v>646</v>
      </c>
      <c r="B647" s="6" t="s">
        <v>826</v>
      </c>
      <c r="C647" s="7">
        <v>2022004657</v>
      </c>
      <c r="D647" s="7">
        <v>2201010035</v>
      </c>
      <c r="E647" s="7" t="s">
        <v>1810</v>
      </c>
      <c r="F647" s="17" t="e">
        <f>VLOOKUP('2501_MIS '!C647,'[1]Fast Track '!B:K,10,FALSE)</f>
        <v>#N/A</v>
      </c>
      <c r="G647" s="17" t="str">
        <f>VLOOKUP(C647,[2]Sheet7!A:D,4,FALSE)</f>
        <v>Promoted</v>
      </c>
      <c r="H647" s="45" t="s">
        <v>3645</v>
      </c>
      <c r="I647" s="26" t="s">
        <v>3682</v>
      </c>
      <c r="J647" s="6" t="s">
        <v>827</v>
      </c>
      <c r="K647" s="6" t="s">
        <v>3245</v>
      </c>
      <c r="L647" s="6" t="s">
        <v>3246</v>
      </c>
      <c r="M647" s="6" t="s">
        <v>532</v>
      </c>
      <c r="O647" t="e">
        <f>VLOOKUP(C647,#REF!,12,FALSE)</f>
        <v>#REF!</v>
      </c>
    </row>
    <row r="648" spans="1:15">
      <c r="A648" s="17">
        <v>647</v>
      </c>
      <c r="B648" s="6" t="s">
        <v>1383</v>
      </c>
      <c r="C648" s="7">
        <v>2022007148</v>
      </c>
      <c r="D648" s="7">
        <v>2201010114</v>
      </c>
      <c r="E648" s="7" t="s">
        <v>1810</v>
      </c>
      <c r="F648" s="17" t="e">
        <f>VLOOKUP('2501_MIS '!C648,'[1]Fast Track '!B:K,10,FALSE)</f>
        <v>#N/A</v>
      </c>
      <c r="G648" s="17" t="str">
        <f>VLOOKUP(C648,[2]Sheet7!A:D,4,FALSE)</f>
        <v>Not Promoted</v>
      </c>
      <c r="H648" s="45" t="s">
        <v>3645</v>
      </c>
      <c r="I648" s="26" t="s">
        <v>3682</v>
      </c>
      <c r="J648" s="6" t="s">
        <v>1384</v>
      </c>
      <c r="K648" s="6" t="s">
        <v>3247</v>
      </c>
      <c r="L648" s="6" t="s">
        <v>3248</v>
      </c>
      <c r="M648" s="6" t="s">
        <v>532</v>
      </c>
      <c r="O648" t="e">
        <f>VLOOKUP(C648,#REF!,12,FALSE)</f>
        <v>#REF!</v>
      </c>
    </row>
    <row r="649" spans="1:15">
      <c r="A649" s="17">
        <v>648</v>
      </c>
      <c r="B649" s="6" t="s">
        <v>862</v>
      </c>
      <c r="C649" s="7">
        <v>2022459065</v>
      </c>
      <c r="D649" s="7">
        <v>2201010149</v>
      </c>
      <c r="E649" s="7" t="s">
        <v>1810</v>
      </c>
      <c r="F649" s="17" t="e">
        <f>VLOOKUP('2501_MIS '!C649,'[1]Fast Track '!B:K,10,FALSE)</f>
        <v>#N/A</v>
      </c>
      <c r="G649" s="17" t="str">
        <f>VLOOKUP(C649,[2]Sheet7!A:D,4,FALSE)</f>
        <v>Not Promoted</v>
      </c>
      <c r="H649" s="45" t="s">
        <v>3645</v>
      </c>
      <c r="I649" s="26" t="s">
        <v>3682</v>
      </c>
      <c r="J649" s="6" t="s">
        <v>863</v>
      </c>
      <c r="K649" s="6" t="s">
        <v>3249</v>
      </c>
      <c r="L649" s="6" t="s">
        <v>3250</v>
      </c>
      <c r="M649" s="6" t="s">
        <v>532</v>
      </c>
      <c r="O649" t="e">
        <f>VLOOKUP(C649,#REF!,12,FALSE)</f>
        <v>#REF!</v>
      </c>
    </row>
    <row r="650" spans="1:15">
      <c r="A650" s="17">
        <v>649</v>
      </c>
      <c r="B650" s="6" t="s">
        <v>1379</v>
      </c>
      <c r="C650" s="7">
        <v>2022006161</v>
      </c>
      <c r="D650" s="7">
        <v>2201010172</v>
      </c>
      <c r="E650" s="7" t="s">
        <v>1810</v>
      </c>
      <c r="F650" s="17" t="e">
        <f>VLOOKUP('2501_MIS '!C650,'[1]Fast Track '!B:K,10,FALSE)</f>
        <v>#N/A</v>
      </c>
      <c r="G650" s="17" t="str">
        <f>VLOOKUP(C650,[2]Sheet7!A:D,4,FALSE)</f>
        <v>Promoted</v>
      </c>
      <c r="H650" s="45" t="s">
        <v>3645</v>
      </c>
      <c r="I650" s="26" t="s">
        <v>3682</v>
      </c>
      <c r="J650" s="6" t="s">
        <v>1380</v>
      </c>
      <c r="K650" s="6" t="s">
        <v>3251</v>
      </c>
      <c r="L650" s="6" t="s">
        <v>3252</v>
      </c>
      <c r="M650" s="6" t="s">
        <v>532</v>
      </c>
      <c r="O650" t="e">
        <f>VLOOKUP(C650,#REF!,12,FALSE)</f>
        <v>#REF!</v>
      </c>
    </row>
    <row r="651" spans="1:15">
      <c r="A651" s="17">
        <v>650</v>
      </c>
      <c r="B651" s="6" t="s">
        <v>856</v>
      </c>
      <c r="C651" s="7">
        <v>2022421393</v>
      </c>
      <c r="D651" s="7">
        <v>2201010177</v>
      </c>
      <c r="E651" s="7" t="s">
        <v>1810</v>
      </c>
      <c r="F651" s="17" t="e">
        <f>VLOOKUP('2501_MIS '!C651,'[1]Fast Track '!B:K,10,FALSE)</f>
        <v>#N/A</v>
      </c>
      <c r="G651" s="17" t="str">
        <f>VLOOKUP(C651,[2]Sheet7!A:D,4,FALSE)</f>
        <v>Promoted</v>
      </c>
      <c r="H651" s="45" t="s">
        <v>3645</v>
      </c>
      <c r="I651" s="26" t="s">
        <v>3682</v>
      </c>
      <c r="J651" s="6" t="s">
        <v>857</v>
      </c>
      <c r="K651" s="6" t="s">
        <v>3253</v>
      </c>
      <c r="L651" s="6" t="s">
        <v>3254</v>
      </c>
      <c r="M651" s="6" t="s">
        <v>532</v>
      </c>
      <c r="O651" t="e">
        <f>VLOOKUP(C651,#REF!,12,FALSE)</f>
        <v>#REF!</v>
      </c>
    </row>
    <row r="652" spans="1:15">
      <c r="A652" s="17">
        <v>651</v>
      </c>
      <c r="B652" s="6" t="s">
        <v>876</v>
      </c>
      <c r="C652" s="7">
        <v>2022509542</v>
      </c>
      <c r="D652" s="7">
        <v>2201010186</v>
      </c>
      <c r="E652" s="7" t="s">
        <v>1810</v>
      </c>
      <c r="F652" s="17" t="e">
        <f>VLOOKUP('2501_MIS '!C652,'[1]Fast Track '!B:K,10,FALSE)</f>
        <v>#N/A</v>
      </c>
      <c r="G652" s="17" t="str">
        <f>VLOOKUP(C652,[2]Sheet7!A:D,4,FALSE)</f>
        <v>Promoted</v>
      </c>
      <c r="H652" s="45" t="s">
        <v>3645</v>
      </c>
      <c r="I652" s="26" t="s">
        <v>3682</v>
      </c>
      <c r="J652" s="6" t="s">
        <v>877</v>
      </c>
      <c r="K652" s="6" t="s">
        <v>3255</v>
      </c>
      <c r="L652" s="6" t="s">
        <v>3256</v>
      </c>
      <c r="M652" s="6" t="s">
        <v>532</v>
      </c>
      <c r="O652" t="e">
        <f>VLOOKUP(C652,#REF!,12,FALSE)</f>
        <v>#REF!</v>
      </c>
    </row>
    <row r="653" spans="1:15">
      <c r="A653" s="17">
        <v>652</v>
      </c>
      <c r="B653" s="6" t="s">
        <v>846</v>
      </c>
      <c r="C653" s="7">
        <v>2022361815</v>
      </c>
      <c r="D653" s="7">
        <v>2201010195</v>
      </c>
      <c r="E653" s="7" t="s">
        <v>1810</v>
      </c>
      <c r="F653" s="17" t="e">
        <f>VLOOKUP('2501_MIS '!C653,'[1]Fast Track '!B:K,10,FALSE)</f>
        <v>#N/A</v>
      </c>
      <c r="G653" s="17" t="str">
        <f>VLOOKUP(C653,[2]Sheet7!A:D,4,FALSE)</f>
        <v>Promoted</v>
      </c>
      <c r="H653" s="45" t="s">
        <v>3645</v>
      </c>
      <c r="I653" s="26" t="s">
        <v>3682</v>
      </c>
      <c r="J653" s="6" t="s">
        <v>847</v>
      </c>
      <c r="K653" s="6" t="s">
        <v>3257</v>
      </c>
      <c r="L653" s="6" t="s">
        <v>3258</v>
      </c>
      <c r="M653" s="6" t="s">
        <v>532</v>
      </c>
      <c r="O653" t="e">
        <f>VLOOKUP(C653,#REF!,12,FALSE)</f>
        <v>#REF!</v>
      </c>
    </row>
    <row r="654" spans="1:15">
      <c r="A654" s="17">
        <v>653</v>
      </c>
      <c r="B654" s="6" t="s">
        <v>868</v>
      </c>
      <c r="C654" s="7">
        <v>2022472743</v>
      </c>
      <c r="D654" s="7">
        <v>2201010256</v>
      </c>
      <c r="E654" s="7" t="s">
        <v>1810</v>
      </c>
      <c r="F654" s="17" t="e">
        <f>VLOOKUP('2501_MIS '!C654,'[1]Fast Track '!B:K,10,FALSE)</f>
        <v>#N/A</v>
      </c>
      <c r="G654" s="17" t="str">
        <f>VLOOKUP(C654,[2]Sheet7!A:D,4,FALSE)</f>
        <v>Promoted</v>
      </c>
      <c r="H654" s="45" t="s">
        <v>3645</v>
      </c>
      <c r="I654" s="26" t="s">
        <v>3682</v>
      </c>
      <c r="J654" s="6" t="s">
        <v>869</v>
      </c>
      <c r="K654" s="6" t="s">
        <v>3259</v>
      </c>
      <c r="L654" s="6" t="s">
        <v>3260</v>
      </c>
      <c r="M654" s="6" t="s">
        <v>532</v>
      </c>
      <c r="O654" t="e">
        <f>VLOOKUP(C654,#REF!,12,FALSE)</f>
        <v>#REF!</v>
      </c>
    </row>
    <row r="655" spans="1:15">
      <c r="A655" s="17">
        <v>654</v>
      </c>
      <c r="B655" s="6" t="s">
        <v>884</v>
      </c>
      <c r="C655" s="7">
        <v>2022554328</v>
      </c>
      <c r="D655" s="7">
        <v>2201010262</v>
      </c>
      <c r="E655" s="7" t="s">
        <v>1810</v>
      </c>
      <c r="F655" s="17" t="e">
        <f>VLOOKUP('2501_MIS '!C655,'[1]Fast Track '!B:K,10,FALSE)</f>
        <v>#N/A</v>
      </c>
      <c r="G655" s="17" t="str">
        <f>VLOOKUP(C655,[2]Sheet7!A:D,4,FALSE)</f>
        <v>Promoted</v>
      </c>
      <c r="H655" s="45" t="s">
        <v>3645</v>
      </c>
      <c r="I655" s="26" t="s">
        <v>3682</v>
      </c>
      <c r="J655" s="6" t="s">
        <v>885</v>
      </c>
      <c r="K655" s="6" t="s">
        <v>3261</v>
      </c>
      <c r="L655" s="6" t="s">
        <v>3262</v>
      </c>
      <c r="M655" s="6" t="s">
        <v>532</v>
      </c>
      <c r="O655" t="e">
        <f>VLOOKUP(C655,#REF!,12,FALSE)</f>
        <v>#REF!</v>
      </c>
    </row>
    <row r="656" spans="1:15">
      <c r="A656" s="17">
        <v>655</v>
      </c>
      <c r="B656" s="6" t="s">
        <v>1387</v>
      </c>
      <c r="C656" s="7">
        <v>2022509576</v>
      </c>
      <c r="D656" s="7">
        <v>2201010264</v>
      </c>
      <c r="E656" s="7" t="s">
        <v>1810</v>
      </c>
      <c r="F656" s="17" t="e">
        <f>VLOOKUP('2501_MIS '!C656,'[1]Fast Track '!B:K,10,FALSE)</f>
        <v>#N/A</v>
      </c>
      <c r="G656" s="17" t="str">
        <f>VLOOKUP(C656,[2]Sheet7!A:D,4,FALSE)</f>
        <v>Not Promoted</v>
      </c>
      <c r="H656" s="45" t="s">
        <v>3645</v>
      </c>
      <c r="I656" s="26" t="s">
        <v>3682</v>
      </c>
      <c r="J656" s="6" t="s">
        <v>1388</v>
      </c>
      <c r="K656" s="6" t="s">
        <v>3263</v>
      </c>
      <c r="L656" s="6" t="s">
        <v>3264</v>
      </c>
      <c r="M656" s="6" t="s">
        <v>532</v>
      </c>
      <c r="O656" t="e">
        <f>VLOOKUP(C656,#REF!,12,FALSE)</f>
        <v>#REF!</v>
      </c>
    </row>
    <row r="657" spans="1:15">
      <c r="A657" s="17">
        <v>656</v>
      </c>
      <c r="B657" s="6" t="s">
        <v>840</v>
      </c>
      <c r="C657" s="7">
        <v>2022304714</v>
      </c>
      <c r="D657" s="7">
        <v>2201010321</v>
      </c>
      <c r="E657" s="7" t="s">
        <v>1810</v>
      </c>
      <c r="F657" s="17" t="e">
        <f>VLOOKUP('2501_MIS '!C657,'[1]Fast Track '!B:K,10,FALSE)</f>
        <v>#N/A</v>
      </c>
      <c r="G657" s="17" t="str">
        <f>VLOOKUP(C657,[2]Sheet7!A:D,4,FALSE)</f>
        <v>Promoted</v>
      </c>
      <c r="H657" s="45" t="s">
        <v>3645</v>
      </c>
      <c r="I657" s="26" t="s">
        <v>3682</v>
      </c>
      <c r="J657" s="6" t="s">
        <v>841</v>
      </c>
      <c r="K657" s="6" t="s">
        <v>3265</v>
      </c>
      <c r="L657" s="6" t="s">
        <v>3266</v>
      </c>
      <c r="M657" s="6" t="s">
        <v>532</v>
      </c>
      <c r="O657" t="e">
        <f>VLOOKUP(C657,#REF!,12,FALSE)</f>
        <v>#REF!</v>
      </c>
    </row>
    <row r="658" spans="1:15">
      <c r="A658" s="17">
        <v>657</v>
      </c>
      <c r="B658" s="6" t="s">
        <v>872</v>
      </c>
      <c r="C658" s="7">
        <v>2022484080</v>
      </c>
      <c r="D658" s="7">
        <v>2201010322</v>
      </c>
      <c r="E658" s="7" t="s">
        <v>1810</v>
      </c>
      <c r="F658" s="17" t="e">
        <f>VLOOKUP('2501_MIS '!C658,'[1]Fast Track '!B:K,10,FALSE)</f>
        <v>#N/A</v>
      </c>
      <c r="G658" s="17" t="str">
        <f>VLOOKUP(C658,[2]Sheet7!A:D,4,FALSE)</f>
        <v>Promoted</v>
      </c>
      <c r="H658" s="45" t="s">
        <v>3645</v>
      </c>
      <c r="I658" s="26" t="s">
        <v>3682</v>
      </c>
      <c r="J658" s="6" t="s">
        <v>873</v>
      </c>
      <c r="K658" s="6" t="s">
        <v>3267</v>
      </c>
      <c r="L658" s="6" t="s">
        <v>3268</v>
      </c>
      <c r="M658" s="6" t="s">
        <v>532</v>
      </c>
      <c r="O658" t="e">
        <f>VLOOKUP(C658,#REF!,12,FALSE)</f>
        <v>#REF!</v>
      </c>
    </row>
    <row r="659" spans="1:15">
      <c r="A659" s="17">
        <v>658</v>
      </c>
      <c r="B659" s="6" t="s">
        <v>1381</v>
      </c>
      <c r="C659" s="7">
        <v>2022006647</v>
      </c>
      <c r="D659" s="7">
        <v>2201010388</v>
      </c>
      <c r="E659" s="7" t="s">
        <v>1810</v>
      </c>
      <c r="F659" s="17" t="e">
        <f>VLOOKUP('2501_MIS '!C659,'[1]Fast Track '!B:K,10,FALSE)</f>
        <v>#N/A</v>
      </c>
      <c r="G659" s="17" t="str">
        <f>VLOOKUP(C659,[2]Sheet7!A:D,4,FALSE)</f>
        <v>Promoted</v>
      </c>
      <c r="H659" s="45" t="s">
        <v>3645</v>
      </c>
      <c r="I659" s="26" t="s">
        <v>3682</v>
      </c>
      <c r="J659" s="6" t="s">
        <v>1382</v>
      </c>
      <c r="K659" s="6" t="s">
        <v>3269</v>
      </c>
      <c r="L659" s="6" t="s">
        <v>3270</v>
      </c>
      <c r="M659" s="6" t="s">
        <v>532</v>
      </c>
      <c r="O659" t="e">
        <f>VLOOKUP(C659,#REF!,12,FALSE)</f>
        <v>#REF!</v>
      </c>
    </row>
    <row r="660" spans="1:15">
      <c r="A660" s="17">
        <v>659</v>
      </c>
      <c r="B660" s="6" t="s">
        <v>891</v>
      </c>
      <c r="C660" s="7">
        <v>2022811762</v>
      </c>
      <c r="D660" s="7">
        <v>2201010398</v>
      </c>
      <c r="E660" s="7" t="s">
        <v>1810</v>
      </c>
      <c r="F660" s="17" t="e">
        <f>VLOOKUP('2501_MIS '!C660,'[1]Fast Track '!B:K,10,FALSE)</f>
        <v>#N/A</v>
      </c>
      <c r="G660" s="17" t="str">
        <f>VLOOKUP(C660,[2]Sheet7!A:D,4,FALSE)</f>
        <v>Promoted</v>
      </c>
      <c r="H660" s="45" t="s">
        <v>3645</v>
      </c>
      <c r="I660" s="26" t="s">
        <v>3682</v>
      </c>
      <c r="J660" s="6" t="s">
        <v>892</v>
      </c>
      <c r="K660" s="6" t="s">
        <v>3271</v>
      </c>
      <c r="L660" s="6" t="s">
        <v>3272</v>
      </c>
      <c r="M660" s="6" t="s">
        <v>532</v>
      </c>
      <c r="O660" t="e">
        <f>VLOOKUP(C660,#REF!,12,FALSE)</f>
        <v>#REF!</v>
      </c>
    </row>
    <row r="661" spans="1:15">
      <c r="A661" s="17">
        <v>660</v>
      </c>
      <c r="B661" s="6" t="s">
        <v>834</v>
      </c>
      <c r="C661" s="7">
        <v>2022006421</v>
      </c>
      <c r="D661" s="7">
        <v>2201010450</v>
      </c>
      <c r="E661" s="7" t="s">
        <v>1810</v>
      </c>
      <c r="F661" s="17" t="e">
        <f>VLOOKUP('2501_MIS '!C661,'[1]Fast Track '!B:K,10,FALSE)</f>
        <v>#N/A</v>
      </c>
      <c r="G661" s="17" t="str">
        <f>VLOOKUP(C661,[2]Sheet7!A:D,4,FALSE)</f>
        <v>Promoted</v>
      </c>
      <c r="H661" s="45" t="s">
        <v>3645</v>
      </c>
      <c r="I661" s="26" t="s">
        <v>3682</v>
      </c>
      <c r="J661" s="6" t="s">
        <v>835</v>
      </c>
      <c r="K661" s="6" t="s">
        <v>3273</v>
      </c>
      <c r="L661" s="6" t="s">
        <v>3274</v>
      </c>
      <c r="M661" s="6" t="s">
        <v>532</v>
      </c>
      <c r="O661" t="e">
        <f>VLOOKUP(C661,#REF!,12,FALSE)</f>
        <v>#REF!</v>
      </c>
    </row>
    <row r="662" spans="1:15">
      <c r="A662" s="17">
        <v>661</v>
      </c>
      <c r="B662" s="6" t="s">
        <v>830</v>
      </c>
      <c r="C662" s="7">
        <v>2022005748</v>
      </c>
      <c r="D662" s="7">
        <v>2201010460</v>
      </c>
      <c r="E662" s="7" t="s">
        <v>1810</v>
      </c>
      <c r="F662" s="17" t="e">
        <f>VLOOKUP('2501_MIS '!C662,'[1]Fast Track '!B:K,10,FALSE)</f>
        <v>#N/A</v>
      </c>
      <c r="G662" s="17" t="str">
        <f>VLOOKUP(C662,[2]Sheet7!A:D,4,FALSE)</f>
        <v>Promoted</v>
      </c>
      <c r="H662" s="45" t="s">
        <v>3645</v>
      </c>
      <c r="I662" s="26" t="s">
        <v>3682</v>
      </c>
      <c r="J662" s="6" t="s">
        <v>831</v>
      </c>
      <c r="K662" s="6" t="s">
        <v>3275</v>
      </c>
      <c r="L662" s="6" t="s">
        <v>3276</v>
      </c>
      <c r="M662" s="6" t="s">
        <v>532</v>
      </c>
      <c r="O662" t="e">
        <f>VLOOKUP(C662,#REF!,12,FALSE)</f>
        <v>#REF!</v>
      </c>
    </row>
    <row r="663" spans="1:15">
      <c r="A663" s="17">
        <v>662</v>
      </c>
      <c r="B663" s="6" t="s">
        <v>860</v>
      </c>
      <c r="C663" s="7">
        <v>2022451626</v>
      </c>
      <c r="D663" s="7">
        <v>2201010471</v>
      </c>
      <c r="E663" s="7" t="s">
        <v>1810</v>
      </c>
      <c r="F663" s="17" t="e">
        <f>VLOOKUP('2501_MIS '!C663,'[1]Fast Track '!B:K,10,FALSE)</f>
        <v>#N/A</v>
      </c>
      <c r="G663" s="17" t="str">
        <f>VLOOKUP(C663,[2]Sheet7!A:D,4,FALSE)</f>
        <v>Promoted</v>
      </c>
      <c r="H663" s="45" t="s">
        <v>3645</v>
      </c>
      <c r="I663" s="26" t="s">
        <v>3682</v>
      </c>
      <c r="J663" s="6" t="s">
        <v>861</v>
      </c>
      <c r="K663" s="6" t="s">
        <v>3277</v>
      </c>
      <c r="L663" s="6" t="s">
        <v>3278</v>
      </c>
      <c r="M663" s="6" t="s">
        <v>532</v>
      </c>
      <c r="O663" t="e">
        <f>VLOOKUP(C663,#REF!,12,FALSE)</f>
        <v>#REF!</v>
      </c>
    </row>
    <row r="664" spans="1:15">
      <c r="A664" s="17">
        <v>663</v>
      </c>
      <c r="B664" s="6" t="s">
        <v>882</v>
      </c>
      <c r="C664" s="7">
        <v>2022549867</v>
      </c>
      <c r="D664" s="7">
        <v>2201010478</v>
      </c>
      <c r="E664" s="7" t="s">
        <v>1810</v>
      </c>
      <c r="F664" s="17" t="e">
        <f>VLOOKUP('2501_MIS '!C664,'[1]Fast Track '!B:K,10,FALSE)</f>
        <v>#N/A</v>
      </c>
      <c r="G664" s="17" t="str">
        <f>VLOOKUP(C664,[2]Sheet7!A:D,4,FALSE)</f>
        <v>Promoted</v>
      </c>
      <c r="H664" s="45" t="s">
        <v>3645</v>
      </c>
      <c r="I664" s="26" t="s">
        <v>3682</v>
      </c>
      <c r="J664" s="6" t="s">
        <v>883</v>
      </c>
      <c r="K664" s="6" t="s">
        <v>3279</v>
      </c>
      <c r="L664" s="6" t="s">
        <v>3280</v>
      </c>
      <c r="M664" s="6" t="s">
        <v>532</v>
      </c>
      <c r="O664" t="e">
        <f>VLOOKUP(C664,#REF!,12,FALSE)</f>
        <v>#REF!</v>
      </c>
    </row>
    <row r="665" spans="1:15">
      <c r="A665" s="17">
        <v>664</v>
      </c>
      <c r="B665" s="6" t="s">
        <v>886</v>
      </c>
      <c r="C665" s="7">
        <v>2022561375</v>
      </c>
      <c r="D665" s="7">
        <v>2201010525</v>
      </c>
      <c r="E665" s="7" t="s">
        <v>1810</v>
      </c>
      <c r="F665" s="17" t="e">
        <f>VLOOKUP('2501_MIS '!C665,'[1]Fast Track '!B:K,10,FALSE)</f>
        <v>#N/A</v>
      </c>
      <c r="G665" s="17" t="str">
        <f>VLOOKUP(C665,[2]Sheet7!A:D,4,FALSE)</f>
        <v>Promoted</v>
      </c>
      <c r="H665" s="45" t="s">
        <v>3645</v>
      </c>
      <c r="I665" s="26" t="s">
        <v>3682</v>
      </c>
      <c r="J665" s="6" t="s">
        <v>887</v>
      </c>
      <c r="K665" s="6" t="s">
        <v>3283</v>
      </c>
      <c r="L665" s="6" t="s">
        <v>3284</v>
      </c>
      <c r="M665" s="6" t="s">
        <v>532</v>
      </c>
      <c r="O665" t="e">
        <f>VLOOKUP(C665,#REF!,12,FALSE)</f>
        <v>#REF!</v>
      </c>
    </row>
    <row r="666" spans="1:15">
      <c r="A666" s="17">
        <v>665</v>
      </c>
      <c r="B666" s="6" t="s">
        <v>852</v>
      </c>
      <c r="C666" s="7">
        <v>2022409593</v>
      </c>
      <c r="D666" s="7">
        <v>2201010527</v>
      </c>
      <c r="E666" s="7" t="s">
        <v>1810</v>
      </c>
      <c r="F666" s="17" t="e">
        <f>VLOOKUP('2501_MIS '!C666,'[1]Fast Track '!B:K,10,FALSE)</f>
        <v>#N/A</v>
      </c>
      <c r="G666" s="17" t="str">
        <f>VLOOKUP(C666,[2]Sheet7!A:D,4,FALSE)</f>
        <v>Promoted</v>
      </c>
      <c r="H666" s="45" t="s">
        <v>3645</v>
      </c>
      <c r="I666" s="26" t="s">
        <v>3682</v>
      </c>
      <c r="J666" s="6" t="s">
        <v>853</v>
      </c>
      <c r="K666" s="6" t="s">
        <v>3285</v>
      </c>
      <c r="L666" s="6" t="s">
        <v>3286</v>
      </c>
      <c r="M666" s="6" t="s">
        <v>532</v>
      </c>
      <c r="O666" t="e">
        <f>VLOOKUP(C666,#REF!,12,FALSE)</f>
        <v>#REF!</v>
      </c>
    </row>
    <row r="667" spans="1:15">
      <c r="A667" s="17">
        <v>666</v>
      </c>
      <c r="B667" s="6" t="s">
        <v>880</v>
      </c>
      <c r="C667" s="7">
        <v>2022548738</v>
      </c>
      <c r="D667" s="7">
        <v>2201010578</v>
      </c>
      <c r="E667" s="7" t="s">
        <v>1810</v>
      </c>
      <c r="F667" s="17" t="e">
        <f>VLOOKUP('2501_MIS '!C667,'[1]Fast Track '!B:K,10,FALSE)</f>
        <v>#N/A</v>
      </c>
      <c r="G667" s="17" t="str">
        <f>VLOOKUP(C667,[2]Sheet7!A:D,4,FALSE)</f>
        <v>Promoted</v>
      </c>
      <c r="H667" s="45" t="s">
        <v>3645</v>
      </c>
      <c r="I667" s="26" t="s">
        <v>3682</v>
      </c>
      <c r="J667" s="6" t="s">
        <v>881</v>
      </c>
      <c r="K667" s="6" t="s">
        <v>3287</v>
      </c>
      <c r="L667" s="6" t="s">
        <v>3288</v>
      </c>
      <c r="M667" s="6" t="s">
        <v>532</v>
      </c>
      <c r="O667" t="e">
        <f>VLOOKUP(C667,#REF!,12,FALSE)</f>
        <v>#REF!</v>
      </c>
    </row>
    <row r="668" spans="1:15">
      <c r="A668" s="17">
        <v>667</v>
      </c>
      <c r="B668" s="6" t="s">
        <v>878</v>
      </c>
      <c r="C668" s="7">
        <v>2022512443</v>
      </c>
      <c r="D668" s="7">
        <v>2201010616</v>
      </c>
      <c r="E668" s="7" t="s">
        <v>1810</v>
      </c>
      <c r="F668" s="17" t="e">
        <f>VLOOKUP('2501_MIS '!C668,'[1]Fast Track '!B:K,10,FALSE)</f>
        <v>#N/A</v>
      </c>
      <c r="G668" s="17" t="str">
        <f>VLOOKUP(C668,[2]Sheet7!A:D,4,FALSE)</f>
        <v>Promoted</v>
      </c>
      <c r="H668" s="45" t="s">
        <v>3645</v>
      </c>
      <c r="I668" s="26" t="s">
        <v>3682</v>
      </c>
      <c r="J668" s="6" t="s">
        <v>879</v>
      </c>
      <c r="K668" s="6" t="s">
        <v>3289</v>
      </c>
      <c r="L668" s="6" t="s">
        <v>3290</v>
      </c>
      <c r="M668" s="6" t="s">
        <v>532</v>
      </c>
      <c r="O668" t="e">
        <f>VLOOKUP(C668,#REF!,12,FALSE)</f>
        <v>#REF!</v>
      </c>
    </row>
    <row r="669" spans="1:15">
      <c r="A669" s="17">
        <v>668</v>
      </c>
      <c r="B669" s="6" t="s">
        <v>816</v>
      </c>
      <c r="C669" s="7">
        <v>2022354910</v>
      </c>
      <c r="D669" s="7">
        <v>2201010644</v>
      </c>
      <c r="E669" s="7" t="s">
        <v>1810</v>
      </c>
      <c r="F669" s="17" t="e">
        <f>VLOOKUP('2501_MIS '!C669,'[1]Fast Track '!B:K,10,FALSE)</f>
        <v>#N/A</v>
      </c>
      <c r="G669" s="17" t="str">
        <f>VLOOKUP(C669,[2]Sheet7!A:D,4,FALSE)</f>
        <v>Not Promoted</v>
      </c>
      <c r="H669" s="45" t="s">
        <v>3644</v>
      </c>
      <c r="I669" s="26" t="s">
        <v>3683</v>
      </c>
      <c r="J669" s="6" t="s">
        <v>817</v>
      </c>
      <c r="K669" s="6" t="s">
        <v>3291</v>
      </c>
      <c r="L669" s="6" t="s">
        <v>3292</v>
      </c>
      <c r="M669" s="6" t="s">
        <v>532</v>
      </c>
      <c r="O669" t="e">
        <f>VLOOKUP(C669,#REF!,12,FALSE)</f>
        <v>#REF!</v>
      </c>
    </row>
    <row r="670" spans="1:15">
      <c r="A670" s="17">
        <v>669</v>
      </c>
      <c r="B670" s="6" t="s">
        <v>828</v>
      </c>
      <c r="C670" s="7">
        <v>2022005080</v>
      </c>
      <c r="D670" s="7">
        <v>2201010653</v>
      </c>
      <c r="E670" s="7" t="s">
        <v>1810</v>
      </c>
      <c r="F670" s="17" t="e">
        <f>VLOOKUP('2501_MIS '!C670,'[1]Fast Track '!B:K,10,FALSE)</f>
        <v>#N/A</v>
      </c>
      <c r="G670" s="17" t="str">
        <f>VLOOKUP(C670,[2]Sheet7!A:D,4,FALSE)</f>
        <v>Promoted</v>
      </c>
      <c r="H670" s="45" t="s">
        <v>3644</v>
      </c>
      <c r="I670" s="26" t="s">
        <v>3683</v>
      </c>
      <c r="J670" s="6" t="s">
        <v>829</v>
      </c>
      <c r="K670" s="6" t="s">
        <v>3293</v>
      </c>
      <c r="L670" s="6" t="s">
        <v>3294</v>
      </c>
      <c r="M670" s="6" t="s">
        <v>532</v>
      </c>
      <c r="O670" t="e">
        <f>VLOOKUP(C670,#REF!,12,FALSE)</f>
        <v>#REF!</v>
      </c>
    </row>
    <row r="671" spans="1:15">
      <c r="A671" s="17">
        <v>670</v>
      </c>
      <c r="B671" s="6" t="s">
        <v>848</v>
      </c>
      <c r="C671" s="7">
        <v>2022387850</v>
      </c>
      <c r="D671" s="7">
        <v>2201010658</v>
      </c>
      <c r="E671" s="7" t="s">
        <v>1810</v>
      </c>
      <c r="F671" s="17" t="e">
        <f>VLOOKUP('2501_MIS '!C671,'[1]Fast Track '!B:K,10,FALSE)</f>
        <v>#N/A</v>
      </c>
      <c r="G671" s="17" t="str">
        <f>VLOOKUP(C671,[2]Sheet7!A:D,4,FALSE)</f>
        <v>Promoted</v>
      </c>
      <c r="H671" s="45" t="s">
        <v>3644</v>
      </c>
      <c r="I671" s="26" t="s">
        <v>3683</v>
      </c>
      <c r="J671" s="6" t="s">
        <v>849</v>
      </c>
      <c r="K671" s="6" t="s">
        <v>3295</v>
      </c>
      <c r="L671" s="6" t="s">
        <v>3296</v>
      </c>
      <c r="M671" s="6" t="s">
        <v>532</v>
      </c>
      <c r="O671" t="e">
        <f>VLOOKUP(C671,#REF!,12,FALSE)</f>
        <v>#REF!</v>
      </c>
    </row>
    <row r="672" spans="1:15">
      <c r="A672" s="17">
        <v>671</v>
      </c>
      <c r="B672" s="6" t="s">
        <v>842</v>
      </c>
      <c r="C672" s="7">
        <v>2022309446</v>
      </c>
      <c r="D672" s="7">
        <v>2201010663</v>
      </c>
      <c r="E672" s="7" t="s">
        <v>1810</v>
      </c>
      <c r="F672" s="17" t="e">
        <f>VLOOKUP('2501_MIS '!C672,'[1]Fast Track '!B:K,10,FALSE)</f>
        <v>#N/A</v>
      </c>
      <c r="G672" s="17" t="str">
        <f>VLOOKUP(C672,[2]Sheet7!A:D,4,FALSE)</f>
        <v>Promoted</v>
      </c>
      <c r="H672" s="45" t="s">
        <v>3644</v>
      </c>
      <c r="I672" s="26" t="s">
        <v>3683</v>
      </c>
      <c r="J672" s="6" t="s">
        <v>843</v>
      </c>
      <c r="K672" s="6" t="s">
        <v>3297</v>
      </c>
      <c r="L672" s="6" t="s">
        <v>3298</v>
      </c>
      <c r="M672" s="6" t="s">
        <v>532</v>
      </c>
      <c r="O672" t="e">
        <f>VLOOKUP(C672,#REF!,12,FALSE)</f>
        <v>#REF!</v>
      </c>
    </row>
    <row r="673" spans="1:15">
      <c r="A673" s="17">
        <v>672</v>
      </c>
      <c r="B673" s="6" t="s">
        <v>874</v>
      </c>
      <c r="C673" s="7">
        <v>2022499440</v>
      </c>
      <c r="D673" s="7">
        <v>2201010666</v>
      </c>
      <c r="E673" s="7" t="s">
        <v>1810</v>
      </c>
      <c r="F673" s="17" t="e">
        <f>VLOOKUP('2501_MIS '!C673,'[1]Fast Track '!B:K,10,FALSE)</f>
        <v>#N/A</v>
      </c>
      <c r="G673" s="17" t="str">
        <f>VLOOKUP(C673,[2]Sheet7!A:D,4,FALSE)</f>
        <v>Promoted</v>
      </c>
      <c r="H673" s="45" t="s">
        <v>3644</v>
      </c>
      <c r="I673" s="26" t="s">
        <v>3683</v>
      </c>
      <c r="J673" s="6" t="s">
        <v>875</v>
      </c>
      <c r="K673" s="6" t="s">
        <v>3299</v>
      </c>
      <c r="L673" s="6" t="s">
        <v>3300</v>
      </c>
      <c r="M673" s="6" t="s">
        <v>532</v>
      </c>
      <c r="O673" t="e">
        <f>VLOOKUP(C673,#REF!,12,FALSE)</f>
        <v>#REF!</v>
      </c>
    </row>
    <row r="674" spans="1:15">
      <c r="A674" s="17">
        <v>673</v>
      </c>
      <c r="B674" s="6" t="s">
        <v>864</v>
      </c>
      <c r="C674" s="7">
        <v>2022466983</v>
      </c>
      <c r="D674" s="7">
        <v>2201010677</v>
      </c>
      <c r="E674" s="7" t="s">
        <v>1810</v>
      </c>
      <c r="F674" s="17" t="e">
        <f>VLOOKUP('2501_MIS '!C674,'[1]Fast Track '!B:K,10,FALSE)</f>
        <v>#N/A</v>
      </c>
      <c r="G674" s="17" t="str">
        <f>VLOOKUP(C674,[2]Sheet7!A:D,4,FALSE)</f>
        <v>Promoted</v>
      </c>
      <c r="H674" s="45" t="s">
        <v>3644</v>
      </c>
      <c r="I674" s="26" t="s">
        <v>3683</v>
      </c>
      <c r="J674" s="6" t="s">
        <v>865</v>
      </c>
      <c r="K674" s="6" t="s">
        <v>3301</v>
      </c>
      <c r="L674" s="6" t="s">
        <v>3302</v>
      </c>
      <c r="M674" s="6" t="s">
        <v>532</v>
      </c>
      <c r="O674" t="e">
        <f>VLOOKUP(C674,#REF!,12,FALSE)</f>
        <v>#REF!</v>
      </c>
    </row>
    <row r="675" spans="1:15">
      <c r="A675" s="17">
        <v>674</v>
      </c>
      <c r="B675" s="6" t="s">
        <v>854</v>
      </c>
      <c r="C675" s="7">
        <v>2022409813</v>
      </c>
      <c r="D675" s="7">
        <v>2201010702</v>
      </c>
      <c r="E675" s="7" t="s">
        <v>1810</v>
      </c>
      <c r="F675" s="17" t="e">
        <f>VLOOKUP('2501_MIS '!C675,'[1]Fast Track '!B:K,10,FALSE)</f>
        <v>#N/A</v>
      </c>
      <c r="G675" s="17" t="str">
        <f>VLOOKUP(C675,[2]Sheet7!A:D,4,FALSE)</f>
        <v>Promoted</v>
      </c>
      <c r="H675" s="45" t="s">
        <v>3644</v>
      </c>
      <c r="I675" s="26" t="s">
        <v>3683</v>
      </c>
      <c r="J675" s="6" t="s">
        <v>855</v>
      </c>
      <c r="K675" s="6" t="s">
        <v>3303</v>
      </c>
      <c r="L675" s="6" t="s">
        <v>3304</v>
      </c>
      <c r="M675" s="6" t="s">
        <v>532</v>
      </c>
      <c r="O675" t="e">
        <f>VLOOKUP(C675,#REF!,12,FALSE)</f>
        <v>#REF!</v>
      </c>
    </row>
    <row r="676" spans="1:15">
      <c r="A676" s="17">
        <v>675</v>
      </c>
      <c r="B676" s="6" t="s">
        <v>893</v>
      </c>
      <c r="C676" s="7">
        <v>2022816972</v>
      </c>
      <c r="D676" s="7">
        <v>2201010707</v>
      </c>
      <c r="E676" s="7" t="s">
        <v>1810</v>
      </c>
      <c r="F676" s="17" t="e">
        <f>VLOOKUP('2501_MIS '!C676,'[1]Fast Track '!B:K,10,FALSE)</f>
        <v>#N/A</v>
      </c>
      <c r="G676" s="17" t="str">
        <f>VLOOKUP(C676,[2]Sheet7!A:D,4,FALSE)</f>
        <v>Promoted</v>
      </c>
      <c r="H676" s="45" t="s">
        <v>3644</v>
      </c>
      <c r="I676" s="26" t="s">
        <v>3683</v>
      </c>
      <c r="J676" s="6" t="s">
        <v>894</v>
      </c>
      <c r="K676" s="6" t="s">
        <v>3305</v>
      </c>
      <c r="L676" s="6" t="s">
        <v>3306</v>
      </c>
      <c r="M676" s="6" t="s">
        <v>532</v>
      </c>
      <c r="O676" t="e">
        <f>VLOOKUP(C676,#REF!,12,FALSE)</f>
        <v>#REF!</v>
      </c>
    </row>
    <row r="677" spans="1:15">
      <c r="A677" s="17">
        <v>676</v>
      </c>
      <c r="B677" s="6" t="s">
        <v>866</v>
      </c>
      <c r="C677" s="7">
        <v>2022471296</v>
      </c>
      <c r="D677" s="7">
        <v>2201010717</v>
      </c>
      <c r="E677" s="7" t="s">
        <v>1810</v>
      </c>
      <c r="F677" s="17" t="e">
        <f>VLOOKUP('2501_MIS '!C677,'[1]Fast Track '!B:K,10,FALSE)</f>
        <v>#N/A</v>
      </c>
      <c r="G677" s="17" t="str">
        <f>VLOOKUP(C677,[2]Sheet7!A:D,4,FALSE)</f>
        <v>Promoted</v>
      </c>
      <c r="H677" s="45" t="s">
        <v>3644</v>
      </c>
      <c r="I677" s="26" t="s">
        <v>3683</v>
      </c>
      <c r="J677" s="6" t="s">
        <v>867</v>
      </c>
      <c r="K677" s="6" t="s">
        <v>3307</v>
      </c>
      <c r="L677" s="6" t="s">
        <v>3308</v>
      </c>
      <c r="M677" s="6" t="s">
        <v>532</v>
      </c>
      <c r="O677" t="e">
        <f>VLOOKUP(C677,#REF!,12,FALSE)</f>
        <v>#REF!</v>
      </c>
    </row>
    <row r="678" spans="1:15">
      <c r="A678" s="17">
        <v>677</v>
      </c>
      <c r="B678" s="6" t="s">
        <v>870</v>
      </c>
      <c r="C678" s="7">
        <v>2022482202</v>
      </c>
      <c r="D678" s="7">
        <v>2201010805</v>
      </c>
      <c r="E678" s="7" t="s">
        <v>1810</v>
      </c>
      <c r="F678" s="17" t="e">
        <f>VLOOKUP('2501_MIS '!C678,'[1]Fast Track '!B:K,10,FALSE)</f>
        <v>#N/A</v>
      </c>
      <c r="G678" s="17" t="str">
        <f>VLOOKUP(C678,[2]Sheet7!A:D,4,FALSE)</f>
        <v>Promoted</v>
      </c>
      <c r="H678" s="45" t="s">
        <v>3644</v>
      </c>
      <c r="I678" s="26" t="s">
        <v>3683</v>
      </c>
      <c r="J678" s="6" t="s">
        <v>871</v>
      </c>
      <c r="K678" s="6" t="s">
        <v>3309</v>
      </c>
      <c r="L678" s="6" t="s">
        <v>3310</v>
      </c>
      <c r="M678" s="6" t="s">
        <v>532</v>
      </c>
      <c r="O678" t="e">
        <f>VLOOKUP(C678,#REF!,12,FALSE)</f>
        <v>#REF!</v>
      </c>
    </row>
    <row r="679" spans="1:15">
      <c r="A679" s="17">
        <v>678</v>
      </c>
      <c r="B679" s="6" t="s">
        <v>838</v>
      </c>
      <c r="C679" s="7">
        <v>2022007193</v>
      </c>
      <c r="D679" s="7">
        <v>2201010923</v>
      </c>
      <c r="E679" s="7" t="s">
        <v>1810</v>
      </c>
      <c r="F679" s="17" t="e">
        <f>VLOOKUP('2501_MIS '!C679,'[1]Fast Track '!B:K,10,FALSE)</f>
        <v>#N/A</v>
      </c>
      <c r="G679" s="17" t="str">
        <f>VLOOKUP(C679,[2]Sheet7!A:D,4,FALSE)</f>
        <v>Promoted</v>
      </c>
      <c r="H679" s="45" t="s">
        <v>3644</v>
      </c>
      <c r="I679" s="26" t="s">
        <v>3683</v>
      </c>
      <c r="J679" s="6" t="s">
        <v>839</v>
      </c>
      <c r="K679" s="6" t="s">
        <v>3313</v>
      </c>
      <c r="L679" s="6" t="s">
        <v>3314</v>
      </c>
      <c r="M679" s="6" t="s">
        <v>532</v>
      </c>
      <c r="O679" t="e">
        <f>VLOOKUP(C679,#REF!,12,FALSE)</f>
        <v>#REF!</v>
      </c>
    </row>
    <row r="680" spans="1:15">
      <c r="A680" s="17">
        <v>679</v>
      </c>
      <c r="B680" s="6" t="s">
        <v>377</v>
      </c>
      <c r="C680" s="7">
        <v>2022618129</v>
      </c>
      <c r="D680" s="7">
        <v>2201010938</v>
      </c>
      <c r="E680" s="7" t="s">
        <v>1810</v>
      </c>
      <c r="F680" s="17" t="e">
        <f>VLOOKUP('2501_MIS '!C680,'[1]Fast Track '!B:K,10,FALSE)</f>
        <v>#N/A</v>
      </c>
      <c r="G680" s="17" t="str">
        <f>VLOOKUP(C680,[2]Sheet7!A:D,4,FALSE)</f>
        <v>Promoted</v>
      </c>
      <c r="H680" s="45" t="s">
        <v>3644</v>
      </c>
      <c r="I680" s="26" t="s">
        <v>3683</v>
      </c>
      <c r="J680" s="6" t="s">
        <v>888</v>
      </c>
      <c r="K680" s="6" t="s">
        <v>3315</v>
      </c>
      <c r="L680" s="6" t="s">
        <v>3316</v>
      </c>
      <c r="M680" s="6" t="s">
        <v>532</v>
      </c>
      <c r="O680" t="e">
        <f>VLOOKUP(C680,#REF!,12,FALSE)</f>
        <v>#REF!</v>
      </c>
    </row>
    <row r="681" spans="1:15">
      <c r="A681" s="17">
        <v>680</v>
      </c>
      <c r="B681" s="6" t="s">
        <v>889</v>
      </c>
      <c r="C681" s="7">
        <v>2022623875</v>
      </c>
      <c r="D681" s="7">
        <v>2201010940</v>
      </c>
      <c r="E681" s="7" t="s">
        <v>1810</v>
      </c>
      <c r="F681" s="17" t="e">
        <f>VLOOKUP('2501_MIS '!C681,'[1]Fast Track '!B:K,10,FALSE)</f>
        <v>#N/A</v>
      </c>
      <c r="G681" s="17" t="str">
        <f>VLOOKUP(C681,[2]Sheet7!A:D,4,FALSE)</f>
        <v>Promoted</v>
      </c>
      <c r="H681" s="45" t="s">
        <v>3644</v>
      </c>
      <c r="I681" s="26" t="s">
        <v>3683</v>
      </c>
      <c r="J681" s="6" t="s">
        <v>890</v>
      </c>
      <c r="K681" s="6" t="s">
        <v>3317</v>
      </c>
      <c r="L681" s="6" t="s">
        <v>3318</v>
      </c>
      <c r="M681" s="6" t="s">
        <v>532</v>
      </c>
      <c r="O681" t="e">
        <f>VLOOKUP(C681,#REF!,12,FALSE)</f>
        <v>#REF!</v>
      </c>
    </row>
    <row r="682" spans="1:15">
      <c r="A682" s="17">
        <v>681</v>
      </c>
      <c r="B682" s="6" t="s">
        <v>1389</v>
      </c>
      <c r="C682" s="7">
        <v>2023253225</v>
      </c>
      <c r="D682" s="7">
        <v>2301017016</v>
      </c>
      <c r="E682" s="7" t="s">
        <v>1810</v>
      </c>
      <c r="F682" s="17" t="e">
        <f>VLOOKUP('2501_MIS '!C682,'[1]Fast Track '!B:K,10,FALSE)</f>
        <v>#N/A</v>
      </c>
      <c r="G682" s="17" t="str">
        <f>VLOOKUP(C682,[2]Sheet7!A:D,4,FALSE)</f>
        <v>Promoted</v>
      </c>
      <c r="H682" s="45" t="s">
        <v>3644</v>
      </c>
      <c r="I682" s="26" t="s">
        <v>3683</v>
      </c>
      <c r="J682" s="6" t="s">
        <v>1390</v>
      </c>
      <c r="K682" s="6" t="s">
        <v>3319</v>
      </c>
      <c r="L682" s="6" t="s">
        <v>3320</v>
      </c>
      <c r="M682" s="6" t="s">
        <v>532</v>
      </c>
      <c r="O682" t="e">
        <f>VLOOKUP(C682,#REF!,12,FALSE)</f>
        <v>#REF!</v>
      </c>
    </row>
    <row r="683" spans="1:15">
      <c r="A683" s="17">
        <v>682</v>
      </c>
      <c r="B683" s="6" t="s">
        <v>1554</v>
      </c>
      <c r="C683" s="7">
        <v>2022463885</v>
      </c>
      <c r="D683" s="7">
        <v>2201010725</v>
      </c>
      <c r="E683" s="7" t="s">
        <v>1810</v>
      </c>
      <c r="F683" s="17" t="e">
        <f>VLOOKUP('2501_MIS '!C683,'[1]Fast Track '!B:K,10,FALSE)</f>
        <v>#N/A</v>
      </c>
      <c r="G683" s="17" t="str">
        <f>VLOOKUP(C683,[2]Sheet7!A:D,4,FALSE)</f>
        <v>Promoted</v>
      </c>
      <c r="H683" s="45" t="s">
        <v>3644</v>
      </c>
      <c r="I683" s="26" t="s">
        <v>3683</v>
      </c>
      <c r="J683" s="6" t="s">
        <v>1555</v>
      </c>
      <c r="K683" s="6" t="s">
        <v>3411</v>
      </c>
      <c r="L683" s="6" t="s">
        <v>3412</v>
      </c>
      <c r="M683" s="6" t="s">
        <v>532</v>
      </c>
      <c r="O683" t="e">
        <f>VLOOKUP(C683,#REF!,12,FALSE)</f>
        <v>#REF!</v>
      </c>
    </row>
    <row r="684" spans="1:15">
      <c r="A684" s="17">
        <v>683</v>
      </c>
      <c r="B684" s="6" t="s">
        <v>1552</v>
      </c>
      <c r="C684" s="7">
        <v>2022401760</v>
      </c>
      <c r="D684" s="7">
        <v>2201010746</v>
      </c>
      <c r="E684" s="7" t="s">
        <v>1810</v>
      </c>
      <c r="F684" s="17" t="e">
        <f>VLOOKUP('2501_MIS '!C684,'[1]Fast Track '!B:K,10,FALSE)</f>
        <v>#N/A</v>
      </c>
      <c r="G684" s="17" t="str">
        <f>VLOOKUP(C684,[2]Sheet7!A:D,4,FALSE)</f>
        <v>Promoted</v>
      </c>
      <c r="H684" s="45" t="s">
        <v>3644</v>
      </c>
      <c r="I684" s="26" t="s">
        <v>3683</v>
      </c>
      <c r="J684" s="6" t="s">
        <v>1553</v>
      </c>
      <c r="K684" s="6" t="s">
        <v>3413</v>
      </c>
      <c r="L684" s="6" t="s">
        <v>3414</v>
      </c>
      <c r="M684" s="6" t="s">
        <v>532</v>
      </c>
      <c r="O684" t="e">
        <f>VLOOKUP(C684,#REF!,12,FALSE)</f>
        <v>#REF!</v>
      </c>
    </row>
    <row r="685" spans="1:15">
      <c r="A685" s="17">
        <v>684</v>
      </c>
      <c r="B685" s="6" t="s">
        <v>1527</v>
      </c>
      <c r="C685" s="7">
        <v>2022006170</v>
      </c>
      <c r="D685" s="7">
        <v>2201010761</v>
      </c>
      <c r="E685" s="7" t="s">
        <v>1810</v>
      </c>
      <c r="F685" s="17" t="e">
        <f>VLOOKUP('2501_MIS '!C685,'[1]Fast Track '!B:K,10,FALSE)</f>
        <v>#N/A</v>
      </c>
      <c r="G685" s="17" t="str">
        <f>VLOOKUP(C685,[2]Sheet7!A:D,4,FALSE)</f>
        <v>Promoted</v>
      </c>
      <c r="H685" s="45" t="s">
        <v>3644</v>
      </c>
      <c r="I685" s="26" t="s">
        <v>3683</v>
      </c>
      <c r="J685" s="6" t="s">
        <v>1528</v>
      </c>
      <c r="K685" s="6" t="s">
        <v>3415</v>
      </c>
      <c r="L685" s="6" t="s">
        <v>3416</v>
      </c>
      <c r="M685" s="6" t="s">
        <v>532</v>
      </c>
      <c r="O685" t="e">
        <f>VLOOKUP(C685,#REF!,12,FALSE)</f>
        <v>#REF!</v>
      </c>
    </row>
    <row r="686" spans="1:15">
      <c r="A686" s="17">
        <v>685</v>
      </c>
      <c r="B686" s="6" t="s">
        <v>1576</v>
      </c>
      <c r="C686" s="7">
        <v>2022519978</v>
      </c>
      <c r="D686" s="7">
        <v>2201010793</v>
      </c>
      <c r="E686" s="7" t="s">
        <v>1810</v>
      </c>
      <c r="F686" s="17" t="e">
        <f>VLOOKUP('2501_MIS '!C686,'[1]Fast Track '!B:K,10,FALSE)</f>
        <v>#N/A</v>
      </c>
      <c r="G686" s="17" t="str">
        <f>VLOOKUP(C686,[2]Sheet7!A:D,4,FALSE)</f>
        <v>Promoted</v>
      </c>
      <c r="H686" s="45" t="s">
        <v>3644</v>
      </c>
      <c r="I686" s="26" t="s">
        <v>3683</v>
      </c>
      <c r="J686" s="6" t="s">
        <v>1577</v>
      </c>
      <c r="K686" s="6" t="s">
        <v>3417</v>
      </c>
      <c r="L686" s="6" t="s">
        <v>3418</v>
      </c>
      <c r="M686" s="6" t="s">
        <v>532</v>
      </c>
      <c r="O686" t="e">
        <f>VLOOKUP(C686,#REF!,12,FALSE)</f>
        <v>#REF!</v>
      </c>
    </row>
    <row r="687" spans="1:15">
      <c r="A687" s="17">
        <v>686</v>
      </c>
      <c r="B687" s="6" t="s">
        <v>1564</v>
      </c>
      <c r="C687" s="7">
        <v>2022506228</v>
      </c>
      <c r="D687" s="7">
        <v>2201010930</v>
      </c>
      <c r="E687" s="7" t="s">
        <v>1810</v>
      </c>
      <c r="F687" s="17" t="e">
        <f>VLOOKUP('2501_MIS '!C687,'[1]Fast Track '!B:K,10,FALSE)</f>
        <v>#N/A</v>
      </c>
      <c r="G687" s="17" t="str">
        <f>VLOOKUP(C687,[2]Sheet7!A:D,4,FALSE)</f>
        <v>Promoted</v>
      </c>
      <c r="H687" s="45" t="s">
        <v>3644</v>
      </c>
      <c r="I687" s="26" t="s">
        <v>3683</v>
      </c>
      <c r="J687" s="6" t="s">
        <v>1565</v>
      </c>
      <c r="K687" s="6" t="s">
        <v>3419</v>
      </c>
      <c r="L687" s="6" t="s">
        <v>3420</v>
      </c>
      <c r="M687" s="6" t="s">
        <v>532</v>
      </c>
      <c r="O687" t="e">
        <f>VLOOKUP(C687,#REF!,12,FALSE)</f>
        <v>#REF!</v>
      </c>
    </row>
    <row r="688" spans="1:15">
      <c r="A688" s="17">
        <v>687</v>
      </c>
      <c r="B688" s="6" t="s">
        <v>1205</v>
      </c>
      <c r="C688" s="7">
        <v>2022486764</v>
      </c>
      <c r="D688" s="7">
        <v>2201010004</v>
      </c>
      <c r="E688" s="7" t="s">
        <v>1810</v>
      </c>
      <c r="F688" s="17" t="e">
        <f>VLOOKUP('2501_MIS '!C688,'[1]Fast Track '!B:K,10,FALSE)</f>
        <v>#N/A</v>
      </c>
      <c r="G688" s="17" t="str">
        <f>VLOOKUP(C688,[2]Sheet7!A:D,4,FALSE)</f>
        <v>Promoted</v>
      </c>
      <c r="H688" s="45" t="s">
        <v>3644</v>
      </c>
      <c r="I688" s="26" t="s">
        <v>3683</v>
      </c>
      <c r="J688" s="6" t="s">
        <v>1206</v>
      </c>
      <c r="K688" s="6" t="s">
        <v>2847</v>
      </c>
      <c r="L688" s="6" t="s">
        <v>2848</v>
      </c>
      <c r="M688" s="6" t="s">
        <v>532</v>
      </c>
      <c r="O688" t="e">
        <f>VLOOKUP(C688,#REF!,12,FALSE)</f>
        <v>#REF!</v>
      </c>
    </row>
    <row r="689" spans="1:15">
      <c r="A689" s="17">
        <v>688</v>
      </c>
      <c r="B689" s="6" t="s">
        <v>1245</v>
      </c>
      <c r="C689" s="7">
        <v>2022380686</v>
      </c>
      <c r="D689" s="7">
        <v>2201010011</v>
      </c>
      <c r="E689" s="7" t="s">
        <v>1810</v>
      </c>
      <c r="F689" s="17" t="e">
        <f>VLOOKUP('2501_MIS '!C689,'[1]Fast Track '!B:K,10,FALSE)</f>
        <v>#N/A</v>
      </c>
      <c r="G689" s="17" t="str">
        <f>VLOOKUP(C689,[2]Sheet7!A:D,4,FALSE)</f>
        <v>Promoted</v>
      </c>
      <c r="H689" s="45" t="s">
        <v>3644</v>
      </c>
      <c r="I689" s="26" t="s">
        <v>3683</v>
      </c>
      <c r="J689" s="6" t="s">
        <v>1246</v>
      </c>
      <c r="K689" s="6" t="s">
        <v>2849</v>
      </c>
      <c r="L689" s="6" t="s">
        <v>2850</v>
      </c>
      <c r="M689" s="6" t="s">
        <v>532</v>
      </c>
      <c r="O689" t="e">
        <f>VLOOKUP(C689,#REF!,12,FALSE)</f>
        <v>#REF!</v>
      </c>
    </row>
    <row r="690" spans="1:15">
      <c r="A690" s="17">
        <v>689</v>
      </c>
      <c r="B690" s="6" t="s">
        <v>1221</v>
      </c>
      <c r="C690" s="7">
        <v>2022516040</v>
      </c>
      <c r="D690" s="7">
        <v>2201010020</v>
      </c>
      <c r="E690" s="7" t="s">
        <v>1810</v>
      </c>
      <c r="F690" s="17" t="e">
        <f>VLOOKUP('2501_MIS '!C690,'[1]Fast Track '!B:K,10,FALSE)</f>
        <v>#N/A</v>
      </c>
      <c r="G690" s="17" t="str">
        <f>VLOOKUP(C690,[2]Sheet7!A:D,4,FALSE)</f>
        <v>Promoted</v>
      </c>
      <c r="H690" s="45" t="s">
        <v>3644</v>
      </c>
      <c r="I690" s="26" t="s">
        <v>3683</v>
      </c>
      <c r="J690" s="6" t="s">
        <v>1222</v>
      </c>
      <c r="K690" s="6" t="s">
        <v>2851</v>
      </c>
      <c r="L690" s="6" t="s">
        <v>2852</v>
      </c>
      <c r="M690" s="6" t="s">
        <v>532</v>
      </c>
      <c r="O690" t="e">
        <f>VLOOKUP(C690,#REF!,12,FALSE)</f>
        <v>#REF!</v>
      </c>
    </row>
    <row r="691" spans="1:15">
      <c r="A691" s="17">
        <v>690</v>
      </c>
      <c r="B691" s="6" t="s">
        <v>1167</v>
      </c>
      <c r="C691" s="7">
        <v>2022354445</v>
      </c>
      <c r="D691" s="7">
        <v>2201010021</v>
      </c>
      <c r="E691" s="7" t="s">
        <v>1810</v>
      </c>
      <c r="F691" s="17" t="e">
        <f>VLOOKUP('2501_MIS '!C691,'[1]Fast Track '!B:K,10,FALSE)</f>
        <v>#N/A</v>
      </c>
      <c r="G691" s="17" t="str">
        <f>VLOOKUP(C691,[2]Sheet7!A:D,4,FALSE)</f>
        <v>Promoted</v>
      </c>
      <c r="H691" s="45" t="s">
        <v>3644</v>
      </c>
      <c r="I691" s="26" t="s">
        <v>3683</v>
      </c>
      <c r="J691" s="6" t="s">
        <v>1168</v>
      </c>
      <c r="K691" s="6" t="s">
        <v>2853</v>
      </c>
      <c r="L691" s="6" t="s">
        <v>2854</v>
      </c>
      <c r="M691" s="6" t="s">
        <v>532</v>
      </c>
      <c r="O691" t="e">
        <f>VLOOKUP(C691,#REF!,12,FALSE)</f>
        <v>#REF!</v>
      </c>
    </row>
    <row r="692" spans="1:15">
      <c r="A692" s="17">
        <v>691</v>
      </c>
      <c r="B692" s="6" t="s">
        <v>1197</v>
      </c>
      <c r="C692" s="7">
        <v>2022460612</v>
      </c>
      <c r="D692" s="7">
        <v>2201010026</v>
      </c>
      <c r="E692" s="7" t="s">
        <v>1810</v>
      </c>
      <c r="F692" s="17" t="e">
        <f>VLOOKUP('2501_MIS '!C692,'[1]Fast Track '!B:K,10,FALSE)</f>
        <v>#N/A</v>
      </c>
      <c r="G692" s="17" t="str">
        <f>VLOOKUP(C692,[2]Sheet7!A:D,4,FALSE)</f>
        <v>Promoted</v>
      </c>
      <c r="H692" s="45" t="s">
        <v>3644</v>
      </c>
      <c r="I692" s="26" t="s">
        <v>3683</v>
      </c>
      <c r="J692" s="6" t="s">
        <v>1198</v>
      </c>
      <c r="K692" s="6" t="s">
        <v>2855</v>
      </c>
      <c r="L692" s="6" t="s">
        <v>2856</v>
      </c>
      <c r="M692" s="6" t="s">
        <v>532</v>
      </c>
      <c r="O692" t="e">
        <f>VLOOKUP(C692,#REF!,12,FALSE)</f>
        <v>#REF!</v>
      </c>
    </row>
    <row r="693" spans="1:15">
      <c r="A693" s="17">
        <v>692</v>
      </c>
      <c r="B693" s="6" t="s">
        <v>911</v>
      </c>
      <c r="C693" s="7">
        <v>2022001992</v>
      </c>
      <c r="D693" s="7">
        <v>2201010371</v>
      </c>
      <c r="E693" s="7" t="s">
        <v>1810</v>
      </c>
      <c r="F693" s="17" t="e">
        <f>VLOOKUP('2501_MIS '!C693,'[1]Fast Track '!B:K,10,FALSE)</f>
        <v>#N/A</v>
      </c>
      <c r="G693" s="17" t="str">
        <f>VLOOKUP(C693,[2]Sheet7!A:D,4,FALSE)</f>
        <v>Promoted</v>
      </c>
      <c r="H693" s="45" t="s">
        <v>3644</v>
      </c>
      <c r="I693" s="26" t="s">
        <v>3683</v>
      </c>
      <c r="J693" s="6" t="s">
        <v>1129</v>
      </c>
      <c r="K693" s="6" t="s">
        <v>2907</v>
      </c>
      <c r="L693" s="6" t="s">
        <v>2908</v>
      </c>
      <c r="M693" s="6" t="s">
        <v>532</v>
      </c>
      <c r="O693" t="e">
        <f>VLOOKUP(C693,#REF!,12,FALSE)</f>
        <v>#REF!</v>
      </c>
    </row>
    <row r="694" spans="1:15">
      <c r="A694" s="17">
        <v>693</v>
      </c>
      <c r="B694" s="6" t="s">
        <v>1249</v>
      </c>
      <c r="C694" s="7">
        <v>2022508637</v>
      </c>
      <c r="D694" s="7">
        <v>2201010060</v>
      </c>
      <c r="E694" s="7" t="s">
        <v>1810</v>
      </c>
      <c r="F694" s="17" t="e">
        <f>VLOOKUP('2501_MIS '!C694,'[1]Fast Track '!B:K,10,FALSE)</f>
        <v>#N/A</v>
      </c>
      <c r="G694" s="17" t="str">
        <f>VLOOKUP(C694,[2]Sheet7!A:D,4,FALSE)</f>
        <v>Promoted</v>
      </c>
      <c r="H694" s="45" t="s">
        <v>3644</v>
      </c>
      <c r="I694" s="26" t="s">
        <v>3683</v>
      </c>
      <c r="J694" s="6" t="s">
        <v>1250</v>
      </c>
      <c r="K694" s="6" t="s">
        <v>2861</v>
      </c>
      <c r="L694" s="6" t="s">
        <v>2862</v>
      </c>
      <c r="M694" s="6" t="s">
        <v>532</v>
      </c>
      <c r="O694" t="e">
        <f>VLOOKUP(C694,#REF!,12,FALSE)</f>
        <v>#REF!</v>
      </c>
    </row>
    <row r="695" spans="1:15">
      <c r="A695" s="17">
        <v>694</v>
      </c>
      <c r="B695" s="6" t="s">
        <v>1162</v>
      </c>
      <c r="C695" s="7">
        <v>2022338152</v>
      </c>
      <c r="D695" s="7">
        <v>2201010773</v>
      </c>
      <c r="E695" s="7" t="s">
        <v>1810</v>
      </c>
      <c r="F695" s="17" t="e">
        <f>VLOOKUP('2501_MIS '!C695,'[1]Fast Track '!B:K,10,FALSE)</f>
        <v>#N/A</v>
      </c>
      <c r="G695" s="17" t="str">
        <f>VLOOKUP(C695,[2]Sheet7!A:D,4,FALSE)</f>
        <v>Promoted</v>
      </c>
      <c r="H695" s="45" t="s">
        <v>3644</v>
      </c>
      <c r="I695" s="26" t="s">
        <v>3683</v>
      </c>
      <c r="J695" s="6" t="s">
        <v>1163</v>
      </c>
      <c r="K695" s="6" t="s">
        <v>2949</v>
      </c>
      <c r="L695" s="6" t="s">
        <v>2950</v>
      </c>
      <c r="M695" s="6" t="s">
        <v>532</v>
      </c>
      <c r="O695" t="e">
        <f>VLOOKUP(C695,#REF!,12,FALSE)</f>
        <v>#REF!</v>
      </c>
    </row>
    <row r="696" spans="1:15">
      <c r="A696" s="17">
        <v>695</v>
      </c>
      <c r="B696" s="6" t="s">
        <v>1498</v>
      </c>
      <c r="C696" s="7">
        <v>2021002535</v>
      </c>
      <c r="D696" s="7">
        <v>210101305</v>
      </c>
      <c r="E696" s="7" t="s">
        <v>1802</v>
      </c>
      <c r="F696" s="17" t="e">
        <f>VLOOKUP('2501_MIS '!C696,'[1]Fast Track '!B:K,10,FALSE)</f>
        <v>#N/A</v>
      </c>
      <c r="G696" s="17" t="str">
        <f>VLOOKUP(C696,[2]Sheet7!A:D,4,FALSE)</f>
        <v>Not Promoted</v>
      </c>
      <c r="H696" s="45" t="s">
        <v>3645</v>
      </c>
      <c r="I696" s="26" t="s">
        <v>3667</v>
      </c>
      <c r="J696" s="6" t="s">
        <v>1691</v>
      </c>
      <c r="K696" s="6" t="s">
        <v>2973</v>
      </c>
      <c r="L696" s="6" t="s">
        <v>2974</v>
      </c>
      <c r="M696" s="6" t="s">
        <v>1276</v>
      </c>
      <c r="O696" t="e">
        <f>VLOOKUP(C696,#REF!,12,FALSE)</f>
        <v>#REF!</v>
      </c>
    </row>
    <row r="697" spans="1:15">
      <c r="A697" s="17">
        <v>696</v>
      </c>
      <c r="B697" s="6" t="s">
        <v>1264</v>
      </c>
      <c r="C697" s="7">
        <v>2022004361</v>
      </c>
      <c r="D697" s="7">
        <v>2201010024</v>
      </c>
      <c r="E697" s="7" t="s">
        <v>1802</v>
      </c>
      <c r="F697" s="17" t="e">
        <f>VLOOKUP('2501_MIS '!C697,'[1]Fast Track '!B:K,10,FALSE)</f>
        <v>#N/A</v>
      </c>
      <c r="G697" s="17" t="str">
        <f>VLOOKUP(C697,[2]Sheet7!A:D,4,FALSE)</f>
        <v>Not Promoted</v>
      </c>
      <c r="H697" s="45" t="s">
        <v>3645</v>
      </c>
      <c r="I697" s="26" t="s">
        <v>3667</v>
      </c>
      <c r="J697" s="6" t="s">
        <v>1275</v>
      </c>
      <c r="K697" s="6" t="s">
        <v>2975</v>
      </c>
      <c r="L697" s="6" t="s">
        <v>2976</v>
      </c>
      <c r="M697" s="6" t="s">
        <v>1276</v>
      </c>
      <c r="O697" t="e">
        <f>VLOOKUP(C697,#REF!,12,FALSE)</f>
        <v>#REF!</v>
      </c>
    </row>
    <row r="698" spans="1:15">
      <c r="A698" s="17">
        <v>697</v>
      </c>
      <c r="B698" s="6" t="s">
        <v>1772</v>
      </c>
      <c r="C698" s="7">
        <v>2022506579</v>
      </c>
      <c r="D698" s="7">
        <v>2201010061</v>
      </c>
      <c r="E698" s="7" t="s">
        <v>1802</v>
      </c>
      <c r="F698" s="17" t="e">
        <f>VLOOKUP('2501_MIS '!C698,'[1]Fast Track '!B:K,10,FALSE)</f>
        <v>#N/A</v>
      </c>
      <c r="G698" s="17" t="str">
        <f>VLOOKUP(C698,[2]Sheet7!A:D,4,FALSE)</f>
        <v>Promoted</v>
      </c>
      <c r="H698" s="45" t="s">
        <v>3645</v>
      </c>
      <c r="I698" s="26" t="s">
        <v>3667</v>
      </c>
      <c r="J698" s="6" t="s">
        <v>1773</v>
      </c>
      <c r="K698" s="6" t="s">
        <v>2977</v>
      </c>
      <c r="L698" s="6" t="s">
        <v>2978</v>
      </c>
      <c r="M698" s="6" t="s">
        <v>1276</v>
      </c>
      <c r="O698" t="e">
        <f>VLOOKUP(C698,#REF!,12,FALSE)</f>
        <v>#REF!</v>
      </c>
    </row>
    <row r="699" spans="1:15">
      <c r="A699" s="17">
        <v>698</v>
      </c>
      <c r="B699" s="6" t="s">
        <v>1297</v>
      </c>
      <c r="C699" s="7">
        <v>2022334026</v>
      </c>
      <c r="D699" s="7">
        <v>2201010063</v>
      </c>
      <c r="E699" s="7" t="s">
        <v>1802</v>
      </c>
      <c r="F699" s="17" t="e">
        <f>VLOOKUP('2501_MIS '!C699,'[1]Fast Track '!B:K,10,FALSE)</f>
        <v>#N/A</v>
      </c>
      <c r="G699" s="17" t="str">
        <f>VLOOKUP(C699,[2]Sheet7!A:D,4,FALSE)</f>
        <v>Promoted</v>
      </c>
      <c r="H699" s="45" t="s">
        <v>3645</v>
      </c>
      <c r="I699" s="26" t="s">
        <v>3667</v>
      </c>
      <c r="J699" s="6" t="s">
        <v>1298</v>
      </c>
      <c r="K699" s="6" t="s">
        <v>2979</v>
      </c>
      <c r="L699" s="6" t="s">
        <v>2980</v>
      </c>
      <c r="M699" s="6" t="s">
        <v>1276</v>
      </c>
      <c r="O699" t="e">
        <f>VLOOKUP(C699,#REF!,12,FALSE)</f>
        <v>#REF!</v>
      </c>
    </row>
    <row r="700" spans="1:15">
      <c r="A700" s="17">
        <v>699</v>
      </c>
      <c r="B700" s="6" t="s">
        <v>1746</v>
      </c>
      <c r="C700" s="7">
        <v>2022426354</v>
      </c>
      <c r="D700" s="7">
        <v>2201010067</v>
      </c>
      <c r="E700" s="7" t="s">
        <v>1802</v>
      </c>
      <c r="F700" s="17" t="e">
        <f>VLOOKUP('2501_MIS '!C700,'[1]Fast Track '!B:K,10,FALSE)</f>
        <v>#N/A</v>
      </c>
      <c r="G700" s="17" t="str">
        <f>VLOOKUP(C700,[2]Sheet7!A:D,4,FALSE)</f>
        <v>Promoted</v>
      </c>
      <c r="H700" s="45" t="s">
        <v>3645</v>
      </c>
      <c r="I700" s="26" t="s">
        <v>3667</v>
      </c>
      <c r="J700" s="6" t="s">
        <v>1747</v>
      </c>
      <c r="K700" s="6" t="s">
        <v>2981</v>
      </c>
      <c r="L700" s="6" t="s">
        <v>2982</v>
      </c>
      <c r="M700" s="6" t="s">
        <v>1276</v>
      </c>
      <c r="O700" t="e">
        <f>VLOOKUP(C700,#REF!,12,FALSE)</f>
        <v>#REF!</v>
      </c>
    </row>
    <row r="701" spans="1:15">
      <c r="A701" s="17">
        <v>700</v>
      </c>
      <c r="B701" s="6" t="s">
        <v>1704</v>
      </c>
      <c r="C701" s="7">
        <v>2022005817</v>
      </c>
      <c r="D701" s="7">
        <v>2201010087</v>
      </c>
      <c r="E701" s="7" t="s">
        <v>1802</v>
      </c>
      <c r="F701" s="17" t="e">
        <f>VLOOKUP('2501_MIS '!C701,'[1]Fast Track '!B:K,10,FALSE)</f>
        <v>#N/A</v>
      </c>
      <c r="G701" s="17" t="str">
        <f>VLOOKUP(C701,[2]Sheet7!A:D,4,FALSE)</f>
        <v>Promoted</v>
      </c>
      <c r="H701" s="45" t="s">
        <v>3645</v>
      </c>
      <c r="I701" s="26" t="s">
        <v>3667</v>
      </c>
      <c r="J701" s="6" t="s">
        <v>1705</v>
      </c>
      <c r="K701" s="6" t="s">
        <v>2983</v>
      </c>
      <c r="L701" s="6" t="s">
        <v>2984</v>
      </c>
      <c r="M701" s="6" t="s">
        <v>1276</v>
      </c>
      <c r="O701" t="e">
        <f>VLOOKUP(C701,#REF!,12,FALSE)</f>
        <v>#REF!</v>
      </c>
    </row>
    <row r="702" spans="1:15">
      <c r="A702" s="17">
        <v>701</v>
      </c>
      <c r="B702" s="6" t="s">
        <v>175</v>
      </c>
      <c r="C702" s="7">
        <v>2022409017</v>
      </c>
      <c r="D702" s="7">
        <v>2201010094</v>
      </c>
      <c r="E702" s="7" t="s">
        <v>1802</v>
      </c>
      <c r="F702" s="17" t="e">
        <f>VLOOKUP('2501_MIS '!C702,'[1]Fast Track '!B:K,10,FALSE)</f>
        <v>#N/A</v>
      </c>
      <c r="G702" s="17" t="str">
        <f>VLOOKUP(C702,[2]Sheet7!A:D,4,FALSE)</f>
        <v>Promoted</v>
      </c>
      <c r="H702" s="45" t="s">
        <v>3645</v>
      </c>
      <c r="I702" s="26" t="s">
        <v>3667</v>
      </c>
      <c r="J702" s="6" t="s">
        <v>1307</v>
      </c>
      <c r="K702" s="6" t="s">
        <v>2985</v>
      </c>
      <c r="L702" s="6" t="s">
        <v>2986</v>
      </c>
      <c r="M702" s="6" t="s">
        <v>1276</v>
      </c>
      <c r="O702" t="e">
        <f>VLOOKUP(C702,#REF!,12,FALSE)</f>
        <v>#REF!</v>
      </c>
    </row>
    <row r="703" spans="1:15">
      <c r="A703" s="17">
        <v>702</v>
      </c>
      <c r="B703" s="6" t="s">
        <v>1343</v>
      </c>
      <c r="C703" s="7">
        <v>2022535335</v>
      </c>
      <c r="D703" s="7">
        <v>2201010100</v>
      </c>
      <c r="E703" s="7" t="s">
        <v>1802</v>
      </c>
      <c r="F703" s="17" t="e">
        <f>VLOOKUP('2501_MIS '!C703,'[1]Fast Track '!B:K,10,FALSE)</f>
        <v>#N/A</v>
      </c>
      <c r="G703" s="17" t="str">
        <f>VLOOKUP(C703,[2]Sheet7!A:D,4,FALSE)</f>
        <v>Promoted</v>
      </c>
      <c r="H703" s="45" t="s">
        <v>3645</v>
      </c>
      <c r="I703" s="26" t="s">
        <v>3667</v>
      </c>
      <c r="J703" s="6" t="s">
        <v>1344</v>
      </c>
      <c r="K703" s="6" t="s">
        <v>2987</v>
      </c>
      <c r="L703" s="6" t="s">
        <v>2988</v>
      </c>
      <c r="M703" s="6" t="s">
        <v>1276</v>
      </c>
      <c r="O703" t="e">
        <f>VLOOKUP(C703,#REF!,12,FALSE)</f>
        <v>#REF!</v>
      </c>
    </row>
    <row r="704" spans="1:15">
      <c r="A704" s="17">
        <v>703</v>
      </c>
      <c r="B704" s="6" t="s">
        <v>1742</v>
      </c>
      <c r="C704" s="7">
        <v>2022369167</v>
      </c>
      <c r="D704" s="7">
        <v>2201010113</v>
      </c>
      <c r="E704" s="7" t="s">
        <v>1802</v>
      </c>
      <c r="F704" s="17" t="e">
        <f>VLOOKUP('2501_MIS '!C704,'[1]Fast Track '!B:K,10,FALSE)</f>
        <v>#N/A</v>
      </c>
      <c r="G704" s="17" t="str">
        <f>VLOOKUP(C704,[2]Sheet7!A:D,4,FALSE)</f>
        <v>Promoted</v>
      </c>
      <c r="H704" s="45" t="s">
        <v>3645</v>
      </c>
      <c r="I704" s="26" t="s">
        <v>3667</v>
      </c>
      <c r="J704" s="6" t="s">
        <v>1743</v>
      </c>
      <c r="K704" s="6" t="s">
        <v>2989</v>
      </c>
      <c r="L704" s="6" t="s">
        <v>2990</v>
      </c>
      <c r="M704" s="6" t="s">
        <v>1276</v>
      </c>
      <c r="O704" t="e">
        <f>VLOOKUP(C704,#REF!,12,FALSE)</f>
        <v>#REF!</v>
      </c>
    </row>
    <row r="705" spans="1:15">
      <c r="A705" s="17">
        <v>704</v>
      </c>
      <c r="B705" s="6" t="s">
        <v>1759</v>
      </c>
      <c r="C705" s="7">
        <v>2022456042</v>
      </c>
      <c r="D705" s="7">
        <v>2201010120</v>
      </c>
      <c r="E705" s="7" t="s">
        <v>1802</v>
      </c>
      <c r="F705" s="17" t="e">
        <f>VLOOKUP('2501_MIS '!C705,'[1]Fast Track '!B:K,10,FALSE)</f>
        <v>#N/A</v>
      </c>
      <c r="G705" s="17" t="str">
        <f>VLOOKUP(C705,[2]Sheet7!A:D,4,FALSE)</f>
        <v>Promoted</v>
      </c>
      <c r="H705" s="45" t="s">
        <v>3645</v>
      </c>
      <c r="I705" s="26" t="s">
        <v>3667</v>
      </c>
      <c r="J705" s="6" t="s">
        <v>1760</v>
      </c>
      <c r="K705" s="6" t="s">
        <v>2991</v>
      </c>
      <c r="L705" s="6" t="s">
        <v>2992</v>
      </c>
      <c r="M705" s="6" t="s">
        <v>1276</v>
      </c>
      <c r="O705" t="e">
        <f>VLOOKUP(C705,#REF!,12,FALSE)</f>
        <v>#REF!</v>
      </c>
    </row>
    <row r="706" spans="1:15">
      <c r="A706" s="17">
        <v>705</v>
      </c>
      <c r="B706" s="6" t="s">
        <v>1778</v>
      </c>
      <c r="C706" s="7">
        <v>2022539806</v>
      </c>
      <c r="D706" s="7">
        <v>2201010133</v>
      </c>
      <c r="E706" s="7" t="s">
        <v>1802</v>
      </c>
      <c r="F706" s="17" t="e">
        <f>VLOOKUP('2501_MIS '!C706,'[1]Fast Track '!B:K,10,FALSE)</f>
        <v>#N/A</v>
      </c>
      <c r="G706" s="17" t="str">
        <f>VLOOKUP(C706,[2]Sheet7!A:D,4,FALSE)</f>
        <v>Promoted</v>
      </c>
      <c r="H706" s="45" t="s">
        <v>3645</v>
      </c>
      <c r="I706" s="26" t="s">
        <v>3667</v>
      </c>
      <c r="J706" s="6" t="s">
        <v>1779</v>
      </c>
      <c r="K706" s="6" t="s">
        <v>2993</v>
      </c>
      <c r="L706" s="6" t="s">
        <v>2994</v>
      </c>
      <c r="M706" s="6" t="s">
        <v>1276</v>
      </c>
      <c r="O706" t="e">
        <f>VLOOKUP(C706,#REF!,12,FALSE)</f>
        <v>#REF!</v>
      </c>
    </row>
    <row r="707" spans="1:15">
      <c r="A707" s="17">
        <v>706</v>
      </c>
      <c r="B707" s="6" t="s">
        <v>917</v>
      </c>
      <c r="C707" s="7">
        <v>2022504700</v>
      </c>
      <c r="D707" s="7">
        <v>2201010144</v>
      </c>
      <c r="E707" s="7" t="s">
        <v>1802</v>
      </c>
      <c r="F707" s="17" t="e">
        <f>VLOOKUP('2501_MIS '!C707,'[1]Fast Track '!B:K,10,FALSE)</f>
        <v>#N/A</v>
      </c>
      <c r="G707" s="17" t="str">
        <f>VLOOKUP(C707,[2]Sheet7!A:D,4,FALSE)</f>
        <v>Promoted</v>
      </c>
      <c r="H707" s="45" t="s">
        <v>3645</v>
      </c>
      <c r="I707" s="26" t="s">
        <v>3667</v>
      </c>
      <c r="J707" s="6" t="s">
        <v>1771</v>
      </c>
      <c r="K707" s="6" t="s">
        <v>2995</v>
      </c>
      <c r="L707" s="6" t="s">
        <v>2996</v>
      </c>
      <c r="M707" s="6" t="s">
        <v>1276</v>
      </c>
      <c r="O707" t="e">
        <f>VLOOKUP(C707,#REF!,12,FALSE)</f>
        <v>#REF!</v>
      </c>
    </row>
    <row r="708" spans="1:15">
      <c r="A708" s="17">
        <v>707</v>
      </c>
      <c r="B708" s="6" t="s">
        <v>1738</v>
      </c>
      <c r="C708" s="7">
        <v>2022360832</v>
      </c>
      <c r="D708" s="7">
        <v>2201010151</v>
      </c>
      <c r="E708" s="7" t="s">
        <v>1802</v>
      </c>
      <c r="F708" s="17" t="e">
        <f>VLOOKUP('2501_MIS '!C708,'[1]Fast Track '!B:K,10,FALSE)</f>
        <v>#N/A</v>
      </c>
      <c r="G708" s="17" t="str">
        <f>VLOOKUP(C708,[2]Sheet7!A:D,4,FALSE)</f>
        <v>Promoted</v>
      </c>
      <c r="H708" s="45" t="s">
        <v>3645</v>
      </c>
      <c r="I708" s="26" t="s">
        <v>3667</v>
      </c>
      <c r="J708" s="6" t="s">
        <v>1739</v>
      </c>
      <c r="K708" s="6" t="s">
        <v>2997</v>
      </c>
      <c r="L708" s="6" t="s">
        <v>2998</v>
      </c>
      <c r="M708" s="6" t="s">
        <v>1276</v>
      </c>
      <c r="O708" t="e">
        <f>VLOOKUP(C708,#REF!,12,FALSE)</f>
        <v>#REF!</v>
      </c>
    </row>
    <row r="709" spans="1:15">
      <c r="A709" s="17">
        <v>708</v>
      </c>
      <c r="B709" s="6" t="s">
        <v>1347</v>
      </c>
      <c r="C709" s="7">
        <v>2022542429</v>
      </c>
      <c r="D709" s="7">
        <v>2201010174</v>
      </c>
      <c r="E709" s="7" t="s">
        <v>1802</v>
      </c>
      <c r="F709" s="17" t="e">
        <f>VLOOKUP('2501_MIS '!C709,'[1]Fast Track '!B:K,10,FALSE)</f>
        <v>#N/A</v>
      </c>
      <c r="G709" s="17" t="str">
        <f>VLOOKUP(C709,[2]Sheet7!A:D,4,FALSE)</f>
        <v>Promoted</v>
      </c>
      <c r="H709" s="45" t="s">
        <v>3645</v>
      </c>
      <c r="I709" s="26" t="s">
        <v>3667</v>
      </c>
      <c r="J709" s="6" t="s">
        <v>1348</v>
      </c>
      <c r="K709" s="6" t="s">
        <v>2999</v>
      </c>
      <c r="L709" s="6" t="s">
        <v>3000</v>
      </c>
      <c r="M709" s="6" t="s">
        <v>1276</v>
      </c>
      <c r="O709" t="e">
        <f>VLOOKUP(C709,#REF!,12,FALSE)</f>
        <v>#REF!</v>
      </c>
    </row>
    <row r="710" spans="1:15">
      <c r="A710" s="17">
        <v>709</v>
      </c>
      <c r="B710" s="6" t="s">
        <v>1362</v>
      </c>
      <c r="C710" s="7">
        <v>2022825759</v>
      </c>
      <c r="D710" s="7">
        <v>2201010202</v>
      </c>
      <c r="E710" s="7" t="s">
        <v>1802</v>
      </c>
      <c r="F710" s="17" t="e">
        <f>VLOOKUP('2501_MIS '!C710,'[1]Fast Track '!B:K,10,FALSE)</f>
        <v>#N/A</v>
      </c>
      <c r="G710" s="17" t="str">
        <f>VLOOKUP(C710,[2]Sheet7!A:D,4,FALSE)</f>
        <v>Promoted</v>
      </c>
      <c r="H710" s="45" t="s">
        <v>3645</v>
      </c>
      <c r="I710" s="26" t="s">
        <v>3667</v>
      </c>
      <c r="J710" s="6" t="s">
        <v>1363</v>
      </c>
      <c r="K710" s="6" t="s">
        <v>3001</v>
      </c>
      <c r="L710" s="6" t="s">
        <v>3002</v>
      </c>
      <c r="M710" s="6" t="s">
        <v>1276</v>
      </c>
      <c r="O710" t="e">
        <f>VLOOKUP(C710,#REF!,12,FALSE)</f>
        <v>#REF!</v>
      </c>
    </row>
    <row r="711" spans="1:15">
      <c r="A711" s="17">
        <v>710</v>
      </c>
      <c r="B711" s="6" t="s">
        <v>1702</v>
      </c>
      <c r="C711" s="7">
        <v>2022005712</v>
      </c>
      <c r="D711" s="7">
        <v>2201010210</v>
      </c>
      <c r="E711" s="7" t="s">
        <v>1802</v>
      </c>
      <c r="F711" s="17" t="e">
        <f>VLOOKUP('2501_MIS '!C711,'[1]Fast Track '!B:K,10,FALSE)</f>
        <v>#N/A</v>
      </c>
      <c r="G711" s="17" t="str">
        <f>VLOOKUP(C711,[2]Sheet7!A:D,4,FALSE)</f>
        <v>Promoted</v>
      </c>
      <c r="H711" s="45" t="s">
        <v>3645</v>
      </c>
      <c r="I711" s="26" t="s">
        <v>3667</v>
      </c>
      <c r="J711" s="6" t="s">
        <v>1703</v>
      </c>
      <c r="K711" s="6" t="s">
        <v>3003</v>
      </c>
      <c r="L711" s="6" t="s">
        <v>3004</v>
      </c>
      <c r="M711" s="6" t="s">
        <v>1276</v>
      </c>
      <c r="O711" t="e">
        <f>VLOOKUP(C711,#REF!,12,FALSE)</f>
        <v>#REF!</v>
      </c>
    </row>
    <row r="712" spans="1:15">
      <c r="A712" s="17">
        <v>711</v>
      </c>
      <c r="B712" s="6" t="s">
        <v>1736</v>
      </c>
      <c r="C712" s="7">
        <v>2022325712</v>
      </c>
      <c r="D712" s="7">
        <v>2201010280</v>
      </c>
      <c r="E712" s="7" t="s">
        <v>1802</v>
      </c>
      <c r="F712" s="17" t="e">
        <f>VLOOKUP('2501_MIS '!C712,'[1]Fast Track '!B:K,10,FALSE)</f>
        <v>#N/A</v>
      </c>
      <c r="G712" s="17" t="str">
        <f>VLOOKUP(C712,[2]Sheet7!A:D,4,FALSE)</f>
        <v>Promoted</v>
      </c>
      <c r="H712" s="45" t="s">
        <v>3645</v>
      </c>
      <c r="I712" s="26" t="s">
        <v>3667</v>
      </c>
      <c r="J712" s="6" t="s">
        <v>1737</v>
      </c>
      <c r="K712" s="6" t="s">
        <v>3005</v>
      </c>
      <c r="L712" s="6" t="s">
        <v>3006</v>
      </c>
      <c r="M712" s="6" t="s">
        <v>1276</v>
      </c>
      <c r="O712" t="e">
        <f>VLOOKUP(C712,#REF!,12,FALSE)</f>
        <v>#REF!</v>
      </c>
    </row>
    <row r="713" spans="1:15">
      <c r="A713" s="17">
        <v>712</v>
      </c>
      <c r="B713" s="6" t="s">
        <v>1279</v>
      </c>
      <c r="C713" s="7">
        <v>2022005046</v>
      </c>
      <c r="D713" s="7">
        <v>2201010302</v>
      </c>
      <c r="E713" s="7" t="s">
        <v>1802</v>
      </c>
      <c r="F713" s="17" t="e">
        <f>VLOOKUP('2501_MIS '!C713,'[1]Fast Track '!B:K,10,FALSE)</f>
        <v>#N/A</v>
      </c>
      <c r="G713" s="17" t="str">
        <f>VLOOKUP(C713,[2]Sheet7!A:D,4,FALSE)</f>
        <v>Promoted</v>
      </c>
      <c r="H713" s="45" t="s">
        <v>3645</v>
      </c>
      <c r="I713" s="26" t="s">
        <v>3667</v>
      </c>
      <c r="J713" s="6" t="s">
        <v>1280</v>
      </c>
      <c r="K713" s="6" t="s">
        <v>3007</v>
      </c>
      <c r="L713" s="6" t="s">
        <v>3008</v>
      </c>
      <c r="M713" s="6" t="s">
        <v>1276</v>
      </c>
      <c r="O713" t="e">
        <f>VLOOKUP(C713,#REF!,12,FALSE)</f>
        <v>#REF!</v>
      </c>
    </row>
    <row r="714" spans="1:15">
      <c r="A714" s="17">
        <v>713</v>
      </c>
      <c r="B714" s="6" t="s">
        <v>1318</v>
      </c>
      <c r="C714" s="7">
        <v>2022480883</v>
      </c>
      <c r="D714" s="7">
        <v>2201010305</v>
      </c>
      <c r="E714" s="7" t="s">
        <v>1802</v>
      </c>
      <c r="F714" s="17" t="e">
        <f>VLOOKUP('2501_MIS '!C714,'[1]Fast Track '!B:K,10,FALSE)</f>
        <v>#N/A</v>
      </c>
      <c r="G714" s="17" t="str">
        <f>VLOOKUP(C714,[2]Sheet7!A:D,4,FALSE)</f>
        <v>Promoted</v>
      </c>
      <c r="H714" s="45" t="s">
        <v>3645</v>
      </c>
      <c r="I714" s="26" t="s">
        <v>3667</v>
      </c>
      <c r="J714" s="6" t="s">
        <v>1319</v>
      </c>
      <c r="K714" s="6" t="s">
        <v>3009</v>
      </c>
      <c r="L714" s="6" t="s">
        <v>3010</v>
      </c>
      <c r="M714" s="6" t="s">
        <v>1276</v>
      </c>
      <c r="O714" t="e">
        <f>VLOOKUP(C714,#REF!,12,FALSE)</f>
        <v>#REF!</v>
      </c>
    </row>
    <row r="715" spans="1:15">
      <c r="A715" s="17">
        <v>714</v>
      </c>
      <c r="B715" s="6" t="s">
        <v>1765</v>
      </c>
      <c r="C715" s="7">
        <v>2022469633</v>
      </c>
      <c r="D715" s="7">
        <v>2201010328</v>
      </c>
      <c r="E715" s="7" t="s">
        <v>1802</v>
      </c>
      <c r="F715" s="17" t="e">
        <f>VLOOKUP('2501_MIS '!C715,'[1]Fast Track '!B:K,10,FALSE)</f>
        <v>#N/A</v>
      </c>
      <c r="G715" s="17" t="str">
        <f>VLOOKUP(C715,[2]Sheet7!A:D,4,FALSE)</f>
        <v>Promoted</v>
      </c>
      <c r="H715" s="45" t="s">
        <v>3645</v>
      </c>
      <c r="I715" s="26" t="s">
        <v>3667</v>
      </c>
      <c r="J715" s="6" t="s">
        <v>1766</v>
      </c>
      <c r="K715" s="6" t="s">
        <v>3011</v>
      </c>
      <c r="L715" s="6" t="s">
        <v>3012</v>
      </c>
      <c r="M715" s="6" t="s">
        <v>1276</v>
      </c>
      <c r="O715" t="e">
        <f>VLOOKUP(C715,#REF!,12,FALSE)</f>
        <v>#REF!</v>
      </c>
    </row>
    <row r="716" spans="1:15">
      <c r="A716" s="17">
        <v>715</v>
      </c>
      <c r="B716" s="6" t="s">
        <v>1740</v>
      </c>
      <c r="C716" s="7">
        <v>2022366544</v>
      </c>
      <c r="D716" s="7">
        <v>2201010363</v>
      </c>
      <c r="E716" s="7" t="s">
        <v>1802</v>
      </c>
      <c r="F716" s="17" t="e">
        <f>VLOOKUP('2501_MIS '!C716,'[1]Fast Track '!B:K,10,FALSE)</f>
        <v>#N/A</v>
      </c>
      <c r="G716" s="17" t="str">
        <f>VLOOKUP(C716,[2]Sheet7!A:D,4,FALSE)</f>
        <v>Promoted</v>
      </c>
      <c r="H716" s="45" t="s">
        <v>3645</v>
      </c>
      <c r="I716" s="26" t="s">
        <v>3667</v>
      </c>
      <c r="J716" s="6" t="s">
        <v>1741</v>
      </c>
      <c r="K716" s="6" t="s">
        <v>3013</v>
      </c>
      <c r="L716" s="6" t="s">
        <v>3014</v>
      </c>
      <c r="M716" s="6" t="s">
        <v>1276</v>
      </c>
      <c r="O716" t="e">
        <f>VLOOKUP(C716,#REF!,12,FALSE)</f>
        <v>#REF!</v>
      </c>
    </row>
    <row r="717" spans="1:15">
      <c r="A717" s="17">
        <v>716</v>
      </c>
      <c r="B717" s="6" t="s">
        <v>1310</v>
      </c>
      <c r="C717" s="7">
        <v>2022414035</v>
      </c>
      <c r="D717" s="7">
        <v>2201010375</v>
      </c>
      <c r="E717" s="7" t="s">
        <v>1802</v>
      </c>
      <c r="F717" s="17" t="e">
        <f>VLOOKUP('2501_MIS '!C717,'[1]Fast Track '!B:K,10,FALSE)</f>
        <v>#N/A</v>
      </c>
      <c r="G717" s="17" t="str">
        <f>VLOOKUP(C717,[2]Sheet7!A:D,4,FALSE)</f>
        <v>Promoted</v>
      </c>
      <c r="H717" s="45" t="s">
        <v>3645</v>
      </c>
      <c r="I717" s="26" t="s">
        <v>3667</v>
      </c>
      <c r="J717" s="6" t="s">
        <v>1311</v>
      </c>
      <c r="K717" s="6" t="s">
        <v>3015</v>
      </c>
      <c r="L717" s="6" t="s">
        <v>3016</v>
      </c>
      <c r="M717" s="6" t="s">
        <v>1276</v>
      </c>
      <c r="O717" t="e">
        <f>VLOOKUP(C717,#REF!,12,FALSE)</f>
        <v>#REF!</v>
      </c>
    </row>
    <row r="718" spans="1:15">
      <c r="A718" s="17">
        <v>717</v>
      </c>
      <c r="B718" s="6" t="s">
        <v>1761</v>
      </c>
      <c r="C718" s="7">
        <v>2022456058</v>
      </c>
      <c r="D718" s="7">
        <v>2201010381</v>
      </c>
      <c r="E718" s="7" t="s">
        <v>1802</v>
      </c>
      <c r="F718" s="17" t="e">
        <f>VLOOKUP('2501_MIS '!C718,'[1]Fast Track '!B:K,10,FALSE)</f>
        <v>#N/A</v>
      </c>
      <c r="G718" s="17" t="str">
        <f>VLOOKUP(C718,[2]Sheet7!A:D,4,FALSE)</f>
        <v>Promoted</v>
      </c>
      <c r="H718" s="45" t="s">
        <v>3645</v>
      </c>
      <c r="I718" s="26" t="s">
        <v>3667</v>
      </c>
      <c r="J718" s="6" t="s">
        <v>1762</v>
      </c>
      <c r="K718" s="6" t="s">
        <v>3017</v>
      </c>
      <c r="L718" s="6" t="s">
        <v>3018</v>
      </c>
      <c r="M718" s="6" t="s">
        <v>1276</v>
      </c>
      <c r="O718" t="e">
        <f>VLOOKUP(C718,#REF!,12,FALSE)</f>
        <v>#REF!</v>
      </c>
    </row>
    <row r="719" spans="1:15">
      <c r="A719" s="17">
        <v>718</v>
      </c>
      <c r="B719" s="6" t="s">
        <v>1341</v>
      </c>
      <c r="C719" s="7">
        <v>2022533506</v>
      </c>
      <c r="D719" s="7">
        <v>2201010386</v>
      </c>
      <c r="E719" s="7" t="s">
        <v>1802</v>
      </c>
      <c r="F719" s="17" t="e">
        <f>VLOOKUP('2501_MIS '!C719,'[1]Fast Track '!B:K,10,FALSE)</f>
        <v>#N/A</v>
      </c>
      <c r="G719" s="17" t="str">
        <f>VLOOKUP(C719,[2]Sheet7!A:D,4,FALSE)</f>
        <v>Promoted</v>
      </c>
      <c r="H719" s="45" t="s">
        <v>3645</v>
      </c>
      <c r="I719" s="26" t="s">
        <v>3667</v>
      </c>
      <c r="J719" s="6" t="s">
        <v>1342</v>
      </c>
      <c r="K719" s="6" t="s">
        <v>3019</v>
      </c>
      <c r="L719" s="6" t="s">
        <v>3020</v>
      </c>
      <c r="M719" s="6" t="s">
        <v>1276</v>
      </c>
      <c r="O719" t="e">
        <f>VLOOKUP(C719,#REF!,12,FALSE)</f>
        <v>#REF!</v>
      </c>
    </row>
    <row r="720" spans="1:15">
      <c r="A720" s="17">
        <v>719</v>
      </c>
      <c r="B720" s="6" t="s">
        <v>1301</v>
      </c>
      <c r="C720" s="7">
        <v>2022338119</v>
      </c>
      <c r="D720" s="7">
        <v>2201010402</v>
      </c>
      <c r="E720" s="7" t="s">
        <v>1802</v>
      </c>
      <c r="F720" s="17" t="e">
        <f>VLOOKUP('2501_MIS '!C720,'[1]Fast Track '!B:K,10,FALSE)</f>
        <v>#N/A</v>
      </c>
      <c r="G720" s="17" t="str">
        <f>VLOOKUP(C720,[2]Sheet7!A:D,4,FALSE)</f>
        <v>Promoted</v>
      </c>
      <c r="H720" s="45" t="s">
        <v>3645</v>
      </c>
      <c r="I720" s="26" t="s">
        <v>3667</v>
      </c>
      <c r="J720" s="6" t="s">
        <v>1302</v>
      </c>
      <c r="K720" s="6" t="s">
        <v>3021</v>
      </c>
      <c r="L720" s="6" t="s">
        <v>3022</v>
      </c>
      <c r="M720" s="6" t="s">
        <v>1276</v>
      </c>
      <c r="O720" t="e">
        <f>VLOOKUP(C720,#REF!,12,FALSE)</f>
        <v>#REF!</v>
      </c>
    </row>
    <row r="721" spans="1:15">
      <c r="A721" s="17">
        <v>720</v>
      </c>
      <c r="B721" s="6" t="s">
        <v>1755</v>
      </c>
      <c r="C721" s="7">
        <v>2022438436</v>
      </c>
      <c r="D721" s="7">
        <v>2201010408</v>
      </c>
      <c r="E721" s="7" t="s">
        <v>1802</v>
      </c>
      <c r="F721" s="17" t="e">
        <f>VLOOKUP('2501_MIS '!C721,'[1]Fast Track '!B:K,10,FALSE)</f>
        <v>#N/A</v>
      </c>
      <c r="G721" s="17" t="str">
        <f>VLOOKUP(C721,[2]Sheet7!A:D,4,FALSE)</f>
        <v>Promoted</v>
      </c>
      <c r="H721" s="45" t="s">
        <v>3645</v>
      </c>
      <c r="I721" s="26" t="s">
        <v>3667</v>
      </c>
      <c r="J721" s="6" t="s">
        <v>1756</v>
      </c>
      <c r="K721" s="6" t="s">
        <v>3023</v>
      </c>
      <c r="L721" s="6" t="s">
        <v>3024</v>
      </c>
      <c r="M721" s="6" t="s">
        <v>1276</v>
      </c>
      <c r="O721" t="e">
        <f>VLOOKUP(C721,#REF!,12,FALSE)</f>
        <v>#REF!</v>
      </c>
    </row>
    <row r="722" spans="1:15">
      <c r="A722" s="17">
        <v>721</v>
      </c>
      <c r="B722" s="6" t="s">
        <v>1305</v>
      </c>
      <c r="C722" s="7">
        <v>2022403267</v>
      </c>
      <c r="D722" s="7">
        <v>2201010410</v>
      </c>
      <c r="E722" s="7" t="s">
        <v>1802</v>
      </c>
      <c r="F722" s="17" t="e">
        <f>VLOOKUP('2501_MIS '!C722,'[1]Fast Track '!B:K,10,FALSE)</f>
        <v>#N/A</v>
      </c>
      <c r="G722" s="17" t="str">
        <f>VLOOKUP(C722,[2]Sheet7!A:D,4,FALSE)</f>
        <v>Promoted</v>
      </c>
      <c r="H722" s="45" t="s">
        <v>3645</v>
      </c>
      <c r="I722" s="26" t="s">
        <v>3667</v>
      </c>
      <c r="J722" s="6" t="s">
        <v>1306</v>
      </c>
      <c r="K722" s="6" t="s">
        <v>3025</v>
      </c>
      <c r="L722" s="6" t="s">
        <v>3026</v>
      </c>
      <c r="M722" s="6" t="s">
        <v>1276</v>
      </c>
      <c r="O722" t="e">
        <f>VLOOKUP(C722,#REF!,12,FALSE)</f>
        <v>#REF!</v>
      </c>
    </row>
    <row r="723" spans="1:15">
      <c r="A723" s="17">
        <v>722</v>
      </c>
      <c r="B723" s="6" t="s">
        <v>1716</v>
      </c>
      <c r="C723" s="7">
        <v>2022007037</v>
      </c>
      <c r="D723" s="7">
        <v>2201010447</v>
      </c>
      <c r="E723" s="7" t="s">
        <v>1802</v>
      </c>
      <c r="F723" s="17" t="e">
        <f>VLOOKUP('2501_MIS '!C723,'[1]Fast Track '!B:K,10,FALSE)</f>
        <v>#N/A</v>
      </c>
      <c r="G723" s="17" t="str">
        <f>VLOOKUP(C723,[2]Sheet7!A:D,4,FALSE)</f>
        <v>Promoted</v>
      </c>
      <c r="H723" s="45" t="s">
        <v>3645</v>
      </c>
      <c r="I723" s="26" t="s">
        <v>3667</v>
      </c>
      <c r="J723" s="6" t="s">
        <v>1717</v>
      </c>
      <c r="K723" s="6" t="s">
        <v>3027</v>
      </c>
      <c r="L723" s="6" t="s">
        <v>3028</v>
      </c>
      <c r="M723" s="6" t="s">
        <v>1276</v>
      </c>
      <c r="O723" t="e">
        <f>VLOOKUP(C723,#REF!,12,FALSE)</f>
        <v>#REF!</v>
      </c>
    </row>
    <row r="724" spans="1:15">
      <c r="A724" s="17">
        <v>723</v>
      </c>
      <c r="B724" s="6" t="s">
        <v>1316</v>
      </c>
      <c r="C724" s="7">
        <v>2022428888</v>
      </c>
      <c r="D724" s="7">
        <v>2201010463</v>
      </c>
      <c r="E724" s="7" t="s">
        <v>1802</v>
      </c>
      <c r="F724" s="17" t="e">
        <f>VLOOKUP('2501_MIS '!C724,'[1]Fast Track '!B:K,10,FALSE)</f>
        <v>#N/A</v>
      </c>
      <c r="G724" s="17" t="str">
        <f>VLOOKUP(C724,[2]Sheet7!A:D,4,FALSE)</f>
        <v>Promoted</v>
      </c>
      <c r="H724" s="45" t="s">
        <v>3645</v>
      </c>
      <c r="I724" s="26" t="s">
        <v>3667</v>
      </c>
      <c r="J724" s="6" t="s">
        <v>1317</v>
      </c>
      <c r="K724" s="6" t="s">
        <v>3029</v>
      </c>
      <c r="L724" s="6" t="s">
        <v>3030</v>
      </c>
      <c r="M724" s="6" t="s">
        <v>1276</v>
      </c>
      <c r="O724" t="e">
        <f>VLOOKUP(C724,#REF!,12,FALSE)</f>
        <v>#REF!</v>
      </c>
    </row>
    <row r="725" spans="1:15">
      <c r="A725" s="17">
        <v>724</v>
      </c>
      <c r="B725" s="6" t="s">
        <v>1769</v>
      </c>
      <c r="C725" s="7">
        <v>2022496362</v>
      </c>
      <c r="D725" s="7">
        <v>2201010504</v>
      </c>
      <c r="E725" s="7" t="s">
        <v>1802</v>
      </c>
      <c r="F725" s="17" t="e">
        <f>VLOOKUP('2501_MIS '!C725,'[1]Fast Track '!B:K,10,FALSE)</f>
        <v>#N/A</v>
      </c>
      <c r="G725" s="17" t="str">
        <f>VLOOKUP(C725,[2]Sheet7!A:D,4,FALSE)</f>
        <v>Promoted</v>
      </c>
      <c r="H725" s="45" t="s">
        <v>3645</v>
      </c>
      <c r="I725" s="26" t="s">
        <v>3667</v>
      </c>
      <c r="J725" s="6" t="s">
        <v>1770</v>
      </c>
      <c r="K725" s="6" t="s">
        <v>3031</v>
      </c>
      <c r="L725" s="6" t="s">
        <v>3032</v>
      </c>
      <c r="M725" s="6" t="s">
        <v>1276</v>
      </c>
      <c r="O725" t="e">
        <f>VLOOKUP(C725,#REF!,12,FALSE)</f>
        <v>#REF!</v>
      </c>
    </row>
    <row r="726" spans="1:15">
      <c r="A726" s="17">
        <v>725</v>
      </c>
      <c r="B726" s="6" t="s">
        <v>1700</v>
      </c>
      <c r="C726" s="7">
        <v>2022005278</v>
      </c>
      <c r="D726" s="7">
        <v>2201010524</v>
      </c>
      <c r="E726" s="7" t="s">
        <v>1802</v>
      </c>
      <c r="F726" s="17" t="e">
        <f>VLOOKUP('2501_MIS '!C726,'[1]Fast Track '!B:K,10,FALSE)</f>
        <v>#N/A</v>
      </c>
      <c r="G726" s="17" t="str">
        <f>VLOOKUP(C726,[2]Sheet7!A:D,4,FALSE)</f>
        <v>Promoted</v>
      </c>
      <c r="H726" s="45" t="s">
        <v>3645</v>
      </c>
      <c r="I726" s="26" t="s">
        <v>3667</v>
      </c>
      <c r="J726" s="6" t="s">
        <v>1701</v>
      </c>
      <c r="K726" s="6" t="s">
        <v>3033</v>
      </c>
      <c r="L726" s="6" t="s">
        <v>3034</v>
      </c>
      <c r="M726" s="6" t="s">
        <v>1276</v>
      </c>
      <c r="O726" t="e">
        <f>VLOOKUP(C726,#REF!,12,FALSE)</f>
        <v>#REF!</v>
      </c>
    </row>
    <row r="727" spans="1:15">
      <c r="A727" s="17">
        <v>726</v>
      </c>
      <c r="B727" s="6" t="s">
        <v>1776</v>
      </c>
      <c r="C727" s="7">
        <v>2022529691</v>
      </c>
      <c r="D727" s="7">
        <v>2201010528</v>
      </c>
      <c r="E727" s="7" t="s">
        <v>1802</v>
      </c>
      <c r="F727" s="17" t="e">
        <f>VLOOKUP('2501_MIS '!C727,'[1]Fast Track '!B:K,10,FALSE)</f>
        <v>#N/A</v>
      </c>
      <c r="G727" s="17" t="str">
        <f>VLOOKUP(C727,[2]Sheet7!A:D,4,FALSE)</f>
        <v>Promoted</v>
      </c>
      <c r="H727" s="45" t="s">
        <v>3645</v>
      </c>
      <c r="I727" s="26" t="s">
        <v>3667</v>
      </c>
      <c r="J727" s="6" t="s">
        <v>1777</v>
      </c>
      <c r="K727" s="6" t="s">
        <v>3035</v>
      </c>
      <c r="L727" s="6" t="s">
        <v>3036</v>
      </c>
      <c r="M727" s="6" t="s">
        <v>1276</v>
      </c>
      <c r="O727" t="e">
        <f>VLOOKUP(C727,#REF!,12,FALSE)</f>
        <v>#REF!</v>
      </c>
    </row>
    <row r="728" spans="1:15">
      <c r="A728" s="17">
        <v>727</v>
      </c>
      <c r="B728" s="6" t="s">
        <v>1757</v>
      </c>
      <c r="C728" s="7">
        <v>2022439234</v>
      </c>
      <c r="D728" s="7">
        <v>2201010533</v>
      </c>
      <c r="E728" s="7" t="s">
        <v>1802</v>
      </c>
      <c r="F728" s="17" t="e">
        <f>VLOOKUP('2501_MIS '!C728,'[1]Fast Track '!B:K,10,FALSE)</f>
        <v>#N/A</v>
      </c>
      <c r="G728" s="17" t="str">
        <f>VLOOKUP(C728,[2]Sheet7!A:D,4,FALSE)</f>
        <v>Promoted</v>
      </c>
      <c r="H728" s="45" t="s">
        <v>3644</v>
      </c>
      <c r="I728" s="26" t="s">
        <v>3680</v>
      </c>
      <c r="J728" s="6" t="s">
        <v>1758</v>
      </c>
      <c r="K728" s="6" t="s">
        <v>3037</v>
      </c>
      <c r="L728" s="6" t="s">
        <v>3038</v>
      </c>
      <c r="M728" s="6" t="s">
        <v>1276</v>
      </c>
      <c r="O728" t="e">
        <f>VLOOKUP(C728,#REF!,12,FALSE)</f>
        <v>#REF!</v>
      </c>
    </row>
    <row r="729" spans="1:15">
      <c r="A729" s="17">
        <v>728</v>
      </c>
      <c r="B729" s="6" t="s">
        <v>1712</v>
      </c>
      <c r="C729" s="7">
        <v>2022006709</v>
      </c>
      <c r="D729" s="7">
        <v>2201010548</v>
      </c>
      <c r="E729" s="7" t="s">
        <v>1802</v>
      </c>
      <c r="F729" s="17" t="e">
        <f>VLOOKUP('2501_MIS '!C729,'[1]Fast Track '!B:K,10,FALSE)</f>
        <v>#N/A</v>
      </c>
      <c r="G729" s="17" t="str">
        <f>VLOOKUP(C729,[2]Sheet7!A:D,4,FALSE)</f>
        <v>Promoted</v>
      </c>
      <c r="H729" s="45" t="s">
        <v>3644</v>
      </c>
      <c r="I729" s="26" t="s">
        <v>3680</v>
      </c>
      <c r="J729" s="6" t="s">
        <v>1713</v>
      </c>
      <c r="K729" s="6" t="s">
        <v>3039</v>
      </c>
      <c r="L729" s="6" t="s">
        <v>3040</v>
      </c>
      <c r="M729" s="6" t="s">
        <v>1276</v>
      </c>
      <c r="O729" t="e">
        <f>VLOOKUP(C729,#REF!,12,FALSE)</f>
        <v>#REF!</v>
      </c>
    </row>
    <row r="730" spans="1:15">
      <c r="A730" s="17">
        <v>729</v>
      </c>
      <c r="B730" s="6" t="s">
        <v>1708</v>
      </c>
      <c r="C730" s="7">
        <v>2022006115</v>
      </c>
      <c r="D730" s="7">
        <v>2201010560</v>
      </c>
      <c r="E730" s="7" t="s">
        <v>1802</v>
      </c>
      <c r="F730" s="17" t="e">
        <f>VLOOKUP('2501_MIS '!C730,'[1]Fast Track '!B:K,10,FALSE)</f>
        <v>#N/A</v>
      </c>
      <c r="G730" s="17" t="str">
        <f>VLOOKUP(C730,[2]Sheet7!A:D,4,FALSE)</f>
        <v>Promoted</v>
      </c>
      <c r="H730" s="45" t="s">
        <v>3644</v>
      </c>
      <c r="I730" s="26" t="s">
        <v>3680</v>
      </c>
      <c r="J730" s="6" t="s">
        <v>1709</v>
      </c>
      <c r="K730" s="6" t="s">
        <v>3041</v>
      </c>
      <c r="L730" s="6" t="s">
        <v>3042</v>
      </c>
      <c r="M730" s="6" t="s">
        <v>1276</v>
      </c>
      <c r="O730" t="e">
        <f>VLOOKUP(C730,#REF!,12,FALSE)</f>
        <v>#REF!</v>
      </c>
    </row>
    <row r="731" spans="1:15">
      <c r="A731" s="17">
        <v>730</v>
      </c>
      <c r="B731" s="6" t="s">
        <v>1308</v>
      </c>
      <c r="C731" s="7">
        <v>2022410984</v>
      </c>
      <c r="D731" s="7">
        <v>2201010566</v>
      </c>
      <c r="E731" s="7" t="s">
        <v>1802</v>
      </c>
      <c r="F731" s="17" t="e">
        <f>VLOOKUP('2501_MIS '!C731,'[1]Fast Track '!B:K,10,FALSE)</f>
        <v>#N/A</v>
      </c>
      <c r="G731" s="17" t="str">
        <f>VLOOKUP(C731,[2]Sheet7!A:D,4,FALSE)</f>
        <v>Promoted</v>
      </c>
      <c r="H731" s="45" t="s">
        <v>3644</v>
      </c>
      <c r="I731" s="26" t="s">
        <v>3680</v>
      </c>
      <c r="J731" s="6" t="s">
        <v>1309</v>
      </c>
      <c r="K731" s="6" t="s">
        <v>3043</v>
      </c>
      <c r="L731" s="6" t="s">
        <v>3044</v>
      </c>
      <c r="M731" s="6" t="s">
        <v>1276</v>
      </c>
      <c r="O731" t="e">
        <f>VLOOKUP(C731,#REF!,12,FALSE)</f>
        <v>#REF!</v>
      </c>
    </row>
    <row r="732" spans="1:15">
      <c r="A732" s="17">
        <v>731</v>
      </c>
      <c r="B732" s="6" t="s">
        <v>1732</v>
      </c>
      <c r="C732" s="7">
        <v>2022307000</v>
      </c>
      <c r="D732" s="7">
        <v>2201010589</v>
      </c>
      <c r="E732" s="7" t="s">
        <v>1802</v>
      </c>
      <c r="F732" s="17" t="e">
        <f>VLOOKUP('2501_MIS '!C732,'[1]Fast Track '!B:K,10,FALSE)</f>
        <v>#N/A</v>
      </c>
      <c r="G732" s="17" t="str">
        <f>VLOOKUP(C732,[2]Sheet7!A:D,4,FALSE)</f>
        <v>Promoted</v>
      </c>
      <c r="H732" s="45" t="s">
        <v>3644</v>
      </c>
      <c r="I732" s="26" t="s">
        <v>3680</v>
      </c>
      <c r="J732" s="6" t="s">
        <v>1733</v>
      </c>
      <c r="K732" s="6" t="s">
        <v>3045</v>
      </c>
      <c r="L732" s="6" t="s">
        <v>3046</v>
      </c>
      <c r="M732" s="6" t="s">
        <v>1276</v>
      </c>
      <c r="O732" t="e">
        <f>VLOOKUP(C732,#REF!,12,FALSE)</f>
        <v>#REF!</v>
      </c>
    </row>
    <row r="733" spans="1:15">
      <c r="A733" s="17">
        <v>732</v>
      </c>
      <c r="B733" s="6" t="s">
        <v>1349</v>
      </c>
      <c r="C733" s="7">
        <v>2022553875</v>
      </c>
      <c r="D733" s="7">
        <v>2201010609</v>
      </c>
      <c r="E733" s="7" t="s">
        <v>1802</v>
      </c>
      <c r="F733" s="17" t="e">
        <f>VLOOKUP('2501_MIS '!C733,'[1]Fast Track '!B:K,10,FALSE)</f>
        <v>#N/A</v>
      </c>
      <c r="G733" s="17" t="str">
        <f>VLOOKUP(C733,[2]Sheet7!A:D,4,FALSE)</f>
        <v>Promoted</v>
      </c>
      <c r="H733" s="45" t="s">
        <v>3644</v>
      </c>
      <c r="I733" s="26" t="s">
        <v>3680</v>
      </c>
      <c r="J733" s="6" t="s">
        <v>1350</v>
      </c>
      <c r="K733" s="6" t="s">
        <v>3047</v>
      </c>
      <c r="L733" s="6" t="s">
        <v>3048</v>
      </c>
      <c r="M733" s="6" t="s">
        <v>1276</v>
      </c>
      <c r="O733" t="e">
        <f>VLOOKUP(C733,#REF!,12,FALSE)</f>
        <v>#REF!</v>
      </c>
    </row>
    <row r="734" spans="1:15">
      <c r="A734" s="17">
        <v>733</v>
      </c>
      <c r="B734" s="6" t="s">
        <v>1763</v>
      </c>
      <c r="C734" s="7">
        <v>2022459247</v>
      </c>
      <c r="D734" s="7">
        <v>2201010618</v>
      </c>
      <c r="E734" s="7" t="s">
        <v>1802</v>
      </c>
      <c r="F734" s="17" t="e">
        <f>VLOOKUP('2501_MIS '!C734,'[1]Fast Track '!B:K,10,FALSE)</f>
        <v>#N/A</v>
      </c>
      <c r="G734" s="17" t="str">
        <f>VLOOKUP(C734,[2]Sheet7!A:D,4,FALSE)</f>
        <v>Promoted</v>
      </c>
      <c r="H734" s="45" t="s">
        <v>3644</v>
      </c>
      <c r="I734" s="26" t="s">
        <v>3680</v>
      </c>
      <c r="J734" s="6" t="s">
        <v>1764</v>
      </c>
      <c r="K734" s="6" t="s">
        <v>3049</v>
      </c>
      <c r="L734" s="6" t="s">
        <v>3050</v>
      </c>
      <c r="M734" s="6" t="s">
        <v>1276</v>
      </c>
      <c r="O734" t="e">
        <f>VLOOKUP(C734,#REF!,12,FALSE)</f>
        <v>#REF!</v>
      </c>
    </row>
    <row r="735" spans="1:15">
      <c r="A735" s="17">
        <v>734</v>
      </c>
      <c r="B735" s="6" t="s">
        <v>1368</v>
      </c>
      <c r="C735" s="7">
        <v>2022465132</v>
      </c>
      <c r="D735" s="7">
        <v>2201010649</v>
      </c>
      <c r="E735" s="7" t="s">
        <v>1802</v>
      </c>
      <c r="F735" s="17" t="e">
        <f>VLOOKUP('2501_MIS '!C735,'[1]Fast Track '!B:K,10,FALSE)</f>
        <v>#N/A</v>
      </c>
      <c r="G735" s="17" t="str">
        <f>VLOOKUP(C735,[2]Sheet7!A:D,4,FALSE)</f>
        <v>Promoted</v>
      </c>
      <c r="H735" s="45" t="s">
        <v>3644</v>
      </c>
      <c r="I735" s="26" t="s">
        <v>3680</v>
      </c>
      <c r="J735" s="6" t="s">
        <v>1369</v>
      </c>
      <c r="K735" s="6" t="s">
        <v>3051</v>
      </c>
      <c r="L735" s="6" t="s">
        <v>3052</v>
      </c>
      <c r="M735" s="6" t="s">
        <v>1276</v>
      </c>
      <c r="O735" t="e">
        <f>VLOOKUP(C735,#REF!,12,FALSE)</f>
        <v>#REF!</v>
      </c>
    </row>
    <row r="736" spans="1:15">
      <c r="A736" s="17">
        <v>735</v>
      </c>
      <c r="B736" s="6" t="s">
        <v>1330</v>
      </c>
      <c r="C736" s="7">
        <v>2022513718</v>
      </c>
      <c r="D736" s="7">
        <v>2201010696</v>
      </c>
      <c r="E736" s="7" t="s">
        <v>1802</v>
      </c>
      <c r="F736" s="17" t="e">
        <f>VLOOKUP('2501_MIS '!C736,'[1]Fast Track '!B:K,10,FALSE)</f>
        <v>#N/A</v>
      </c>
      <c r="G736" s="17" t="str">
        <f>VLOOKUP(C736,[2]Sheet7!A:D,4,FALSE)</f>
        <v>Promoted</v>
      </c>
      <c r="H736" s="45" t="s">
        <v>3644</v>
      </c>
      <c r="I736" s="26" t="s">
        <v>3680</v>
      </c>
      <c r="J736" s="6" t="s">
        <v>1331</v>
      </c>
      <c r="K736" s="6" t="s">
        <v>3053</v>
      </c>
      <c r="L736" s="6" t="s">
        <v>3054</v>
      </c>
      <c r="M736" s="6" t="s">
        <v>1276</v>
      </c>
      <c r="O736" t="e">
        <f>VLOOKUP(C736,#REF!,12,FALSE)</f>
        <v>#REF!</v>
      </c>
    </row>
    <row r="737" spans="1:15">
      <c r="A737" s="17">
        <v>736</v>
      </c>
      <c r="B737" s="6" t="s">
        <v>1334</v>
      </c>
      <c r="C737" s="7">
        <v>2022518889</v>
      </c>
      <c r="D737" s="7">
        <v>2201010697</v>
      </c>
      <c r="E737" s="7" t="s">
        <v>1802</v>
      </c>
      <c r="F737" s="17" t="e">
        <f>VLOOKUP('2501_MIS '!C737,'[1]Fast Track '!B:K,10,FALSE)</f>
        <v>#N/A</v>
      </c>
      <c r="G737" s="17" t="str">
        <f>VLOOKUP(C737,[2]Sheet7!A:D,4,FALSE)</f>
        <v>Promoted</v>
      </c>
      <c r="H737" s="45" t="s">
        <v>3644</v>
      </c>
      <c r="I737" s="26" t="s">
        <v>3680</v>
      </c>
      <c r="J737" s="6" t="s">
        <v>1335</v>
      </c>
      <c r="K737" s="6" t="s">
        <v>3055</v>
      </c>
      <c r="L737" s="6" t="s">
        <v>3056</v>
      </c>
      <c r="M737" s="6" t="s">
        <v>1276</v>
      </c>
      <c r="O737" t="e">
        <f>VLOOKUP(C737,#REF!,12,FALSE)</f>
        <v>#REF!</v>
      </c>
    </row>
    <row r="738" spans="1:15">
      <c r="A738" s="17">
        <v>737</v>
      </c>
      <c r="B738" s="6" t="s">
        <v>1696</v>
      </c>
      <c r="C738" s="7">
        <v>2022003733</v>
      </c>
      <c r="D738" s="7">
        <v>2201010708</v>
      </c>
      <c r="E738" s="7" t="s">
        <v>1802</v>
      </c>
      <c r="F738" s="17" t="e">
        <f>VLOOKUP('2501_MIS '!C738,'[1]Fast Track '!B:K,10,FALSE)</f>
        <v>#N/A</v>
      </c>
      <c r="G738" s="17" t="str">
        <f>VLOOKUP(C738,[2]Sheet7!A:D,4,FALSE)</f>
        <v>Promoted</v>
      </c>
      <c r="H738" s="45" t="s">
        <v>3644</v>
      </c>
      <c r="I738" s="26" t="s">
        <v>3680</v>
      </c>
      <c r="J738" s="6" t="s">
        <v>1697</v>
      </c>
      <c r="K738" s="6" t="s">
        <v>3057</v>
      </c>
      <c r="L738" s="6" t="s">
        <v>3058</v>
      </c>
      <c r="M738" s="6" t="s">
        <v>1276</v>
      </c>
      <c r="O738" t="e">
        <f>VLOOKUP(C738,#REF!,12,FALSE)</f>
        <v>#REF!</v>
      </c>
    </row>
    <row r="739" spans="1:15">
      <c r="A739" s="17">
        <v>738</v>
      </c>
      <c r="B739" s="6" t="s">
        <v>1299</v>
      </c>
      <c r="C739" s="7">
        <v>2022335852</v>
      </c>
      <c r="D739" s="7">
        <v>2201010739</v>
      </c>
      <c r="E739" s="7" t="s">
        <v>1802</v>
      </c>
      <c r="F739" s="17" t="e">
        <f>VLOOKUP('2501_MIS '!C739,'[1]Fast Track '!B:K,10,FALSE)</f>
        <v>#N/A</v>
      </c>
      <c r="G739" s="17" t="str">
        <f>VLOOKUP(C739,[2]Sheet7!A:D,4,FALSE)</f>
        <v>Promoted</v>
      </c>
      <c r="H739" s="45" t="s">
        <v>3644</v>
      </c>
      <c r="I739" s="26" t="s">
        <v>3680</v>
      </c>
      <c r="J739" s="6" t="s">
        <v>1300</v>
      </c>
      <c r="K739" s="6" t="s">
        <v>3059</v>
      </c>
      <c r="L739" s="6" t="s">
        <v>3060</v>
      </c>
      <c r="M739" s="6" t="s">
        <v>1276</v>
      </c>
      <c r="O739" t="e">
        <f>VLOOKUP(C739,#REF!,12,FALSE)</f>
        <v>#REF!</v>
      </c>
    </row>
    <row r="740" spans="1:15">
      <c r="A740" s="17">
        <v>739</v>
      </c>
      <c r="B740" s="6" t="s">
        <v>1698</v>
      </c>
      <c r="C740" s="7">
        <v>2022005013</v>
      </c>
      <c r="D740" s="7">
        <v>2201010742</v>
      </c>
      <c r="E740" s="7" t="s">
        <v>1802</v>
      </c>
      <c r="F740" s="17" t="e">
        <f>VLOOKUP('2501_MIS '!C740,'[1]Fast Track '!B:K,10,FALSE)</f>
        <v>#N/A</v>
      </c>
      <c r="G740" s="17" t="str">
        <f>VLOOKUP(C740,[2]Sheet7!A:D,4,FALSE)</f>
        <v>Promoted</v>
      </c>
      <c r="H740" s="45" t="s">
        <v>3644</v>
      </c>
      <c r="I740" s="26" t="s">
        <v>3680</v>
      </c>
      <c r="J740" s="6" t="s">
        <v>1699</v>
      </c>
      <c r="K740" s="6" t="s">
        <v>3061</v>
      </c>
      <c r="L740" s="6" t="s">
        <v>3062</v>
      </c>
      <c r="M740" s="6" t="s">
        <v>1276</v>
      </c>
      <c r="O740" t="e">
        <f>VLOOKUP(C740,#REF!,12,FALSE)</f>
        <v>#REF!</v>
      </c>
    </row>
    <row r="741" spans="1:15">
      <c r="A741" s="17">
        <v>740</v>
      </c>
      <c r="B741" s="6" t="s">
        <v>1336</v>
      </c>
      <c r="C741" s="7">
        <v>2022520199</v>
      </c>
      <c r="D741" s="7">
        <v>2201010744</v>
      </c>
      <c r="E741" s="7" t="s">
        <v>1802</v>
      </c>
      <c r="F741" s="17" t="e">
        <f>VLOOKUP('2501_MIS '!C741,'[1]Fast Track '!B:K,10,FALSE)</f>
        <v>#N/A</v>
      </c>
      <c r="G741" s="17" t="str">
        <f>VLOOKUP(C741,[2]Sheet7!A:D,4,FALSE)</f>
        <v>Promoted</v>
      </c>
      <c r="H741" s="45" t="s">
        <v>3644</v>
      </c>
      <c r="I741" s="26" t="s">
        <v>3680</v>
      </c>
      <c r="J741" s="6" t="s">
        <v>1337</v>
      </c>
      <c r="K741" s="6" t="s">
        <v>3063</v>
      </c>
      <c r="L741" s="6" t="s">
        <v>3064</v>
      </c>
      <c r="M741" s="6" t="s">
        <v>1276</v>
      </c>
      <c r="O741" t="e">
        <f>VLOOKUP(C741,#REF!,12,FALSE)</f>
        <v>#REF!</v>
      </c>
    </row>
    <row r="742" spans="1:15" s="52" customFormat="1">
      <c r="A742" s="47">
        <v>741</v>
      </c>
      <c r="B742" s="48" t="s">
        <v>1791</v>
      </c>
      <c r="C742" s="49">
        <v>2022823509</v>
      </c>
      <c r="D742" s="49">
        <v>2201010755</v>
      </c>
      <c r="E742" s="49" t="s">
        <v>1802</v>
      </c>
      <c r="F742" s="47" t="e">
        <f>VLOOKUP('2501_MIS '!C742,'[1]Fast Track '!B:K,10,FALSE)</f>
        <v>#N/A</v>
      </c>
      <c r="G742" s="47" t="e">
        <f>VLOOKUP(C742,[2]Sheet7!A:D,4,FALSE)</f>
        <v>#N/A</v>
      </c>
      <c r="H742" s="50" t="s">
        <v>3644</v>
      </c>
      <c r="I742" s="51" t="s">
        <v>3680</v>
      </c>
      <c r="J742" s="48" t="s">
        <v>1792</v>
      </c>
      <c r="K742" s="48" t="s">
        <v>3065</v>
      </c>
      <c r="L742" s="48" t="s">
        <v>3066</v>
      </c>
      <c r="M742" s="48" t="s">
        <v>1276</v>
      </c>
      <c r="N742" s="52" t="s">
        <v>3685</v>
      </c>
      <c r="O742" t="e">
        <f>VLOOKUP(C742,#REF!,12,FALSE)</f>
        <v>#REF!</v>
      </c>
    </row>
    <row r="743" spans="1:15">
      <c r="A743" s="17">
        <v>742</v>
      </c>
      <c r="B743" s="6" t="s">
        <v>1314</v>
      </c>
      <c r="C743" s="7">
        <v>2022421811</v>
      </c>
      <c r="D743" s="7">
        <v>2201010758</v>
      </c>
      <c r="E743" s="7" t="s">
        <v>1802</v>
      </c>
      <c r="F743" s="17" t="e">
        <f>VLOOKUP('2501_MIS '!C743,'[1]Fast Track '!B:K,10,FALSE)</f>
        <v>#N/A</v>
      </c>
      <c r="G743" s="17" t="str">
        <f>VLOOKUP(C743,[2]Sheet7!A:D,4,FALSE)</f>
        <v>Promoted</v>
      </c>
      <c r="H743" s="45" t="s">
        <v>3644</v>
      </c>
      <c r="I743" s="26" t="s">
        <v>3680</v>
      </c>
      <c r="J743" s="6" t="s">
        <v>1315</v>
      </c>
      <c r="K743" s="6" t="s">
        <v>3067</v>
      </c>
      <c r="L743" s="6" t="s">
        <v>3068</v>
      </c>
      <c r="M743" s="6" t="s">
        <v>1276</v>
      </c>
      <c r="O743" t="e">
        <f>VLOOKUP(C743,#REF!,12,FALSE)</f>
        <v>#REF!</v>
      </c>
    </row>
    <row r="744" spans="1:15">
      <c r="A744" s="17">
        <v>743</v>
      </c>
      <c r="B744" s="6" t="s">
        <v>1767</v>
      </c>
      <c r="C744" s="7">
        <v>2022477719</v>
      </c>
      <c r="D744" s="7">
        <v>2201010759</v>
      </c>
      <c r="E744" s="7" t="s">
        <v>1802</v>
      </c>
      <c r="F744" s="17" t="e">
        <f>VLOOKUP('2501_MIS '!C744,'[1]Fast Track '!B:K,10,FALSE)</f>
        <v>#N/A</v>
      </c>
      <c r="G744" s="17" t="str">
        <f>VLOOKUP(C744,[2]Sheet7!A:D,4,FALSE)</f>
        <v>Promoted</v>
      </c>
      <c r="H744" s="45" t="s">
        <v>3644</v>
      </c>
      <c r="I744" s="26" t="s">
        <v>3680</v>
      </c>
      <c r="J744" s="6" t="s">
        <v>1768</v>
      </c>
      <c r="K744" s="6" t="s">
        <v>3069</v>
      </c>
      <c r="L744" s="6" t="s">
        <v>3070</v>
      </c>
      <c r="M744" s="6" t="s">
        <v>1276</v>
      </c>
      <c r="O744" t="e">
        <f>VLOOKUP(C744,#REF!,12,FALSE)</f>
        <v>#REF!</v>
      </c>
    </row>
    <row r="745" spans="1:15">
      <c r="A745" s="17">
        <v>744</v>
      </c>
      <c r="B745" s="6" t="s">
        <v>1303</v>
      </c>
      <c r="C745" s="7">
        <v>2022374380</v>
      </c>
      <c r="D745" s="7">
        <v>2201010768</v>
      </c>
      <c r="E745" s="7" t="s">
        <v>1802</v>
      </c>
      <c r="F745" s="17" t="e">
        <f>VLOOKUP('2501_MIS '!C745,'[1]Fast Track '!B:K,10,FALSE)</f>
        <v>#N/A</v>
      </c>
      <c r="G745" s="17" t="str">
        <f>VLOOKUP(C745,[2]Sheet7!A:D,4,FALSE)</f>
        <v>Promoted</v>
      </c>
      <c r="H745" s="45" t="s">
        <v>3644</v>
      </c>
      <c r="I745" s="26" t="s">
        <v>3680</v>
      </c>
      <c r="J745" s="6" t="s">
        <v>1304</v>
      </c>
      <c r="K745" s="6" t="s">
        <v>3071</v>
      </c>
      <c r="L745" s="6" t="s">
        <v>3072</v>
      </c>
      <c r="M745" s="6" t="s">
        <v>1276</v>
      </c>
      <c r="O745" t="e">
        <f>VLOOKUP(C745,#REF!,12,FALSE)</f>
        <v>#REF!</v>
      </c>
    </row>
    <row r="746" spans="1:15">
      <c r="A746" s="17">
        <v>745</v>
      </c>
      <c r="B746" s="6" t="s">
        <v>1322</v>
      </c>
      <c r="C746" s="7">
        <v>2022495156</v>
      </c>
      <c r="D746" s="7">
        <v>2201010775</v>
      </c>
      <c r="E746" s="7" t="s">
        <v>1802</v>
      </c>
      <c r="F746" s="17" t="e">
        <f>VLOOKUP('2501_MIS '!C746,'[1]Fast Track '!B:K,10,FALSE)</f>
        <v>#N/A</v>
      </c>
      <c r="G746" s="17" t="str">
        <f>VLOOKUP(C746,[2]Sheet7!A:D,4,FALSE)</f>
        <v>Promoted</v>
      </c>
      <c r="H746" s="45" t="s">
        <v>3644</v>
      </c>
      <c r="I746" s="26" t="s">
        <v>3680</v>
      </c>
      <c r="J746" s="6" t="s">
        <v>1323</v>
      </c>
      <c r="K746" s="6" t="s">
        <v>3073</v>
      </c>
      <c r="L746" s="6" t="s">
        <v>3074</v>
      </c>
      <c r="M746" s="6" t="s">
        <v>1276</v>
      </c>
      <c r="O746" t="e">
        <f>VLOOKUP(C746,#REF!,12,FALSE)</f>
        <v>#REF!</v>
      </c>
    </row>
    <row r="747" spans="1:15">
      <c r="A747" s="17">
        <v>746</v>
      </c>
      <c r="B747" s="6" t="s">
        <v>1795</v>
      </c>
      <c r="C747" s="7">
        <v>2022006597</v>
      </c>
      <c r="D747" s="7">
        <v>2201010802</v>
      </c>
      <c r="E747" s="7" t="s">
        <v>1802</v>
      </c>
      <c r="F747" s="17" t="e">
        <f>VLOOKUP('2501_MIS '!C747,'[1]Fast Track '!B:K,10,FALSE)</f>
        <v>#N/A</v>
      </c>
      <c r="G747" s="17" t="str">
        <f>VLOOKUP(C747,[2]Sheet7!A:D,4,FALSE)</f>
        <v>Promoted</v>
      </c>
      <c r="H747" s="45" t="s">
        <v>3644</v>
      </c>
      <c r="I747" s="26" t="s">
        <v>3680</v>
      </c>
      <c r="J747" s="6" t="s">
        <v>1796</v>
      </c>
      <c r="K747" s="6" t="s">
        <v>3075</v>
      </c>
      <c r="L747" s="6" t="s">
        <v>3076</v>
      </c>
      <c r="M747" s="6" t="s">
        <v>1276</v>
      </c>
      <c r="O747" t="e">
        <f>VLOOKUP(C747,#REF!,12,FALSE)</f>
        <v>#REF!</v>
      </c>
    </row>
    <row r="748" spans="1:15">
      <c r="A748" s="17">
        <v>747</v>
      </c>
      <c r="B748" s="6" t="s">
        <v>1774</v>
      </c>
      <c r="C748" s="7">
        <v>2022518973</v>
      </c>
      <c r="D748" s="7">
        <v>2201010814</v>
      </c>
      <c r="E748" s="7" t="s">
        <v>1802</v>
      </c>
      <c r="F748" s="17" t="e">
        <f>VLOOKUP('2501_MIS '!C748,'[1]Fast Track '!B:K,10,FALSE)</f>
        <v>#N/A</v>
      </c>
      <c r="G748" s="17" t="str">
        <f>VLOOKUP(C748,[2]Sheet7!A:D,4,FALSE)</f>
        <v>Promoted</v>
      </c>
      <c r="H748" s="45" t="s">
        <v>3644</v>
      </c>
      <c r="I748" s="26" t="s">
        <v>3680</v>
      </c>
      <c r="J748" s="6" t="s">
        <v>1775</v>
      </c>
      <c r="K748" s="6" t="s">
        <v>3077</v>
      </c>
      <c r="L748" s="6" t="s">
        <v>3078</v>
      </c>
      <c r="M748" s="6" t="s">
        <v>1276</v>
      </c>
      <c r="O748" t="e">
        <f>VLOOKUP(C748,#REF!,12,FALSE)</f>
        <v>#REF!</v>
      </c>
    </row>
    <row r="749" spans="1:15">
      <c r="A749" s="17">
        <v>748</v>
      </c>
      <c r="B749" s="6" t="s">
        <v>1320</v>
      </c>
      <c r="C749" s="7">
        <v>2022490281</v>
      </c>
      <c r="D749" s="7">
        <v>2201010824</v>
      </c>
      <c r="E749" s="7" t="s">
        <v>1802</v>
      </c>
      <c r="F749" s="17" t="e">
        <f>VLOOKUP('2501_MIS '!C749,'[1]Fast Track '!B:K,10,FALSE)</f>
        <v>#N/A</v>
      </c>
      <c r="G749" s="17" t="str">
        <f>VLOOKUP(C749,[2]Sheet7!A:D,4,FALSE)</f>
        <v>Promoted</v>
      </c>
      <c r="H749" s="45" t="s">
        <v>3644</v>
      </c>
      <c r="I749" s="26" t="s">
        <v>3680</v>
      </c>
      <c r="J749" s="6" t="s">
        <v>1321</v>
      </c>
      <c r="K749" s="6" t="s">
        <v>3079</v>
      </c>
      <c r="L749" s="6" t="s">
        <v>3080</v>
      </c>
      <c r="M749" s="6" t="s">
        <v>1276</v>
      </c>
      <c r="O749" t="e">
        <f>VLOOKUP(C749,#REF!,12,FALSE)</f>
        <v>#REF!</v>
      </c>
    </row>
    <row r="750" spans="1:15">
      <c r="A750" s="17">
        <v>749</v>
      </c>
      <c r="B750" s="6" t="s">
        <v>1710</v>
      </c>
      <c r="C750" s="7">
        <v>2022006563</v>
      </c>
      <c r="D750" s="7">
        <v>2201010942</v>
      </c>
      <c r="E750" s="7" t="s">
        <v>1802</v>
      </c>
      <c r="F750" s="17" t="e">
        <f>VLOOKUP('2501_MIS '!C750,'[1]Fast Track '!B:K,10,FALSE)</f>
        <v>#N/A</v>
      </c>
      <c r="G750" s="17" t="str">
        <f>VLOOKUP(C750,[2]Sheet7!A:D,4,FALSE)</f>
        <v>Promoted</v>
      </c>
      <c r="H750" s="45" t="s">
        <v>3644</v>
      </c>
      <c r="I750" s="26" t="s">
        <v>3680</v>
      </c>
      <c r="J750" s="6" t="s">
        <v>1711</v>
      </c>
      <c r="K750" s="6" t="s">
        <v>3081</v>
      </c>
      <c r="L750" s="6" t="s">
        <v>3082</v>
      </c>
      <c r="M750" s="6" t="s">
        <v>1276</v>
      </c>
      <c r="O750" t="e">
        <f>VLOOKUP(C750,#REF!,12,FALSE)</f>
        <v>#REF!</v>
      </c>
    </row>
    <row r="751" spans="1:15">
      <c r="A751" s="17">
        <v>750</v>
      </c>
      <c r="B751" s="6" t="s">
        <v>1714</v>
      </c>
      <c r="C751" s="7">
        <v>2022006893</v>
      </c>
      <c r="D751" s="7">
        <v>2201010943</v>
      </c>
      <c r="E751" s="7" t="s">
        <v>1802</v>
      </c>
      <c r="F751" s="17" t="e">
        <f>VLOOKUP('2501_MIS '!C751,'[1]Fast Track '!B:K,10,FALSE)</f>
        <v>#N/A</v>
      </c>
      <c r="G751" s="17" t="str">
        <f>VLOOKUP(C751,[2]Sheet7!A:D,4,FALSE)</f>
        <v>Promoted</v>
      </c>
      <c r="H751" s="45" t="s">
        <v>3644</v>
      </c>
      <c r="I751" s="26" t="s">
        <v>3680</v>
      </c>
      <c r="J751" s="6" t="s">
        <v>1715</v>
      </c>
      <c r="K751" s="6" t="s">
        <v>3083</v>
      </c>
      <c r="L751" s="6" t="s">
        <v>3084</v>
      </c>
      <c r="M751" s="6" t="s">
        <v>1276</v>
      </c>
      <c r="O751" t="e">
        <f>VLOOKUP(C751,#REF!,12,FALSE)</f>
        <v>#REF!</v>
      </c>
    </row>
    <row r="752" spans="1:15">
      <c r="A752" s="17">
        <v>751</v>
      </c>
      <c r="B752" s="6" t="s">
        <v>1720</v>
      </c>
      <c r="C752" s="7">
        <v>2022007789</v>
      </c>
      <c r="D752" s="7">
        <v>2201010945</v>
      </c>
      <c r="E752" s="7" t="s">
        <v>1802</v>
      </c>
      <c r="F752" s="17" t="str">
        <f>VLOOKUP('2501_MIS '!C752,'[1]Fast Track '!B:K,10,FALSE)</f>
        <v>Fast learning Mode</v>
      </c>
      <c r="G752" s="17" t="str">
        <f>VLOOKUP(C752,[2]Sheet7!A:D,4,FALSE)</f>
        <v>Promoted</v>
      </c>
      <c r="H752" s="45" t="s">
        <v>3644</v>
      </c>
      <c r="I752" s="26" t="s">
        <v>3680</v>
      </c>
      <c r="J752" s="6" t="s">
        <v>1721</v>
      </c>
      <c r="K752" s="6" t="s">
        <v>3085</v>
      </c>
      <c r="L752" s="6" t="s">
        <v>3086</v>
      </c>
      <c r="M752" s="6" t="s">
        <v>1276</v>
      </c>
      <c r="O752" t="e">
        <f>VLOOKUP(C752,#REF!,12,FALSE)</f>
        <v>#REF!</v>
      </c>
    </row>
    <row r="753" spans="1:15">
      <c r="A753" s="17">
        <v>752</v>
      </c>
      <c r="B753" s="6" t="s">
        <v>1780</v>
      </c>
      <c r="C753" s="7">
        <v>2022565521</v>
      </c>
      <c r="D753" s="7">
        <v>2201010948</v>
      </c>
      <c r="E753" s="7" t="s">
        <v>1802</v>
      </c>
      <c r="F753" s="17" t="e">
        <f>VLOOKUP('2501_MIS '!C753,'[1]Fast Track '!B:K,10,FALSE)</f>
        <v>#N/A</v>
      </c>
      <c r="G753" s="17" t="str">
        <f>VLOOKUP(C753,[2]Sheet7!A:D,4,FALSE)</f>
        <v>Promoted</v>
      </c>
      <c r="H753" s="45" t="s">
        <v>3644</v>
      </c>
      <c r="I753" s="26" t="s">
        <v>3680</v>
      </c>
      <c r="J753" s="6" t="s">
        <v>1781</v>
      </c>
      <c r="K753" s="6" t="s">
        <v>3087</v>
      </c>
      <c r="L753" s="6" t="s">
        <v>3088</v>
      </c>
      <c r="M753" s="6" t="s">
        <v>1276</v>
      </c>
      <c r="O753" t="e">
        <f>VLOOKUP(C753,#REF!,12,FALSE)</f>
        <v>#REF!</v>
      </c>
    </row>
    <row r="754" spans="1:15">
      <c r="A754" s="17">
        <v>753</v>
      </c>
      <c r="B754" s="6" t="s">
        <v>1782</v>
      </c>
      <c r="C754" s="7">
        <v>2022573142</v>
      </c>
      <c r="D754" s="7">
        <v>2201010949</v>
      </c>
      <c r="E754" s="7" t="s">
        <v>1802</v>
      </c>
      <c r="F754" s="17" t="e">
        <f>VLOOKUP('2501_MIS '!C754,'[1]Fast Track '!B:K,10,FALSE)</f>
        <v>#N/A</v>
      </c>
      <c r="G754" s="17" t="str">
        <f>VLOOKUP(C754,[2]Sheet7!A:D,4,FALSE)</f>
        <v>Not Promoted</v>
      </c>
      <c r="H754" s="45" t="s">
        <v>3644</v>
      </c>
      <c r="I754" s="26" t="s">
        <v>3680</v>
      </c>
      <c r="J754" s="6" t="s">
        <v>1783</v>
      </c>
      <c r="K754" s="6" t="s">
        <v>3089</v>
      </c>
      <c r="L754" s="6" t="s">
        <v>3090</v>
      </c>
      <c r="M754" s="6" t="s">
        <v>1276</v>
      </c>
      <c r="O754" t="e">
        <f>VLOOKUP(C754,#REF!,12,FALSE)</f>
        <v>#REF!</v>
      </c>
    </row>
    <row r="755" spans="1:15">
      <c r="A755" s="17">
        <v>754</v>
      </c>
      <c r="B755" s="6" t="s">
        <v>1784</v>
      </c>
      <c r="C755" s="7">
        <v>2022586591</v>
      </c>
      <c r="D755" s="7">
        <v>2201010950</v>
      </c>
      <c r="E755" s="7" t="s">
        <v>1802</v>
      </c>
      <c r="F755" s="17" t="e">
        <f>VLOOKUP('2501_MIS '!C755,'[1]Fast Track '!B:K,10,FALSE)</f>
        <v>#N/A</v>
      </c>
      <c r="G755" s="17" t="str">
        <f>VLOOKUP(C755,[2]Sheet7!A:D,4,FALSE)</f>
        <v>Promoted</v>
      </c>
      <c r="H755" s="45" t="s">
        <v>3644</v>
      </c>
      <c r="I755" s="26" t="s">
        <v>3680</v>
      </c>
      <c r="J755" s="6" t="s">
        <v>1785</v>
      </c>
      <c r="K755" s="6" t="s">
        <v>3091</v>
      </c>
      <c r="L755" s="6" t="s">
        <v>3092</v>
      </c>
      <c r="M755" s="6" t="s">
        <v>1276</v>
      </c>
      <c r="O755" t="e">
        <f>VLOOKUP(C755,#REF!,12,FALSE)</f>
        <v>#REF!</v>
      </c>
    </row>
    <row r="756" spans="1:15">
      <c r="A756" s="17">
        <v>755</v>
      </c>
      <c r="B756" s="6" t="s">
        <v>1359</v>
      </c>
      <c r="C756" s="7">
        <v>2022599098</v>
      </c>
      <c r="D756" s="7">
        <v>2201010951</v>
      </c>
      <c r="E756" s="7" t="s">
        <v>1802</v>
      </c>
      <c r="F756" s="17" t="e">
        <f>VLOOKUP('2501_MIS '!C756,'[1]Fast Track '!B:K,10,FALSE)</f>
        <v>#N/A</v>
      </c>
      <c r="G756" s="17" t="str">
        <f>VLOOKUP(C756,[2]Sheet7!A:D,4,FALSE)</f>
        <v>Promoted</v>
      </c>
      <c r="H756" s="45" t="s">
        <v>3644</v>
      </c>
      <c r="I756" s="26" t="s">
        <v>3680</v>
      </c>
      <c r="J756" s="6" t="s">
        <v>1360</v>
      </c>
      <c r="K756" s="6" t="s">
        <v>3093</v>
      </c>
      <c r="L756" s="6" t="s">
        <v>3094</v>
      </c>
      <c r="M756" s="6" t="s">
        <v>1276</v>
      </c>
      <c r="O756" t="e">
        <f>VLOOKUP(C756,#REF!,12,FALSE)</f>
        <v>#REF!</v>
      </c>
    </row>
    <row r="757" spans="1:15">
      <c r="A757" s="17">
        <v>756</v>
      </c>
      <c r="B757" s="6" t="s">
        <v>1366</v>
      </c>
      <c r="C757" s="7">
        <v>2022603519</v>
      </c>
      <c r="D757" s="7">
        <v>2201010952</v>
      </c>
      <c r="E757" s="7" t="s">
        <v>1802</v>
      </c>
      <c r="F757" s="17" t="e">
        <f>VLOOKUP('2501_MIS '!C757,'[1]Fast Track '!B:K,10,FALSE)</f>
        <v>#N/A</v>
      </c>
      <c r="G757" s="17" t="str">
        <f>VLOOKUP(C757,[2]Sheet7!A:D,4,FALSE)</f>
        <v>Promoted</v>
      </c>
      <c r="H757" s="45" t="s">
        <v>3644</v>
      </c>
      <c r="I757" s="26" t="s">
        <v>3680</v>
      </c>
      <c r="J757" s="6" t="s">
        <v>1367</v>
      </c>
      <c r="K757" s="6" t="s">
        <v>3095</v>
      </c>
      <c r="L757" s="6" t="s">
        <v>3096</v>
      </c>
      <c r="M757" s="6" t="s">
        <v>1276</v>
      </c>
      <c r="O757" t="e">
        <f>VLOOKUP(C757,#REF!,12,FALSE)</f>
        <v>#REF!</v>
      </c>
    </row>
    <row r="758" spans="1:15">
      <c r="A758" s="17">
        <v>757</v>
      </c>
      <c r="B758" s="6" t="s">
        <v>705</v>
      </c>
      <c r="C758" s="7">
        <v>2022617520</v>
      </c>
      <c r="D758" s="7">
        <v>2201010954</v>
      </c>
      <c r="E758" s="7" t="s">
        <v>1802</v>
      </c>
      <c r="F758" s="17" t="e">
        <f>VLOOKUP('2501_MIS '!C758,'[1]Fast Track '!B:K,10,FALSE)</f>
        <v>#N/A</v>
      </c>
      <c r="G758" s="17" t="str">
        <f>VLOOKUP(C758,[2]Sheet7!A:D,4,FALSE)</f>
        <v>Promoted</v>
      </c>
      <c r="H758" s="45" t="s">
        <v>3644</v>
      </c>
      <c r="I758" s="26" t="s">
        <v>3680</v>
      </c>
      <c r="J758" s="6" t="s">
        <v>1786</v>
      </c>
      <c r="K758" s="6" t="s">
        <v>3097</v>
      </c>
      <c r="L758" s="6" t="s">
        <v>3098</v>
      </c>
      <c r="M758" s="6" t="s">
        <v>1276</v>
      </c>
      <c r="O758" t="e">
        <f>VLOOKUP(C758,#REF!,12,FALSE)</f>
        <v>#REF!</v>
      </c>
    </row>
    <row r="759" spans="1:15">
      <c r="A759" s="17">
        <v>758</v>
      </c>
      <c r="B759" s="6" t="s">
        <v>1787</v>
      </c>
      <c r="C759" s="7">
        <v>2022618106</v>
      </c>
      <c r="D759" s="7">
        <v>2201010955</v>
      </c>
      <c r="E759" s="7" t="s">
        <v>1802</v>
      </c>
      <c r="F759" s="17" t="e">
        <f>VLOOKUP('2501_MIS '!C759,'[1]Fast Track '!B:K,10,FALSE)</f>
        <v>#N/A</v>
      </c>
      <c r="G759" s="17" t="str">
        <f>VLOOKUP(C759,[2]Sheet7!A:D,4,FALSE)</f>
        <v>Promoted</v>
      </c>
      <c r="H759" s="45" t="s">
        <v>3644</v>
      </c>
      <c r="I759" s="26" t="s">
        <v>3680</v>
      </c>
      <c r="J759" s="6" t="s">
        <v>1788</v>
      </c>
      <c r="K759" s="6" t="s">
        <v>3099</v>
      </c>
      <c r="L759" s="6" t="s">
        <v>3100</v>
      </c>
      <c r="M759" s="6" t="s">
        <v>1276</v>
      </c>
      <c r="O759" t="e">
        <f>VLOOKUP(C759,#REF!,12,FALSE)</f>
        <v>#REF!</v>
      </c>
    </row>
    <row r="760" spans="1:15">
      <c r="A760" s="17">
        <v>759</v>
      </c>
      <c r="B760" s="6" t="s">
        <v>1692</v>
      </c>
      <c r="C760" s="7">
        <v>2021365266</v>
      </c>
      <c r="D760" s="7">
        <v>210101054</v>
      </c>
      <c r="E760" s="7" t="s">
        <v>1813</v>
      </c>
      <c r="F760" s="17" t="e">
        <f>VLOOKUP('2501_MIS '!C760,'[1]Fast Track '!B:K,10,FALSE)</f>
        <v>#N/A</v>
      </c>
      <c r="G760" s="17" t="str">
        <f>VLOOKUP(C760,[2]Sheet7!A:D,4,FALSE)</f>
        <v>Not Promoted</v>
      </c>
      <c r="H760" s="45" t="s">
        <v>3645</v>
      </c>
      <c r="I760" s="26" t="s">
        <v>3669</v>
      </c>
      <c r="J760" s="6" t="s">
        <v>1693</v>
      </c>
      <c r="K760" s="6" t="s">
        <v>3193</v>
      </c>
      <c r="L760" s="6" t="s">
        <v>3194</v>
      </c>
      <c r="M760" s="6" t="s">
        <v>1276</v>
      </c>
      <c r="O760" t="e">
        <f>VLOOKUP(C760,#REF!,12,FALSE)</f>
        <v>#REF!</v>
      </c>
    </row>
    <row r="761" spans="1:15">
      <c r="A761" s="17">
        <v>760</v>
      </c>
      <c r="B761" s="6" t="s">
        <v>1586</v>
      </c>
      <c r="C761" s="7">
        <v>2021424420</v>
      </c>
      <c r="D761" s="7">
        <v>210101151</v>
      </c>
      <c r="E761" s="7" t="s">
        <v>1813</v>
      </c>
      <c r="F761" s="17" t="e">
        <f>VLOOKUP('2501_MIS '!C761,'[1]Fast Track '!B:K,10,FALSE)</f>
        <v>#N/A</v>
      </c>
      <c r="G761" s="17" t="str">
        <f>VLOOKUP(C761,[2]Sheet7!A:D,4,FALSE)</f>
        <v>Not Promoted</v>
      </c>
      <c r="H761" s="45" t="s">
        <v>3645</v>
      </c>
      <c r="I761" s="26" t="s">
        <v>3669</v>
      </c>
      <c r="J761" s="6" t="s">
        <v>1587</v>
      </c>
      <c r="K761" s="6" t="s">
        <v>3195</v>
      </c>
      <c r="L761" s="6" t="s">
        <v>3196</v>
      </c>
      <c r="M761" s="6" t="s">
        <v>1276</v>
      </c>
      <c r="O761" t="e">
        <f>VLOOKUP(C761,#REF!,12,FALSE)</f>
        <v>#REF!</v>
      </c>
    </row>
    <row r="762" spans="1:15">
      <c r="A762" s="17">
        <v>761</v>
      </c>
      <c r="B762" s="6" t="s">
        <v>1694</v>
      </c>
      <c r="C762" s="7">
        <v>2021373851</v>
      </c>
      <c r="D762" s="7">
        <v>210101339</v>
      </c>
      <c r="E762" s="7" t="s">
        <v>1813</v>
      </c>
      <c r="F762" s="17" t="e">
        <f>VLOOKUP('2501_MIS '!C762,'[1]Fast Track '!B:K,10,FALSE)</f>
        <v>#N/A</v>
      </c>
      <c r="G762" s="17" t="str">
        <f>VLOOKUP(C762,[2]Sheet7!A:D,4,FALSE)</f>
        <v>Not Promoted</v>
      </c>
      <c r="H762" s="45" t="s">
        <v>3645</v>
      </c>
      <c r="I762" s="26" t="s">
        <v>3669</v>
      </c>
      <c r="J762" s="6" t="s">
        <v>1695</v>
      </c>
      <c r="K762" s="6" t="s">
        <v>3197</v>
      </c>
      <c r="L762" s="6" t="s">
        <v>3198</v>
      </c>
      <c r="M762" s="6" t="s">
        <v>1276</v>
      </c>
      <c r="O762" t="e">
        <f>VLOOKUP(C762,#REF!,12,FALSE)</f>
        <v>#REF!</v>
      </c>
    </row>
    <row r="763" spans="1:15">
      <c r="A763" s="17">
        <v>762</v>
      </c>
      <c r="B763" s="6" t="s">
        <v>1706</v>
      </c>
      <c r="C763" s="7">
        <v>2022005947</v>
      </c>
      <c r="D763" s="7">
        <v>2201010179</v>
      </c>
      <c r="E763" s="7" t="s">
        <v>1813</v>
      </c>
      <c r="F763" s="17" t="e">
        <f>VLOOKUP('2501_MIS '!C763,'[1]Fast Track '!B:K,10,FALSE)</f>
        <v>#N/A</v>
      </c>
      <c r="G763" s="17" t="str">
        <f>VLOOKUP(C763,[2]Sheet7!A:D,4,FALSE)</f>
        <v>Promoted</v>
      </c>
      <c r="H763" s="45" t="s">
        <v>3645</v>
      </c>
      <c r="I763" s="26" t="s">
        <v>3669</v>
      </c>
      <c r="J763" s="6" t="s">
        <v>1707</v>
      </c>
      <c r="K763" s="6" t="s">
        <v>3199</v>
      </c>
      <c r="L763" s="6" t="s">
        <v>3200</v>
      </c>
      <c r="M763" s="6" t="s">
        <v>1276</v>
      </c>
      <c r="O763" t="e">
        <f>VLOOKUP(C763,#REF!,12,FALSE)</f>
        <v>#REF!</v>
      </c>
    </row>
    <row r="764" spans="1:15">
      <c r="A764" s="17">
        <v>763</v>
      </c>
      <c r="B764" s="6" t="s">
        <v>1744</v>
      </c>
      <c r="C764" s="7">
        <v>2022404832</v>
      </c>
      <c r="D764" s="7">
        <v>2201010494</v>
      </c>
      <c r="E764" s="7" t="s">
        <v>1813</v>
      </c>
      <c r="F764" s="17" t="e">
        <f>VLOOKUP('2501_MIS '!C764,'[1]Fast Track '!B:K,10,FALSE)</f>
        <v>#N/A</v>
      </c>
      <c r="G764" s="17" t="str">
        <f>VLOOKUP(C764,[2]Sheet7!A:D,4,FALSE)</f>
        <v>Promoted</v>
      </c>
      <c r="H764" s="45" t="s">
        <v>3645</v>
      </c>
      <c r="I764" s="26" t="s">
        <v>3669</v>
      </c>
      <c r="J764" s="6" t="s">
        <v>1745</v>
      </c>
      <c r="K764" s="6" t="s">
        <v>3201</v>
      </c>
      <c r="L764" s="6" t="s">
        <v>3202</v>
      </c>
      <c r="M764" s="6" t="s">
        <v>1276</v>
      </c>
      <c r="O764" t="e">
        <f>VLOOKUP(C764,#REF!,12,FALSE)</f>
        <v>#REF!</v>
      </c>
    </row>
    <row r="765" spans="1:15">
      <c r="A765" s="17">
        <v>764</v>
      </c>
      <c r="B765" s="6" t="s">
        <v>1734</v>
      </c>
      <c r="C765" s="7">
        <v>2022312671</v>
      </c>
      <c r="D765" s="7">
        <v>2201010549</v>
      </c>
      <c r="E765" s="7" t="s">
        <v>1813</v>
      </c>
      <c r="F765" s="17" t="e">
        <f>VLOOKUP('2501_MIS '!C765,'[1]Fast Track '!B:K,10,FALSE)</f>
        <v>#N/A</v>
      </c>
      <c r="G765" s="17" t="str">
        <f>VLOOKUP(C765,[2]Sheet7!A:D,4,FALSE)</f>
        <v>Promoted</v>
      </c>
      <c r="H765" s="45" t="s">
        <v>3645</v>
      </c>
      <c r="I765" s="26" t="s">
        <v>3669</v>
      </c>
      <c r="J765" s="6" t="s">
        <v>1735</v>
      </c>
      <c r="K765" s="6" t="s">
        <v>3203</v>
      </c>
      <c r="L765" s="6" t="s">
        <v>3204</v>
      </c>
      <c r="M765" s="6" t="s">
        <v>1276</v>
      </c>
      <c r="O765" t="e">
        <f>VLOOKUP(C765,#REF!,12,FALSE)</f>
        <v>#REF!</v>
      </c>
    </row>
    <row r="766" spans="1:15">
      <c r="A766" s="17">
        <v>765</v>
      </c>
      <c r="B766" s="6" t="s">
        <v>1689</v>
      </c>
      <c r="C766" s="7">
        <v>2022003992</v>
      </c>
      <c r="D766" s="7">
        <v>2201010712</v>
      </c>
      <c r="E766" s="7" t="s">
        <v>1813</v>
      </c>
      <c r="F766" s="17" t="e">
        <f>VLOOKUP('2501_MIS '!C766,'[1]Fast Track '!B:K,10,FALSE)</f>
        <v>#N/A</v>
      </c>
      <c r="G766" s="17" t="str">
        <f>VLOOKUP(C766,[2]Sheet7!A:D,4,FALSE)</f>
        <v>Promoted</v>
      </c>
      <c r="H766" s="45" t="s">
        <v>3645</v>
      </c>
      <c r="I766" s="26" t="s">
        <v>3669</v>
      </c>
      <c r="J766" s="6" t="s">
        <v>1690</v>
      </c>
      <c r="K766" s="6" t="s">
        <v>3205</v>
      </c>
      <c r="L766" s="6" t="s">
        <v>3206</v>
      </c>
      <c r="M766" s="6" t="s">
        <v>1276</v>
      </c>
      <c r="O766" t="e">
        <f>VLOOKUP(C766,#REF!,12,FALSE)</f>
        <v>#REF!</v>
      </c>
    </row>
    <row r="767" spans="1:15">
      <c r="A767" s="17">
        <v>766</v>
      </c>
      <c r="B767" s="6" t="s">
        <v>1749</v>
      </c>
      <c r="C767" s="7">
        <v>2022432344</v>
      </c>
      <c r="D767" s="7">
        <v>2201010946</v>
      </c>
      <c r="E767" s="7" t="s">
        <v>1813</v>
      </c>
      <c r="F767" s="17" t="e">
        <f>VLOOKUP('2501_MIS '!C767,'[1]Fast Track '!B:K,10,FALSE)</f>
        <v>#N/A</v>
      </c>
      <c r="G767" s="17" t="str">
        <f>VLOOKUP(C767,[2]Sheet7!A:D,4,FALSE)</f>
        <v>Promoted</v>
      </c>
      <c r="H767" s="45" t="s">
        <v>3645</v>
      </c>
      <c r="I767" s="26" t="s">
        <v>3669</v>
      </c>
      <c r="J767" s="6" t="s">
        <v>1750</v>
      </c>
      <c r="K767" s="6" t="s">
        <v>3207</v>
      </c>
      <c r="L767" s="6" t="s">
        <v>3208</v>
      </c>
      <c r="M767" s="6" t="s">
        <v>1276</v>
      </c>
      <c r="O767" t="e">
        <f>VLOOKUP(C767,#REF!,12,FALSE)</f>
        <v>#REF!</v>
      </c>
    </row>
    <row r="768" spans="1:15">
      <c r="A768" s="17">
        <v>767</v>
      </c>
      <c r="B768" s="6" t="s">
        <v>1466</v>
      </c>
      <c r="C768" s="7">
        <v>2022460800</v>
      </c>
      <c r="D768" s="7">
        <v>2201010164</v>
      </c>
      <c r="E768" s="7" t="s">
        <v>1813</v>
      </c>
      <c r="F768" s="17" t="e">
        <f>VLOOKUP('2501_MIS '!C768,'[1]Fast Track '!B:K,10,FALSE)</f>
        <v>#N/A</v>
      </c>
      <c r="G768" s="17" t="str">
        <f>VLOOKUP(C768,[2]Sheet7!A:D,4,FALSE)</f>
        <v>Promoted</v>
      </c>
      <c r="H768" s="45" t="s">
        <v>3645</v>
      </c>
      <c r="I768" s="26" t="s">
        <v>3669</v>
      </c>
      <c r="J768" s="6" t="s">
        <v>1467</v>
      </c>
      <c r="K768" s="6" t="s">
        <v>3321</v>
      </c>
      <c r="L768" s="6" t="s">
        <v>3322</v>
      </c>
      <c r="M768" s="6" t="s">
        <v>1276</v>
      </c>
      <c r="O768" t="e">
        <f>VLOOKUP(C768,#REF!,12,FALSE)</f>
        <v>#REF!</v>
      </c>
    </row>
    <row r="769" spans="1:15">
      <c r="A769" s="17">
        <v>768</v>
      </c>
      <c r="B769" s="6" t="s">
        <v>1447</v>
      </c>
      <c r="C769" s="7">
        <v>2022320806</v>
      </c>
      <c r="D769" s="7">
        <v>2201010303</v>
      </c>
      <c r="E769" s="7" t="s">
        <v>1813</v>
      </c>
      <c r="F769" s="17" t="e">
        <f>VLOOKUP('2501_MIS '!C769,'[1]Fast Track '!B:K,10,FALSE)</f>
        <v>#N/A</v>
      </c>
      <c r="G769" s="17" t="str">
        <f>VLOOKUP(C769,[2]Sheet7!A:D,4,FALSE)</f>
        <v>Promoted</v>
      </c>
      <c r="H769" s="45" t="s">
        <v>3645</v>
      </c>
      <c r="I769" s="26" t="s">
        <v>3669</v>
      </c>
      <c r="J769" s="6" t="s">
        <v>1448</v>
      </c>
      <c r="K769" s="6" t="s">
        <v>3323</v>
      </c>
      <c r="L769" s="6" t="s">
        <v>3324</v>
      </c>
      <c r="M769" s="6" t="s">
        <v>1276</v>
      </c>
      <c r="O769" t="e">
        <f>VLOOKUP(C769,#REF!,12,FALSE)</f>
        <v>#REF!</v>
      </c>
    </row>
    <row r="770" spans="1:15">
      <c r="A770" s="17">
        <v>769</v>
      </c>
      <c r="B770" s="6" t="s">
        <v>1462</v>
      </c>
      <c r="C770" s="7">
        <v>2022405621</v>
      </c>
      <c r="D770" s="7">
        <v>2201010396</v>
      </c>
      <c r="E770" s="7" t="s">
        <v>1813</v>
      </c>
      <c r="F770" s="17" t="e">
        <f>VLOOKUP('2501_MIS '!C770,'[1]Fast Track '!B:K,10,FALSE)</f>
        <v>#N/A</v>
      </c>
      <c r="G770" s="17" t="str">
        <f>VLOOKUP(C770,[2]Sheet7!A:D,4,FALSE)</f>
        <v>Promoted</v>
      </c>
      <c r="H770" s="45" t="s">
        <v>3645</v>
      </c>
      <c r="I770" s="26" t="s">
        <v>3669</v>
      </c>
      <c r="J770" s="6" t="s">
        <v>1463</v>
      </c>
      <c r="K770" s="6" t="s">
        <v>3325</v>
      </c>
      <c r="L770" s="6" t="s">
        <v>3326</v>
      </c>
      <c r="M770" s="6" t="s">
        <v>1276</v>
      </c>
      <c r="O770" t="e">
        <f>VLOOKUP(C770,#REF!,12,FALSE)</f>
        <v>#REF!</v>
      </c>
    </row>
    <row r="771" spans="1:15">
      <c r="A771" s="17">
        <v>770</v>
      </c>
      <c r="B771" s="6" t="s">
        <v>1458</v>
      </c>
      <c r="C771" s="7">
        <v>2022396862</v>
      </c>
      <c r="D771" s="7">
        <v>2201010626</v>
      </c>
      <c r="E771" s="7" t="s">
        <v>1813</v>
      </c>
      <c r="F771" s="17" t="e">
        <f>VLOOKUP('2501_MIS '!C771,'[1]Fast Track '!B:K,10,FALSE)</f>
        <v>#N/A</v>
      </c>
      <c r="G771" s="17" t="str">
        <f>VLOOKUP(C771,[2]Sheet7!A:D,4,FALSE)</f>
        <v>Promoted</v>
      </c>
      <c r="H771" s="45" t="s">
        <v>3645</v>
      </c>
      <c r="I771" s="26" t="s">
        <v>3669</v>
      </c>
      <c r="J771" s="6" t="s">
        <v>1459</v>
      </c>
      <c r="K771" s="6" t="s">
        <v>3327</v>
      </c>
      <c r="L771" s="6" t="s">
        <v>3328</v>
      </c>
      <c r="M771" s="6" t="s">
        <v>1276</v>
      </c>
      <c r="O771" t="e">
        <f>VLOOKUP(C771,#REF!,12,FALSE)</f>
        <v>#REF!</v>
      </c>
    </row>
    <row r="772" spans="1:15">
      <c r="A772" s="17">
        <v>771</v>
      </c>
      <c r="B772" s="6" t="s">
        <v>1470</v>
      </c>
      <c r="C772" s="7">
        <v>2022487134</v>
      </c>
      <c r="D772" s="7">
        <v>2201010638</v>
      </c>
      <c r="E772" s="7" t="s">
        <v>1813</v>
      </c>
      <c r="F772" s="17" t="e">
        <f>VLOOKUP('2501_MIS '!C772,'[1]Fast Track '!B:K,10,FALSE)</f>
        <v>#N/A</v>
      </c>
      <c r="G772" s="17" t="str">
        <f>VLOOKUP(C772,[2]Sheet7!A:D,4,FALSE)</f>
        <v>Promoted</v>
      </c>
      <c r="H772" s="45" t="s">
        <v>3645</v>
      </c>
      <c r="I772" s="26" t="s">
        <v>3669</v>
      </c>
      <c r="J772" s="6" t="s">
        <v>1471</v>
      </c>
      <c r="K772" s="6" t="s">
        <v>3329</v>
      </c>
      <c r="L772" s="6" t="s">
        <v>3330</v>
      </c>
      <c r="M772" s="6" t="s">
        <v>1276</v>
      </c>
      <c r="O772" t="e">
        <f>VLOOKUP(C772,#REF!,12,FALSE)</f>
        <v>#REF!</v>
      </c>
    </row>
    <row r="773" spans="1:15">
      <c r="A773" s="17">
        <v>772</v>
      </c>
      <c r="B773" s="6" t="s">
        <v>1476</v>
      </c>
      <c r="C773" s="7">
        <v>2022542651</v>
      </c>
      <c r="D773" s="7">
        <v>2201010947</v>
      </c>
      <c r="E773" s="7" t="s">
        <v>1813</v>
      </c>
      <c r="F773" s="17" t="e">
        <f>VLOOKUP('2501_MIS '!C773,'[1]Fast Track '!B:K,10,FALSE)</f>
        <v>#N/A</v>
      </c>
      <c r="G773" s="17" t="str">
        <f>VLOOKUP(C773,[2]Sheet7!A:D,4,FALSE)</f>
        <v>Promoted</v>
      </c>
      <c r="H773" s="45" t="s">
        <v>3645</v>
      </c>
      <c r="I773" s="26" t="s">
        <v>3669</v>
      </c>
      <c r="J773" s="6" t="s">
        <v>1477</v>
      </c>
      <c r="K773" s="6" t="s">
        <v>3331</v>
      </c>
      <c r="L773" s="6" t="s">
        <v>3332</v>
      </c>
      <c r="M773" s="6" t="s">
        <v>1276</v>
      </c>
      <c r="O773" t="e">
        <f>VLOOKUP(C773,#REF!,12,FALSE)</f>
        <v>#REF!</v>
      </c>
    </row>
    <row r="774" spans="1:15">
      <c r="A774" s="17">
        <v>773</v>
      </c>
      <c r="B774" s="6" t="s">
        <v>1490</v>
      </c>
      <c r="C774" s="7">
        <v>2022603988</v>
      </c>
      <c r="D774" s="7">
        <v>2201010953</v>
      </c>
      <c r="E774" s="7" t="s">
        <v>1813</v>
      </c>
      <c r="F774" s="17" t="e">
        <f>VLOOKUP('2501_MIS '!C774,'[1]Fast Track '!B:K,10,FALSE)</f>
        <v>#N/A</v>
      </c>
      <c r="G774" s="17" t="str">
        <f>VLOOKUP(C774,[2]Sheet7!A:D,4,FALSE)</f>
        <v>Promoted</v>
      </c>
      <c r="H774" s="45" t="s">
        <v>3645</v>
      </c>
      <c r="I774" s="26" t="s">
        <v>3669</v>
      </c>
      <c r="J774" s="6" t="s">
        <v>1491</v>
      </c>
      <c r="K774" s="6" t="s">
        <v>3333</v>
      </c>
      <c r="L774" s="6" t="s">
        <v>3334</v>
      </c>
      <c r="M774" s="6" t="s">
        <v>1276</v>
      </c>
      <c r="O774" t="e">
        <f>VLOOKUP(C774,#REF!,12,FALSE)</f>
        <v>#REF!</v>
      </c>
    </row>
    <row r="775" spans="1:15">
      <c r="A775" s="17">
        <v>774</v>
      </c>
      <c r="B775" s="6" t="s">
        <v>1439</v>
      </c>
      <c r="C775" s="7">
        <v>2022008213</v>
      </c>
      <c r="D775" s="7">
        <v>2201010981</v>
      </c>
      <c r="E775" s="7" t="s">
        <v>1813</v>
      </c>
      <c r="F775" s="17" t="e">
        <f>VLOOKUP('2501_MIS '!C775,'[1]Fast Track '!B:K,10,FALSE)</f>
        <v>#N/A</v>
      </c>
      <c r="G775" s="17" t="str">
        <f>VLOOKUP(C775,[2]Sheet7!A:D,4,FALSE)</f>
        <v>Promoted</v>
      </c>
      <c r="H775" s="45" t="s">
        <v>3645</v>
      </c>
      <c r="I775" s="26" t="s">
        <v>3669</v>
      </c>
      <c r="J775" s="6" t="s">
        <v>1440</v>
      </c>
      <c r="K775" s="6" t="s">
        <v>3335</v>
      </c>
      <c r="L775" s="6" t="s">
        <v>3336</v>
      </c>
      <c r="M775" s="6" t="s">
        <v>1276</v>
      </c>
      <c r="O775" t="e">
        <f>VLOOKUP(C775,#REF!,12,FALSE)</f>
        <v>#REF!</v>
      </c>
    </row>
    <row r="776" spans="1:15">
      <c r="A776" s="17">
        <v>775</v>
      </c>
      <c r="B776" s="6" t="s">
        <v>705</v>
      </c>
      <c r="C776" s="7">
        <v>2022387999</v>
      </c>
      <c r="D776" s="7">
        <v>2201010046</v>
      </c>
      <c r="E776" s="7" t="s">
        <v>1813</v>
      </c>
      <c r="F776" s="17" t="e">
        <f>VLOOKUP('2501_MIS '!C776,'[1]Fast Track '!B:K,10,FALSE)</f>
        <v>#N/A</v>
      </c>
      <c r="G776" s="17" t="str">
        <f>VLOOKUP(C776,[2]Sheet7!A:D,4,FALSE)</f>
        <v>Promoted</v>
      </c>
      <c r="H776" s="45" t="s">
        <v>3645</v>
      </c>
      <c r="I776" s="26" t="s">
        <v>3669</v>
      </c>
      <c r="J776" s="6" t="s">
        <v>1549</v>
      </c>
      <c r="K776" s="6" t="s">
        <v>3421</v>
      </c>
      <c r="L776" s="6" t="s">
        <v>3422</v>
      </c>
      <c r="M776" s="6" t="s">
        <v>1276</v>
      </c>
      <c r="O776" t="e">
        <f>VLOOKUP(C776,#REF!,12,FALSE)</f>
        <v>#REF!</v>
      </c>
    </row>
    <row r="777" spans="1:15">
      <c r="A777" s="17">
        <v>776</v>
      </c>
      <c r="B777" s="6" t="s">
        <v>1578</v>
      </c>
      <c r="C777" s="7">
        <v>2022522914</v>
      </c>
      <c r="D777" s="7">
        <v>2201010776</v>
      </c>
      <c r="E777" s="7" t="s">
        <v>1813</v>
      </c>
      <c r="F777" s="17" t="e">
        <f>VLOOKUP('2501_MIS '!C777,'[1]Fast Track '!B:K,10,FALSE)</f>
        <v>#N/A</v>
      </c>
      <c r="G777" s="17" t="str">
        <f>VLOOKUP(C777,[2]Sheet7!A:D,4,FALSE)</f>
        <v>Promoted</v>
      </c>
      <c r="H777" s="45" t="s">
        <v>3645</v>
      </c>
      <c r="I777" s="26" t="s">
        <v>3669</v>
      </c>
      <c r="J777" s="6" t="s">
        <v>1579</v>
      </c>
      <c r="K777" s="6" t="s">
        <v>3423</v>
      </c>
      <c r="L777" s="6" t="s">
        <v>3424</v>
      </c>
      <c r="M777" s="6" t="s">
        <v>1276</v>
      </c>
      <c r="O777" t="e">
        <f>VLOOKUP(C777,#REF!,12,FALSE)</f>
        <v>#REF!</v>
      </c>
    </row>
    <row r="778" spans="1:15">
      <c r="A778" s="17">
        <v>777</v>
      </c>
      <c r="B778" s="6" t="s">
        <v>1590</v>
      </c>
      <c r="C778" s="7">
        <v>2022505539</v>
      </c>
      <c r="D778" s="7">
        <v>2201010124</v>
      </c>
      <c r="E778" s="7" t="s">
        <v>1813</v>
      </c>
      <c r="F778" s="17" t="e">
        <f>VLOOKUP('2501_MIS '!C778,'[1]Fast Track '!B:K,10,FALSE)</f>
        <v>#N/A</v>
      </c>
      <c r="G778" s="17" t="str">
        <f>VLOOKUP(C778,[2]Sheet7!A:D,4,FALSE)</f>
        <v>Promoted</v>
      </c>
      <c r="H778" s="45" t="s">
        <v>3645</v>
      </c>
      <c r="I778" s="26" t="s">
        <v>3669</v>
      </c>
      <c r="J778" s="6" t="s">
        <v>1591</v>
      </c>
      <c r="K778" s="6" t="s">
        <v>3501</v>
      </c>
      <c r="L778" s="6" t="s">
        <v>3502</v>
      </c>
      <c r="M778" s="6" t="s">
        <v>1276</v>
      </c>
      <c r="O778" t="e">
        <f>VLOOKUP(C778,#REF!,12,FALSE)</f>
        <v>#REF!</v>
      </c>
    </row>
    <row r="779" spans="1:15">
      <c r="A779" s="17">
        <v>778</v>
      </c>
      <c r="B779" s="6" t="s">
        <v>1793</v>
      </c>
      <c r="C779" s="7">
        <v>2022826376</v>
      </c>
      <c r="D779" s="7">
        <v>2201010064</v>
      </c>
      <c r="E779" s="7" t="s">
        <v>1813</v>
      </c>
      <c r="F779" s="17" t="e">
        <f>VLOOKUP('2501_MIS '!C779,'[1]Fast Track '!B:K,10,FALSE)</f>
        <v>#N/A</v>
      </c>
      <c r="G779" s="17" t="str">
        <f>VLOOKUP(C779,[2]Sheet7!A:D,4,FALSE)</f>
        <v>Not Promoted</v>
      </c>
      <c r="H779" s="45" t="s">
        <v>3644</v>
      </c>
      <c r="I779" s="26" t="s">
        <v>3670</v>
      </c>
      <c r="J779" s="6" t="s">
        <v>1794</v>
      </c>
      <c r="K779" s="6" t="s">
        <v>3209</v>
      </c>
      <c r="L779" s="6" t="s">
        <v>3210</v>
      </c>
      <c r="M779" s="6" t="s">
        <v>1396</v>
      </c>
      <c r="O779" t="e">
        <f>VLOOKUP(C779,#REF!,12,FALSE)</f>
        <v>#REF!</v>
      </c>
    </row>
    <row r="780" spans="1:15">
      <c r="A780" s="17">
        <v>779</v>
      </c>
      <c r="B780" s="6" t="s">
        <v>1718</v>
      </c>
      <c r="C780" s="7">
        <v>2022007474</v>
      </c>
      <c r="D780" s="7">
        <v>2201010960</v>
      </c>
      <c r="E780" s="7" t="s">
        <v>1813</v>
      </c>
      <c r="F780" s="17" t="e">
        <f>VLOOKUP('2501_MIS '!C780,'[1]Fast Track '!B:K,10,FALSE)</f>
        <v>#N/A</v>
      </c>
      <c r="G780" s="17" t="str">
        <f>VLOOKUP(C780,[2]Sheet7!A:D,4,FALSE)</f>
        <v>Promoted</v>
      </c>
      <c r="H780" s="45" t="s">
        <v>3644</v>
      </c>
      <c r="I780" s="26" t="s">
        <v>3670</v>
      </c>
      <c r="J780" s="6" t="s">
        <v>1719</v>
      </c>
      <c r="K780" s="6" t="s">
        <v>3211</v>
      </c>
      <c r="L780" s="6" t="s">
        <v>3212</v>
      </c>
      <c r="M780" s="6" t="s">
        <v>1396</v>
      </c>
      <c r="O780" t="e">
        <f>VLOOKUP(C780,#REF!,12,FALSE)</f>
        <v>#REF!</v>
      </c>
    </row>
    <row r="781" spans="1:15" s="52" customFormat="1">
      <c r="A781" s="47">
        <v>780</v>
      </c>
      <c r="B781" s="48" t="s">
        <v>1722</v>
      </c>
      <c r="C781" s="49">
        <v>2022008078</v>
      </c>
      <c r="D781" s="49">
        <v>2201010967</v>
      </c>
      <c r="E781" s="49" t="s">
        <v>1813</v>
      </c>
      <c r="F781" s="47" t="e">
        <f>VLOOKUP('2501_MIS '!C781,'[1]Fast Track '!B:K,10,FALSE)</f>
        <v>#N/A</v>
      </c>
      <c r="G781" s="47" t="str">
        <f>VLOOKUP(C781,[2]Sheet7!A:D,4,FALSE)</f>
        <v>Promoted</v>
      </c>
      <c r="H781" s="50" t="s">
        <v>3644</v>
      </c>
      <c r="I781" s="51" t="s">
        <v>3670</v>
      </c>
      <c r="J781" s="48" t="s">
        <v>1723</v>
      </c>
      <c r="K781" s="48" t="s">
        <v>3213</v>
      </c>
      <c r="L781" s="48" t="s">
        <v>3214</v>
      </c>
      <c r="M781" s="48" t="s">
        <v>1396</v>
      </c>
      <c r="N781" s="52" t="s">
        <v>3685</v>
      </c>
      <c r="O781" t="e">
        <f>VLOOKUP(C781,#REF!,12,FALSE)</f>
        <v>#REF!</v>
      </c>
    </row>
    <row r="782" spans="1:15">
      <c r="A782" s="17">
        <v>781</v>
      </c>
      <c r="B782" s="6" t="s">
        <v>1724</v>
      </c>
      <c r="C782" s="7">
        <v>2022008085</v>
      </c>
      <c r="D782" s="7">
        <v>2201010968</v>
      </c>
      <c r="E782" s="7" t="s">
        <v>1813</v>
      </c>
      <c r="F782" s="17" t="e">
        <f>VLOOKUP('2501_MIS '!C782,'[1]Fast Track '!B:K,10,FALSE)</f>
        <v>#N/A</v>
      </c>
      <c r="G782" s="17" t="str">
        <f>VLOOKUP(C782,[2]Sheet7!A:D,4,FALSE)</f>
        <v>Promoted</v>
      </c>
      <c r="H782" s="45" t="s">
        <v>3644</v>
      </c>
      <c r="I782" s="26" t="s">
        <v>3670</v>
      </c>
      <c r="J782" s="6" t="s">
        <v>1725</v>
      </c>
      <c r="K782" s="6" t="s">
        <v>3215</v>
      </c>
      <c r="L782" s="6" t="s">
        <v>3216</v>
      </c>
      <c r="M782" s="6" t="s">
        <v>1396</v>
      </c>
      <c r="O782" t="e">
        <f>VLOOKUP(C782,#REF!,12,FALSE)</f>
        <v>#REF!</v>
      </c>
    </row>
    <row r="783" spans="1:15">
      <c r="A783" s="17">
        <v>782</v>
      </c>
      <c r="B783" s="6" t="s">
        <v>1726</v>
      </c>
      <c r="C783" s="7">
        <v>2022008217</v>
      </c>
      <c r="D783" s="7">
        <v>2201010971</v>
      </c>
      <c r="E783" s="7" t="s">
        <v>1813</v>
      </c>
      <c r="F783" s="17" t="e">
        <f>VLOOKUP('2501_MIS '!C783,'[1]Fast Track '!B:K,10,FALSE)</f>
        <v>#N/A</v>
      </c>
      <c r="G783" s="17" t="str">
        <f>VLOOKUP(C783,[2]Sheet7!A:D,4,FALSE)</f>
        <v>Promoted</v>
      </c>
      <c r="H783" s="45" t="s">
        <v>3644</v>
      </c>
      <c r="I783" s="26" t="s">
        <v>3670</v>
      </c>
      <c r="J783" s="6" t="s">
        <v>1727</v>
      </c>
      <c r="K783" s="6" t="s">
        <v>3217</v>
      </c>
      <c r="L783" s="6" t="s">
        <v>3218</v>
      </c>
      <c r="M783" s="6" t="s">
        <v>1396</v>
      </c>
      <c r="O783" t="e">
        <f>VLOOKUP(C783,#REF!,12,FALSE)</f>
        <v>#REF!</v>
      </c>
    </row>
    <row r="784" spans="1:15">
      <c r="A784" s="17">
        <v>783</v>
      </c>
      <c r="B784" s="6" t="s">
        <v>1728</v>
      </c>
      <c r="C784" s="7">
        <v>2022008317</v>
      </c>
      <c r="D784" s="7">
        <v>2201010974</v>
      </c>
      <c r="E784" s="7" t="s">
        <v>1813</v>
      </c>
      <c r="F784" s="17" t="e">
        <f>VLOOKUP('2501_MIS '!C784,'[1]Fast Track '!B:K,10,FALSE)</f>
        <v>#N/A</v>
      </c>
      <c r="G784" s="17" t="str">
        <f>VLOOKUP(C784,[2]Sheet7!A:D,4,FALSE)</f>
        <v>Promoted</v>
      </c>
      <c r="H784" s="45" t="s">
        <v>3644</v>
      </c>
      <c r="I784" s="26" t="s">
        <v>3670</v>
      </c>
      <c r="J784" s="6" t="s">
        <v>1729</v>
      </c>
      <c r="K784" s="6" t="s">
        <v>3219</v>
      </c>
      <c r="L784" s="6" t="s">
        <v>3220</v>
      </c>
      <c r="M784" s="6" t="s">
        <v>1396</v>
      </c>
      <c r="O784" t="e">
        <f>VLOOKUP(C784,#REF!,12,FALSE)</f>
        <v>#REF!</v>
      </c>
    </row>
    <row r="785" spans="1:15">
      <c r="A785" s="17">
        <v>784</v>
      </c>
      <c r="B785" s="6" t="s">
        <v>1730</v>
      </c>
      <c r="C785" s="7">
        <v>2022008331</v>
      </c>
      <c r="D785" s="7">
        <v>2201010975</v>
      </c>
      <c r="E785" s="7" t="s">
        <v>1813</v>
      </c>
      <c r="F785" s="17" t="e">
        <f>VLOOKUP('2501_MIS '!C785,'[1]Fast Track '!B:K,10,FALSE)</f>
        <v>#N/A</v>
      </c>
      <c r="G785" s="17" t="str">
        <f>VLOOKUP(C785,[2]Sheet7!A:D,4,FALSE)</f>
        <v>Promoted</v>
      </c>
      <c r="H785" s="45" t="s">
        <v>3644</v>
      </c>
      <c r="I785" s="26" t="s">
        <v>3670</v>
      </c>
      <c r="J785" s="6" t="s">
        <v>1731</v>
      </c>
      <c r="K785" s="6" t="s">
        <v>3221</v>
      </c>
      <c r="L785" s="6" t="s">
        <v>3222</v>
      </c>
      <c r="M785" s="6" t="s">
        <v>1396</v>
      </c>
      <c r="O785" t="e">
        <f>VLOOKUP(C785,#REF!,12,FALSE)</f>
        <v>#REF!</v>
      </c>
    </row>
    <row r="786" spans="1:15">
      <c r="A786" s="17">
        <v>785</v>
      </c>
      <c r="B786" s="6" t="s">
        <v>1789</v>
      </c>
      <c r="C786" s="7">
        <v>2022622988</v>
      </c>
      <c r="D786" s="7">
        <v>2201010977</v>
      </c>
      <c r="E786" s="7" t="s">
        <v>1813</v>
      </c>
      <c r="F786" s="17" t="e">
        <f>VLOOKUP('2501_MIS '!C786,'[1]Fast Track '!B:K,10,FALSE)</f>
        <v>#N/A</v>
      </c>
      <c r="G786" s="17" t="str">
        <f>VLOOKUP(C786,[2]Sheet7!A:D,4,FALSE)</f>
        <v>Promoted</v>
      </c>
      <c r="H786" s="45" t="s">
        <v>3644</v>
      </c>
      <c r="I786" s="26" t="s">
        <v>3670</v>
      </c>
      <c r="J786" s="6" t="s">
        <v>1790</v>
      </c>
      <c r="K786" s="6" t="s">
        <v>3223</v>
      </c>
      <c r="L786" s="6" t="s">
        <v>3224</v>
      </c>
      <c r="M786" s="6" t="s">
        <v>1396</v>
      </c>
      <c r="O786" t="e">
        <f>VLOOKUP(C786,#REF!,12,FALSE)</f>
        <v>#REF!</v>
      </c>
    </row>
    <row r="787" spans="1:15">
      <c r="A787" s="17">
        <v>786</v>
      </c>
      <c r="B787" s="6" t="s">
        <v>1417</v>
      </c>
      <c r="C787" s="7">
        <v>2022006289</v>
      </c>
      <c r="D787" s="7">
        <v>2201010959</v>
      </c>
      <c r="E787" s="7" t="s">
        <v>1813</v>
      </c>
      <c r="F787" s="17" t="str">
        <f>VLOOKUP('2501_MIS '!C787,'[1]Fast Track '!B:K,10,FALSE)</f>
        <v>Fast learning Mode</v>
      </c>
      <c r="G787" s="17" t="str">
        <f>VLOOKUP(C787,[2]Sheet7!A:D,4,FALSE)</f>
        <v>Promoted</v>
      </c>
      <c r="H787" s="45" t="s">
        <v>3644</v>
      </c>
      <c r="I787" s="26" t="s">
        <v>3670</v>
      </c>
      <c r="J787" s="6" t="s">
        <v>1418</v>
      </c>
      <c r="K787" s="6" t="s">
        <v>3337</v>
      </c>
      <c r="L787" s="6" t="s">
        <v>3338</v>
      </c>
      <c r="M787" s="6" t="s">
        <v>1396</v>
      </c>
      <c r="O787" t="e">
        <f>VLOOKUP(C787,#REF!,12,FALSE)</f>
        <v>#REF!</v>
      </c>
    </row>
    <row r="788" spans="1:15">
      <c r="A788" s="17">
        <v>787</v>
      </c>
      <c r="B788" s="6" t="s">
        <v>1437</v>
      </c>
      <c r="C788" s="7">
        <v>2022008160</v>
      </c>
      <c r="D788" s="7">
        <v>2201010970</v>
      </c>
      <c r="E788" s="7" t="s">
        <v>1813</v>
      </c>
      <c r="F788" s="17" t="e">
        <f>VLOOKUP('2501_MIS '!C788,'[1]Fast Track '!B:K,10,FALSE)</f>
        <v>#N/A</v>
      </c>
      <c r="G788" s="17" t="str">
        <f>VLOOKUP(C788,[2]Sheet7!A:D,4,FALSE)</f>
        <v>Not Promoted</v>
      </c>
      <c r="H788" s="45" t="s">
        <v>3644</v>
      </c>
      <c r="I788" s="26" t="s">
        <v>3670</v>
      </c>
      <c r="J788" s="6" t="s">
        <v>1438</v>
      </c>
      <c r="K788" s="6" t="s">
        <v>3339</v>
      </c>
      <c r="L788" s="6" t="s">
        <v>3340</v>
      </c>
      <c r="M788" s="6" t="s">
        <v>1396</v>
      </c>
      <c r="O788" t="e">
        <f>VLOOKUP(C788,#REF!,12,FALSE)</f>
        <v>#REF!</v>
      </c>
    </row>
    <row r="789" spans="1:15">
      <c r="A789" s="17">
        <v>788</v>
      </c>
      <c r="B789" s="6" t="s">
        <v>1423</v>
      </c>
      <c r="C789" s="7">
        <v>2022006860</v>
      </c>
      <c r="D789" s="7">
        <v>2201010154</v>
      </c>
      <c r="E789" s="7" t="s">
        <v>1813</v>
      </c>
      <c r="F789" s="17" t="e">
        <f>VLOOKUP('2501_MIS '!C789,'[1]Fast Track '!B:K,10,FALSE)</f>
        <v>#N/A</v>
      </c>
      <c r="G789" s="17" t="str">
        <f>VLOOKUP(C789,[2]Sheet7!A:D,4,FALSE)</f>
        <v>Promoted</v>
      </c>
      <c r="H789" s="45" t="s">
        <v>3644</v>
      </c>
      <c r="I789" s="26" t="s">
        <v>3670</v>
      </c>
      <c r="J789" s="6" t="s">
        <v>1424</v>
      </c>
      <c r="K789" s="6" t="s">
        <v>3425</v>
      </c>
      <c r="L789" s="6" t="s">
        <v>3426</v>
      </c>
      <c r="M789" s="6" t="s">
        <v>1396</v>
      </c>
      <c r="O789" t="e">
        <f>VLOOKUP(C789,#REF!,12,FALSE)</f>
        <v>#REF!</v>
      </c>
    </row>
    <row r="790" spans="1:15">
      <c r="A790" s="17">
        <v>789</v>
      </c>
      <c r="B790" s="6" t="s">
        <v>1140</v>
      </c>
      <c r="C790" s="7">
        <v>2022489738</v>
      </c>
      <c r="D790" s="7">
        <v>2201010276</v>
      </c>
      <c r="E790" s="7" t="s">
        <v>1813</v>
      </c>
      <c r="F790" s="17" t="e">
        <f>VLOOKUP('2501_MIS '!C790,'[1]Fast Track '!B:K,10,FALSE)</f>
        <v>#N/A</v>
      </c>
      <c r="G790" s="17" t="str">
        <f>VLOOKUP(C790,[2]Sheet7!A:D,4,FALSE)</f>
        <v>Promoted</v>
      </c>
      <c r="H790" s="45" t="s">
        <v>3644</v>
      </c>
      <c r="I790" s="26" t="s">
        <v>3670</v>
      </c>
      <c r="J790" s="6" t="s">
        <v>1472</v>
      </c>
      <c r="K790" s="6" t="s">
        <v>3427</v>
      </c>
      <c r="L790" s="6" t="s">
        <v>3428</v>
      </c>
      <c r="M790" s="6" t="s">
        <v>1396</v>
      </c>
      <c r="O790" t="e">
        <f>VLOOKUP(C790,#REF!,12,FALSE)</f>
        <v>#REF!</v>
      </c>
    </row>
    <row r="791" spans="1:15">
      <c r="A791" s="17">
        <v>790</v>
      </c>
      <c r="B791" s="6" t="s">
        <v>1394</v>
      </c>
      <c r="C791" s="7">
        <v>2022002885</v>
      </c>
      <c r="D791" s="7">
        <v>2201010957</v>
      </c>
      <c r="E791" s="7" t="s">
        <v>1813</v>
      </c>
      <c r="F791" s="17" t="e">
        <f>VLOOKUP('2501_MIS '!C791,'[1]Fast Track '!B:K,10,FALSE)</f>
        <v>#N/A</v>
      </c>
      <c r="G791" s="17" t="str">
        <f>VLOOKUP(C791,[2]Sheet7!A:D,4,FALSE)</f>
        <v>Promoted</v>
      </c>
      <c r="H791" s="45" t="s">
        <v>3644</v>
      </c>
      <c r="I791" s="26" t="s">
        <v>3670</v>
      </c>
      <c r="J791" s="6" t="s">
        <v>1395</v>
      </c>
      <c r="K791" s="6" t="s">
        <v>3429</v>
      </c>
      <c r="L791" s="6" t="s">
        <v>3430</v>
      </c>
      <c r="M791" s="6" t="s">
        <v>1396</v>
      </c>
      <c r="O791" t="e">
        <f>VLOOKUP(C791,#REF!,12,FALSE)</f>
        <v>#REF!</v>
      </c>
    </row>
    <row r="792" spans="1:15">
      <c r="A792" s="17">
        <v>791</v>
      </c>
      <c r="B792" s="6" t="s">
        <v>1404</v>
      </c>
      <c r="C792" s="7">
        <v>2022004595</v>
      </c>
      <c r="D792" s="7">
        <v>2201010958</v>
      </c>
      <c r="E792" s="7" t="s">
        <v>1813</v>
      </c>
      <c r="F792" s="17" t="e">
        <f>VLOOKUP('2501_MIS '!C792,'[1]Fast Track '!B:K,10,FALSE)</f>
        <v>#N/A</v>
      </c>
      <c r="G792" s="17" t="str">
        <f>VLOOKUP(C792,[2]Sheet7!A:D,4,FALSE)</f>
        <v>Promoted</v>
      </c>
      <c r="H792" s="45" t="s">
        <v>3644</v>
      </c>
      <c r="I792" s="26" t="s">
        <v>3670</v>
      </c>
      <c r="J792" s="6" t="s">
        <v>1405</v>
      </c>
      <c r="K792" s="6" t="s">
        <v>3431</v>
      </c>
      <c r="L792" s="6" t="s">
        <v>3432</v>
      </c>
      <c r="M792" s="6" t="s">
        <v>1396</v>
      </c>
      <c r="O792" t="e">
        <f>VLOOKUP(C792,#REF!,12,FALSE)</f>
        <v>#REF!</v>
      </c>
    </row>
    <row r="793" spans="1:15">
      <c r="A793" s="17">
        <v>792</v>
      </c>
      <c r="B793" s="6" t="s">
        <v>1431</v>
      </c>
      <c r="C793" s="7">
        <v>2022007672</v>
      </c>
      <c r="D793" s="7">
        <v>2201010962</v>
      </c>
      <c r="E793" s="7" t="s">
        <v>1813</v>
      </c>
      <c r="F793" s="17" t="e">
        <f>VLOOKUP('2501_MIS '!C793,'[1]Fast Track '!B:K,10,FALSE)</f>
        <v>#N/A</v>
      </c>
      <c r="G793" s="17" t="str">
        <f>VLOOKUP(C793,[2]Sheet7!A:D,4,FALSE)</f>
        <v>Promoted</v>
      </c>
      <c r="H793" s="45" t="s">
        <v>3644</v>
      </c>
      <c r="I793" s="26" t="s">
        <v>3670</v>
      </c>
      <c r="J793" s="6" t="s">
        <v>1432</v>
      </c>
      <c r="K793" s="6" t="s">
        <v>3433</v>
      </c>
      <c r="L793" s="6" t="s">
        <v>3434</v>
      </c>
      <c r="M793" s="6" t="s">
        <v>1396</v>
      </c>
      <c r="O793" t="e">
        <f>VLOOKUP(C793,#REF!,12,FALSE)</f>
        <v>#REF!</v>
      </c>
    </row>
    <row r="794" spans="1:15">
      <c r="A794" s="17">
        <v>793</v>
      </c>
      <c r="B794" s="6" t="s">
        <v>1533</v>
      </c>
      <c r="C794" s="7">
        <v>2022007731</v>
      </c>
      <c r="D794" s="7">
        <v>2201010963</v>
      </c>
      <c r="E794" s="7" t="s">
        <v>1813</v>
      </c>
      <c r="F794" s="17" t="e">
        <f>VLOOKUP('2501_MIS '!C794,'[1]Fast Track '!B:K,10,FALSE)</f>
        <v>#N/A</v>
      </c>
      <c r="G794" s="17" t="str">
        <f>VLOOKUP(C794,[2]Sheet7!A:D,4,FALSE)</f>
        <v>Promoted</v>
      </c>
      <c r="H794" s="45" t="s">
        <v>3644</v>
      </c>
      <c r="I794" s="26" t="s">
        <v>3670</v>
      </c>
      <c r="J794" s="6" t="s">
        <v>1534</v>
      </c>
      <c r="K794" s="6" t="s">
        <v>3435</v>
      </c>
      <c r="L794" s="6" t="s">
        <v>3436</v>
      </c>
      <c r="M794" s="6" t="s">
        <v>1396</v>
      </c>
      <c r="O794" t="e">
        <f>VLOOKUP(C794,#REF!,12,FALSE)</f>
        <v>#REF!</v>
      </c>
    </row>
    <row r="795" spans="1:15">
      <c r="A795" s="17">
        <v>794</v>
      </c>
      <c r="B795" s="6" t="s">
        <v>1433</v>
      </c>
      <c r="C795" s="7">
        <v>2022007802</v>
      </c>
      <c r="D795" s="7">
        <v>2201010964</v>
      </c>
      <c r="E795" s="7" t="s">
        <v>1813</v>
      </c>
      <c r="F795" s="17" t="e">
        <f>VLOOKUP('2501_MIS '!C795,'[1]Fast Track '!B:K,10,FALSE)</f>
        <v>#N/A</v>
      </c>
      <c r="G795" s="17" t="str">
        <f>VLOOKUP(C795,[2]Sheet7!A:D,4,FALSE)</f>
        <v>Promoted</v>
      </c>
      <c r="H795" s="45" t="s">
        <v>3644</v>
      </c>
      <c r="I795" s="26" t="s">
        <v>3670</v>
      </c>
      <c r="J795" s="6" t="s">
        <v>1434</v>
      </c>
      <c r="K795" s="6" t="s">
        <v>3437</v>
      </c>
      <c r="L795" s="6" t="s">
        <v>3438</v>
      </c>
      <c r="M795" s="6" t="s">
        <v>1396</v>
      </c>
      <c r="O795" t="e">
        <f>VLOOKUP(C795,#REF!,12,FALSE)</f>
        <v>#REF!</v>
      </c>
    </row>
    <row r="796" spans="1:15">
      <c r="A796" s="17">
        <v>795</v>
      </c>
      <c r="B796" s="6" t="s">
        <v>1535</v>
      </c>
      <c r="C796" s="7">
        <v>2022008050</v>
      </c>
      <c r="D796" s="7">
        <v>2201010966</v>
      </c>
      <c r="E796" s="7" t="s">
        <v>1813</v>
      </c>
      <c r="F796" s="17" t="e">
        <f>VLOOKUP('2501_MIS '!C796,'[1]Fast Track '!B:K,10,FALSE)</f>
        <v>#N/A</v>
      </c>
      <c r="G796" s="17" t="str">
        <f>VLOOKUP(C796,[2]Sheet7!A:D,4,FALSE)</f>
        <v>Promoted</v>
      </c>
      <c r="H796" s="45" t="s">
        <v>3644</v>
      </c>
      <c r="I796" s="26" t="s">
        <v>3670</v>
      </c>
      <c r="J796" s="6" t="s">
        <v>1536</v>
      </c>
      <c r="K796" s="6" t="s">
        <v>3439</v>
      </c>
      <c r="L796" s="6" t="s">
        <v>3440</v>
      </c>
      <c r="M796" s="6" t="s">
        <v>1396</v>
      </c>
      <c r="O796" t="e">
        <f>VLOOKUP(C796,#REF!,12,FALSE)</f>
        <v>#REF!</v>
      </c>
    </row>
    <row r="797" spans="1:15">
      <c r="A797" s="17">
        <v>796</v>
      </c>
      <c r="B797" s="6" t="s">
        <v>1435</v>
      </c>
      <c r="C797" s="7">
        <v>2022008126</v>
      </c>
      <c r="D797" s="7">
        <v>2201010969</v>
      </c>
      <c r="E797" s="7" t="s">
        <v>1813</v>
      </c>
      <c r="F797" s="17" t="e">
        <f>VLOOKUP('2501_MIS '!C797,'[1]Fast Track '!B:K,10,FALSE)</f>
        <v>#N/A</v>
      </c>
      <c r="G797" s="17" t="str">
        <f>VLOOKUP(C797,[2]Sheet7!A:D,4,FALSE)</f>
        <v>Promoted</v>
      </c>
      <c r="H797" s="45" t="s">
        <v>3644</v>
      </c>
      <c r="I797" s="26" t="s">
        <v>3670</v>
      </c>
      <c r="J797" s="6" t="s">
        <v>1436</v>
      </c>
      <c r="K797" s="6" t="s">
        <v>3441</v>
      </c>
      <c r="L797" s="6" t="s">
        <v>3442</v>
      </c>
      <c r="M797" s="6" t="s">
        <v>1396</v>
      </c>
      <c r="O797" t="e">
        <f>VLOOKUP(C797,#REF!,12,FALSE)</f>
        <v>#REF!</v>
      </c>
    </row>
    <row r="798" spans="1:15">
      <c r="A798" s="17">
        <v>797</v>
      </c>
      <c r="B798" s="6" t="s">
        <v>1537</v>
      </c>
      <c r="C798" s="7">
        <v>2022008263</v>
      </c>
      <c r="D798" s="7">
        <v>2201010973</v>
      </c>
      <c r="E798" s="7" t="s">
        <v>1813</v>
      </c>
      <c r="F798" s="17" t="e">
        <f>VLOOKUP('2501_MIS '!C798,'[1]Fast Track '!B:K,10,FALSE)</f>
        <v>#N/A</v>
      </c>
      <c r="G798" s="17" t="str">
        <f>VLOOKUP(C798,[2]Sheet7!A:D,4,FALSE)</f>
        <v>Promoted</v>
      </c>
      <c r="H798" s="45" t="s">
        <v>3644</v>
      </c>
      <c r="I798" s="26" t="s">
        <v>3670</v>
      </c>
      <c r="J798" s="6" t="s">
        <v>1538</v>
      </c>
      <c r="K798" s="6" t="s">
        <v>3443</v>
      </c>
      <c r="L798" s="6" t="s">
        <v>3444</v>
      </c>
      <c r="M798" s="6" t="s">
        <v>1396</v>
      </c>
      <c r="O798" t="e">
        <f>VLOOKUP(C798,#REF!,12,FALSE)</f>
        <v>#REF!</v>
      </c>
    </row>
    <row r="799" spans="1:15">
      <c r="A799" s="17">
        <v>798</v>
      </c>
      <c r="B799" s="6" t="s">
        <v>1492</v>
      </c>
      <c r="C799" s="7">
        <v>2022619784</v>
      </c>
      <c r="D799" s="7">
        <v>2201010976</v>
      </c>
      <c r="E799" s="7" t="s">
        <v>1813</v>
      </c>
      <c r="F799" s="17" t="e">
        <f>VLOOKUP('2501_MIS '!C799,'[1]Fast Track '!B:K,10,FALSE)</f>
        <v>#N/A</v>
      </c>
      <c r="G799" s="17" t="str">
        <f>VLOOKUP(C799,[2]Sheet7!A:D,4,FALSE)</f>
        <v>Promoted</v>
      </c>
      <c r="H799" s="45" t="s">
        <v>3644</v>
      </c>
      <c r="I799" s="26" t="s">
        <v>3670</v>
      </c>
      <c r="J799" s="6" t="s">
        <v>1493</v>
      </c>
      <c r="K799" s="6" t="s">
        <v>3445</v>
      </c>
      <c r="L799" s="6" t="s">
        <v>3446</v>
      </c>
      <c r="M799" s="6" t="s">
        <v>1396</v>
      </c>
      <c r="O799" t="e">
        <f>VLOOKUP(C799,#REF!,12,FALSE)</f>
        <v>#REF!</v>
      </c>
    </row>
    <row r="800" spans="1:15" s="57" customFormat="1">
      <c r="A800" s="53">
        <v>799</v>
      </c>
      <c r="B800" s="54" t="s">
        <v>1592</v>
      </c>
      <c r="C800" s="55">
        <v>2021455216</v>
      </c>
      <c r="D800" s="55">
        <v>210101098</v>
      </c>
      <c r="E800" s="55" t="s">
        <v>1814</v>
      </c>
      <c r="F800" s="53" t="e">
        <f>VLOOKUP('2501_MIS '!C800,'[1]Fast Track '!B:K,10,FALSE)</f>
        <v>#N/A</v>
      </c>
      <c r="G800" s="53" t="str">
        <f>VLOOKUP(C800,[2]Sheet7!A:D,4,FALSE)</f>
        <v>Not Promoted</v>
      </c>
      <c r="H800" s="56" t="s">
        <v>3645</v>
      </c>
      <c r="I800" s="56" t="s">
        <v>3671</v>
      </c>
      <c r="J800" s="54" t="s">
        <v>1593</v>
      </c>
      <c r="K800" s="54" t="s">
        <v>3519</v>
      </c>
      <c r="L800" s="54" t="s">
        <v>3520</v>
      </c>
      <c r="M800" s="54" t="s">
        <v>131</v>
      </c>
      <c r="O800" t="e">
        <f>VLOOKUP(C800,#REF!,12,FALSE)</f>
        <v>#REF!</v>
      </c>
    </row>
    <row r="801" spans="1:15">
      <c r="A801" s="17">
        <v>800</v>
      </c>
      <c r="B801" s="6" t="s">
        <v>1607</v>
      </c>
      <c r="C801" s="7">
        <v>2022006231</v>
      </c>
      <c r="D801" s="7">
        <v>2201010016</v>
      </c>
      <c r="E801" s="7" t="s">
        <v>1814</v>
      </c>
      <c r="F801" s="17" t="e">
        <f>VLOOKUP('2501_MIS '!C801,'[1]Fast Track '!B:K,10,FALSE)</f>
        <v>#N/A</v>
      </c>
      <c r="G801" s="17" t="str">
        <f>VLOOKUP(C801,[2]Sheet7!A:D,4,FALSE)</f>
        <v>Promoted</v>
      </c>
      <c r="H801" s="45" t="s">
        <v>3645</v>
      </c>
      <c r="I801" s="26" t="s">
        <v>3671</v>
      </c>
      <c r="J801" s="6" t="s">
        <v>1608</v>
      </c>
      <c r="K801" s="6" t="s">
        <v>3521</v>
      </c>
      <c r="L801" s="6" t="s">
        <v>3522</v>
      </c>
      <c r="M801" s="6" t="s">
        <v>131</v>
      </c>
      <c r="O801" t="e">
        <f>VLOOKUP(C801,#REF!,12,FALSE)</f>
        <v>#REF!</v>
      </c>
    </row>
    <row r="802" spans="1:15">
      <c r="A802" s="17">
        <v>801</v>
      </c>
      <c r="B802" s="6" t="s">
        <v>1643</v>
      </c>
      <c r="C802" s="7">
        <v>2022473539</v>
      </c>
      <c r="D802" s="7">
        <v>2201010019</v>
      </c>
      <c r="E802" s="7" t="s">
        <v>1814</v>
      </c>
      <c r="F802" s="17" t="e">
        <f>VLOOKUP('2501_MIS '!C802,'[1]Fast Track '!B:K,10,FALSE)</f>
        <v>#N/A</v>
      </c>
      <c r="G802" s="17" t="str">
        <f>VLOOKUP(C802,[2]Sheet7!A:D,4,FALSE)</f>
        <v>Promoted</v>
      </c>
      <c r="H802" s="45" t="s">
        <v>3645</v>
      </c>
      <c r="I802" s="26" t="s">
        <v>3671</v>
      </c>
      <c r="J802" s="6" t="s">
        <v>1644</v>
      </c>
      <c r="K802" s="6" t="s">
        <v>3523</v>
      </c>
      <c r="L802" s="6" t="s">
        <v>3524</v>
      </c>
      <c r="M802" s="6" t="s">
        <v>131</v>
      </c>
      <c r="O802" t="e">
        <f>VLOOKUP(C802,#REF!,12,FALSE)</f>
        <v>#REF!</v>
      </c>
    </row>
    <row r="803" spans="1:15">
      <c r="A803" s="17">
        <v>802</v>
      </c>
      <c r="B803" s="6" t="s">
        <v>1629</v>
      </c>
      <c r="C803" s="7">
        <v>2022405514</v>
      </c>
      <c r="D803" s="7">
        <v>2201010031</v>
      </c>
      <c r="E803" s="7" t="s">
        <v>1814</v>
      </c>
      <c r="F803" s="17" t="e">
        <f>VLOOKUP('2501_MIS '!C803,'[1]Fast Track '!B:K,10,FALSE)</f>
        <v>#N/A</v>
      </c>
      <c r="G803" s="17" t="str">
        <f>VLOOKUP(C803,[2]Sheet7!A:D,4,FALSE)</f>
        <v>Promoted</v>
      </c>
      <c r="H803" s="45" t="s">
        <v>3645</v>
      </c>
      <c r="I803" s="26" t="s">
        <v>3671</v>
      </c>
      <c r="J803" s="6" t="s">
        <v>1630</v>
      </c>
      <c r="K803" s="6" t="s">
        <v>3525</v>
      </c>
      <c r="L803" s="6" t="s">
        <v>3526</v>
      </c>
      <c r="M803" s="6" t="s">
        <v>131</v>
      </c>
      <c r="O803" t="e">
        <f>VLOOKUP(C803,#REF!,12,FALSE)</f>
        <v>#REF!</v>
      </c>
    </row>
    <row r="804" spans="1:15">
      <c r="A804" s="17">
        <v>803</v>
      </c>
      <c r="B804" s="6" t="s">
        <v>1617</v>
      </c>
      <c r="C804" s="7">
        <v>2022310618</v>
      </c>
      <c r="D804" s="7">
        <v>2201010037</v>
      </c>
      <c r="E804" s="7" t="s">
        <v>1814</v>
      </c>
      <c r="F804" s="17" t="e">
        <f>VLOOKUP('2501_MIS '!C804,'[1]Fast Track '!B:K,10,FALSE)</f>
        <v>#N/A</v>
      </c>
      <c r="G804" s="17" t="str">
        <f>VLOOKUP(C804,[2]Sheet7!A:D,4,FALSE)</f>
        <v>Promoted</v>
      </c>
      <c r="H804" s="45" t="s">
        <v>3645</v>
      </c>
      <c r="I804" s="26" t="s">
        <v>3671</v>
      </c>
      <c r="J804" s="6" t="s">
        <v>1618</v>
      </c>
      <c r="K804" s="6" t="s">
        <v>3527</v>
      </c>
      <c r="L804" s="6" t="s">
        <v>3528</v>
      </c>
      <c r="M804" s="6" t="s">
        <v>131</v>
      </c>
      <c r="O804" t="e">
        <f>VLOOKUP(C804,#REF!,12,FALSE)</f>
        <v>#REF!</v>
      </c>
    </row>
    <row r="805" spans="1:15">
      <c r="A805" s="17">
        <v>804</v>
      </c>
      <c r="B805" s="6" t="s">
        <v>1651</v>
      </c>
      <c r="C805" s="7">
        <v>2022484226</v>
      </c>
      <c r="D805" s="7">
        <v>2201010040</v>
      </c>
      <c r="E805" s="7" t="s">
        <v>1814</v>
      </c>
      <c r="F805" s="17" t="e">
        <f>VLOOKUP('2501_MIS '!C805,'[1]Fast Track '!B:K,10,FALSE)</f>
        <v>#N/A</v>
      </c>
      <c r="G805" s="17" t="str">
        <f>VLOOKUP(C805,[2]Sheet7!A:D,4,FALSE)</f>
        <v>Promoted</v>
      </c>
      <c r="H805" s="45" t="s">
        <v>3645</v>
      </c>
      <c r="I805" s="26" t="s">
        <v>3671</v>
      </c>
      <c r="J805" s="6" t="s">
        <v>1652</v>
      </c>
      <c r="K805" s="6" t="s">
        <v>3529</v>
      </c>
      <c r="L805" s="6" t="s">
        <v>3530</v>
      </c>
      <c r="M805" s="6" t="s">
        <v>131</v>
      </c>
      <c r="O805" t="e">
        <f>VLOOKUP(C805,#REF!,12,FALSE)</f>
        <v>#REF!</v>
      </c>
    </row>
    <row r="806" spans="1:15">
      <c r="A806" s="17">
        <v>805</v>
      </c>
      <c r="B806" s="6" t="s">
        <v>1645</v>
      </c>
      <c r="C806" s="7">
        <v>2022474671</v>
      </c>
      <c r="D806" s="7">
        <v>2201010057</v>
      </c>
      <c r="E806" s="7" t="s">
        <v>1814</v>
      </c>
      <c r="F806" s="17" t="e">
        <f>VLOOKUP('2501_MIS '!C806,'[1]Fast Track '!B:K,10,FALSE)</f>
        <v>#N/A</v>
      </c>
      <c r="G806" s="17" t="str">
        <f>VLOOKUP(C806,[2]Sheet7!A:D,4,FALSE)</f>
        <v>Promoted</v>
      </c>
      <c r="H806" s="45" t="s">
        <v>3645</v>
      </c>
      <c r="I806" s="26" t="s">
        <v>3671</v>
      </c>
      <c r="J806" s="6" t="s">
        <v>1646</v>
      </c>
      <c r="K806" s="6" t="s">
        <v>3531</v>
      </c>
      <c r="L806" s="6" t="s">
        <v>3532</v>
      </c>
      <c r="M806" s="6" t="s">
        <v>131</v>
      </c>
      <c r="O806" t="e">
        <f>VLOOKUP(C806,#REF!,12,FALSE)</f>
        <v>#REF!</v>
      </c>
    </row>
    <row r="807" spans="1:15">
      <c r="A807" s="17">
        <v>806</v>
      </c>
      <c r="B807" s="6" t="s">
        <v>1637</v>
      </c>
      <c r="C807" s="7">
        <v>2022447404</v>
      </c>
      <c r="D807" s="7">
        <v>2201010072</v>
      </c>
      <c r="E807" s="7" t="s">
        <v>1814</v>
      </c>
      <c r="F807" s="17" t="e">
        <f>VLOOKUP('2501_MIS '!C807,'[1]Fast Track '!B:K,10,FALSE)</f>
        <v>#N/A</v>
      </c>
      <c r="G807" s="17" t="str">
        <f>VLOOKUP(C807,[2]Sheet7!A:D,4,FALSE)</f>
        <v>Promoted</v>
      </c>
      <c r="H807" s="45" t="s">
        <v>3645</v>
      </c>
      <c r="I807" s="26" t="s">
        <v>3671</v>
      </c>
      <c r="J807" s="6" t="s">
        <v>1638</v>
      </c>
      <c r="K807" s="6" t="s">
        <v>3533</v>
      </c>
      <c r="L807" s="6" t="s">
        <v>3534</v>
      </c>
      <c r="M807" s="6" t="s">
        <v>131</v>
      </c>
      <c r="O807" t="e">
        <f>VLOOKUP(C807,#REF!,12,FALSE)</f>
        <v>#REF!</v>
      </c>
    </row>
    <row r="808" spans="1:15">
      <c r="A808" s="17">
        <v>807</v>
      </c>
      <c r="B808" s="6" t="s">
        <v>1641</v>
      </c>
      <c r="C808" s="7">
        <v>2022466374</v>
      </c>
      <c r="D808" s="7">
        <v>2201010142</v>
      </c>
      <c r="E808" s="7" t="s">
        <v>1814</v>
      </c>
      <c r="F808" s="17" t="e">
        <f>VLOOKUP('2501_MIS '!C808,'[1]Fast Track '!B:K,10,FALSE)</f>
        <v>#N/A</v>
      </c>
      <c r="G808" s="17" t="str">
        <f>VLOOKUP(C808,[2]Sheet7!A:D,4,FALSE)</f>
        <v>Promoted</v>
      </c>
      <c r="H808" s="45" t="s">
        <v>3645</v>
      </c>
      <c r="I808" s="26" t="s">
        <v>3671</v>
      </c>
      <c r="J808" s="6" t="s">
        <v>1642</v>
      </c>
      <c r="K808" s="6" t="s">
        <v>3535</v>
      </c>
      <c r="L808" s="6" t="s">
        <v>3536</v>
      </c>
      <c r="M808" s="6" t="s">
        <v>131</v>
      </c>
      <c r="O808" t="e">
        <f>VLOOKUP(C808,#REF!,12,FALSE)</f>
        <v>#REF!</v>
      </c>
    </row>
    <row r="809" spans="1:15">
      <c r="A809" s="17">
        <v>808</v>
      </c>
      <c r="B809" s="6" t="s">
        <v>1635</v>
      </c>
      <c r="C809" s="7">
        <v>2022440656</v>
      </c>
      <c r="D809" s="7">
        <v>2201010143</v>
      </c>
      <c r="E809" s="7" t="s">
        <v>1814</v>
      </c>
      <c r="F809" s="17" t="e">
        <f>VLOOKUP('2501_MIS '!C809,'[1]Fast Track '!B:K,10,FALSE)</f>
        <v>#N/A</v>
      </c>
      <c r="G809" s="17" t="str">
        <f>VLOOKUP(C809,[2]Sheet7!A:D,4,FALSE)</f>
        <v>Promoted</v>
      </c>
      <c r="H809" s="45" t="s">
        <v>3645</v>
      </c>
      <c r="I809" s="26" t="s">
        <v>3671</v>
      </c>
      <c r="J809" s="6" t="s">
        <v>1636</v>
      </c>
      <c r="K809" s="6" t="s">
        <v>3537</v>
      </c>
      <c r="L809" s="6" t="s">
        <v>3538</v>
      </c>
      <c r="M809" s="6" t="s">
        <v>131</v>
      </c>
      <c r="O809" t="e">
        <f>VLOOKUP(C809,#REF!,12,FALSE)</f>
        <v>#REF!</v>
      </c>
    </row>
    <row r="810" spans="1:15">
      <c r="A810" s="17">
        <v>809</v>
      </c>
      <c r="B810" s="6" t="s">
        <v>1379</v>
      </c>
      <c r="C810" s="7">
        <v>2022005319</v>
      </c>
      <c r="D810" s="7">
        <v>2201010173</v>
      </c>
      <c r="E810" s="7" t="s">
        <v>1814</v>
      </c>
      <c r="F810" s="17" t="e">
        <f>VLOOKUP('2501_MIS '!C810,'[1]Fast Track '!B:K,10,FALSE)</f>
        <v>#N/A</v>
      </c>
      <c r="G810" s="17" t="str">
        <f>VLOOKUP(C810,[2]Sheet7!A:D,4,FALSE)</f>
        <v>Promoted</v>
      </c>
      <c r="H810" s="45" t="s">
        <v>3645</v>
      </c>
      <c r="I810" s="26" t="s">
        <v>3671</v>
      </c>
      <c r="J810" s="6" t="s">
        <v>1602</v>
      </c>
      <c r="K810" s="6" t="s">
        <v>3539</v>
      </c>
      <c r="L810" s="6" t="s">
        <v>3540</v>
      </c>
      <c r="M810" s="6" t="s">
        <v>131</v>
      </c>
      <c r="O810" t="e">
        <f>VLOOKUP(C810,#REF!,12,FALSE)</f>
        <v>#REF!</v>
      </c>
    </row>
    <row r="811" spans="1:15">
      <c r="A811" s="17">
        <v>810</v>
      </c>
      <c r="B811" s="6" t="s">
        <v>1598</v>
      </c>
      <c r="C811" s="7">
        <v>2022003898</v>
      </c>
      <c r="D811" s="7">
        <v>2201010198</v>
      </c>
      <c r="E811" s="7" t="s">
        <v>1814</v>
      </c>
      <c r="F811" s="17" t="e">
        <f>VLOOKUP('2501_MIS '!C811,'[1]Fast Track '!B:K,10,FALSE)</f>
        <v>#N/A</v>
      </c>
      <c r="G811" s="17" t="str">
        <f>VLOOKUP(C811,[2]Sheet7!A:D,4,FALSE)</f>
        <v>Promoted</v>
      </c>
      <c r="H811" s="45" t="s">
        <v>3645</v>
      </c>
      <c r="I811" s="26" t="s">
        <v>3671</v>
      </c>
      <c r="J811" s="6" t="s">
        <v>1599</v>
      </c>
      <c r="K811" s="6" t="s">
        <v>3541</v>
      </c>
      <c r="L811" s="6" t="s">
        <v>3542</v>
      </c>
      <c r="M811" s="6" t="s">
        <v>131</v>
      </c>
      <c r="O811" t="e">
        <f>VLOOKUP(C811,#REF!,12,FALSE)</f>
        <v>#REF!</v>
      </c>
    </row>
    <row r="812" spans="1:15">
      <c r="A812" s="17">
        <v>811</v>
      </c>
      <c r="B812" s="6" t="s">
        <v>1663</v>
      </c>
      <c r="C812" s="7">
        <v>2022512685</v>
      </c>
      <c r="D812" s="7">
        <v>2201010230</v>
      </c>
      <c r="E812" s="7" t="s">
        <v>1814</v>
      </c>
      <c r="F812" s="17" t="e">
        <f>VLOOKUP('2501_MIS '!C812,'[1]Fast Track '!B:K,10,FALSE)</f>
        <v>#N/A</v>
      </c>
      <c r="G812" s="17" t="str">
        <f>VLOOKUP(C812,[2]Sheet7!A:D,4,FALSE)</f>
        <v>Promoted</v>
      </c>
      <c r="H812" s="45" t="s">
        <v>3645</v>
      </c>
      <c r="I812" s="26" t="s">
        <v>3671</v>
      </c>
      <c r="J812" s="6" t="s">
        <v>1664</v>
      </c>
      <c r="K812" s="6" t="s">
        <v>3543</v>
      </c>
      <c r="L812" s="6" t="s">
        <v>3544</v>
      </c>
      <c r="M812" s="6" t="s">
        <v>131</v>
      </c>
      <c r="O812" t="e">
        <f>VLOOKUP(C812,#REF!,12,FALSE)</f>
        <v>#REF!</v>
      </c>
    </row>
    <row r="813" spans="1:15">
      <c r="A813" s="17">
        <v>812</v>
      </c>
      <c r="B813" s="6" t="s">
        <v>1631</v>
      </c>
      <c r="C813" s="7">
        <v>2022407190</v>
      </c>
      <c r="D813" s="7">
        <v>2201010232</v>
      </c>
      <c r="E813" s="7" t="s">
        <v>1814</v>
      </c>
      <c r="F813" s="17" t="e">
        <f>VLOOKUP('2501_MIS '!C813,'[1]Fast Track '!B:K,10,FALSE)</f>
        <v>#N/A</v>
      </c>
      <c r="G813" s="17" t="str">
        <f>VLOOKUP(C813,[2]Sheet7!A:D,4,FALSE)</f>
        <v>Promoted</v>
      </c>
      <c r="H813" s="45" t="s">
        <v>3645</v>
      </c>
      <c r="I813" s="26" t="s">
        <v>3671</v>
      </c>
      <c r="J813" s="6" t="s">
        <v>1632</v>
      </c>
      <c r="K813" s="6" t="s">
        <v>3545</v>
      </c>
      <c r="L813" s="6" t="s">
        <v>3546</v>
      </c>
      <c r="M813" s="6" t="s">
        <v>131</v>
      </c>
      <c r="O813" t="e">
        <f>VLOOKUP(C813,#REF!,12,FALSE)</f>
        <v>#REF!</v>
      </c>
    </row>
    <row r="814" spans="1:15">
      <c r="A814" s="17">
        <v>813</v>
      </c>
      <c r="B814" s="6" t="s">
        <v>129</v>
      </c>
      <c r="C814" s="7">
        <v>2022498160</v>
      </c>
      <c r="D814" s="7">
        <v>2201010240</v>
      </c>
      <c r="E814" s="7" t="s">
        <v>1814</v>
      </c>
      <c r="F814" s="17" t="e">
        <f>VLOOKUP('2501_MIS '!C814,'[1]Fast Track '!B:K,10,FALSE)</f>
        <v>#N/A</v>
      </c>
      <c r="G814" s="17" t="str">
        <f>VLOOKUP(C814,[2]Sheet7!A:D,4,FALSE)</f>
        <v>Not Promoted</v>
      </c>
      <c r="H814" s="45" t="s">
        <v>3645</v>
      </c>
      <c r="I814" s="26" t="s">
        <v>3671</v>
      </c>
      <c r="J814" s="6" t="s">
        <v>130</v>
      </c>
      <c r="K814" s="6" t="s">
        <v>3547</v>
      </c>
      <c r="L814" s="6" t="s">
        <v>3548</v>
      </c>
      <c r="M814" s="6" t="s">
        <v>131</v>
      </c>
      <c r="O814" t="e">
        <f>VLOOKUP(C814,#REF!,12,FALSE)</f>
        <v>#REF!</v>
      </c>
    </row>
    <row r="815" spans="1:15">
      <c r="A815" s="17">
        <v>814</v>
      </c>
      <c r="B815" s="6" t="s">
        <v>895</v>
      </c>
      <c r="C815" s="7">
        <v>2022319788</v>
      </c>
      <c r="D815" s="7">
        <v>2201010248</v>
      </c>
      <c r="E815" s="7" t="s">
        <v>1814</v>
      </c>
      <c r="F815" s="17" t="e">
        <f>VLOOKUP('2501_MIS '!C815,'[1]Fast Track '!B:K,10,FALSE)</f>
        <v>#N/A</v>
      </c>
      <c r="G815" s="17" t="str">
        <f>VLOOKUP(C815,[2]Sheet7!A:D,4,FALSE)</f>
        <v>Promoted</v>
      </c>
      <c r="H815" s="45" t="s">
        <v>3645</v>
      </c>
      <c r="I815" s="26" t="s">
        <v>3671</v>
      </c>
      <c r="J815" s="6" t="s">
        <v>896</v>
      </c>
      <c r="K815" s="6" t="s">
        <v>3549</v>
      </c>
      <c r="L815" s="6" t="s">
        <v>3550</v>
      </c>
      <c r="M815" s="6" t="s">
        <v>131</v>
      </c>
      <c r="O815" t="e">
        <f>VLOOKUP(C815,#REF!,12,FALSE)</f>
        <v>#REF!</v>
      </c>
    </row>
    <row r="816" spans="1:15">
      <c r="A816" s="17">
        <v>815</v>
      </c>
      <c r="B816" s="6" t="s">
        <v>1627</v>
      </c>
      <c r="C816" s="7">
        <v>2022395985</v>
      </c>
      <c r="D816" s="7">
        <v>2201010258</v>
      </c>
      <c r="E816" s="7" t="s">
        <v>1814</v>
      </c>
      <c r="F816" s="17" t="e">
        <f>VLOOKUP('2501_MIS '!C816,'[1]Fast Track '!B:K,10,FALSE)</f>
        <v>#N/A</v>
      </c>
      <c r="G816" s="17" t="str">
        <f>VLOOKUP(C816,[2]Sheet7!A:D,4,FALSE)</f>
        <v>Promoted</v>
      </c>
      <c r="H816" s="45" t="s">
        <v>3645</v>
      </c>
      <c r="I816" s="26" t="s">
        <v>3671</v>
      </c>
      <c r="J816" s="6" t="s">
        <v>1628</v>
      </c>
      <c r="K816" s="6" t="s">
        <v>3551</v>
      </c>
      <c r="L816" s="6" t="s">
        <v>3552</v>
      </c>
      <c r="M816" s="6" t="s">
        <v>131</v>
      </c>
      <c r="O816" t="e">
        <f>VLOOKUP(C816,#REF!,12,FALSE)</f>
        <v>#REF!</v>
      </c>
    </row>
    <row r="817" spans="1:15">
      <c r="A817" s="17">
        <v>816</v>
      </c>
      <c r="B817" s="6" t="s">
        <v>1667</v>
      </c>
      <c r="C817" s="7">
        <v>2022552126</v>
      </c>
      <c r="D817" s="7">
        <v>2201010260</v>
      </c>
      <c r="E817" s="7" t="s">
        <v>1814</v>
      </c>
      <c r="F817" s="17" t="e">
        <f>VLOOKUP('2501_MIS '!C817,'[1]Fast Track '!B:K,10,FALSE)</f>
        <v>#N/A</v>
      </c>
      <c r="G817" s="17" t="str">
        <f>VLOOKUP(C817,[2]Sheet7!A:D,4,FALSE)</f>
        <v>Promoted</v>
      </c>
      <c r="H817" s="45" t="s">
        <v>3645</v>
      </c>
      <c r="I817" s="26" t="s">
        <v>3671</v>
      </c>
      <c r="J817" s="6" t="s">
        <v>1668</v>
      </c>
      <c r="K817" s="6" t="s">
        <v>3553</v>
      </c>
      <c r="L817" s="6" t="s">
        <v>3554</v>
      </c>
      <c r="M817" s="6" t="s">
        <v>131</v>
      </c>
      <c r="O817" t="e">
        <f>VLOOKUP(C817,#REF!,12,FALSE)</f>
        <v>#REF!</v>
      </c>
    </row>
    <row r="818" spans="1:15">
      <c r="A818" s="17">
        <v>817</v>
      </c>
      <c r="B818" s="6" t="s">
        <v>1657</v>
      </c>
      <c r="C818" s="7">
        <v>2022508051</v>
      </c>
      <c r="D818" s="7">
        <v>2201010301</v>
      </c>
      <c r="E818" s="7" t="s">
        <v>1814</v>
      </c>
      <c r="F818" s="17" t="e">
        <f>VLOOKUP('2501_MIS '!C818,'[1]Fast Track '!B:K,10,FALSE)</f>
        <v>#N/A</v>
      </c>
      <c r="G818" s="17" t="str">
        <f>VLOOKUP(C818,[2]Sheet7!A:D,4,FALSE)</f>
        <v>Promoted</v>
      </c>
      <c r="H818" s="45" t="s">
        <v>3645</v>
      </c>
      <c r="I818" s="26" t="s">
        <v>3671</v>
      </c>
      <c r="J818" s="6" t="s">
        <v>1658</v>
      </c>
      <c r="K818" s="6" t="s">
        <v>3555</v>
      </c>
      <c r="L818" s="6" t="s">
        <v>3556</v>
      </c>
      <c r="M818" s="6" t="s">
        <v>131</v>
      </c>
      <c r="O818" t="e">
        <f>VLOOKUP(C818,#REF!,12,FALSE)</f>
        <v>#REF!</v>
      </c>
    </row>
    <row r="819" spans="1:15">
      <c r="A819" s="17">
        <v>818</v>
      </c>
      <c r="B819" s="6" t="s">
        <v>1621</v>
      </c>
      <c r="C819" s="7">
        <v>2022346529</v>
      </c>
      <c r="D819" s="7">
        <v>2201010324</v>
      </c>
      <c r="E819" s="7" t="s">
        <v>1814</v>
      </c>
      <c r="F819" s="17" t="e">
        <f>VLOOKUP('2501_MIS '!C819,'[1]Fast Track '!B:K,10,FALSE)</f>
        <v>#N/A</v>
      </c>
      <c r="G819" s="17" t="str">
        <f>VLOOKUP(C819,[2]Sheet7!A:D,4,FALSE)</f>
        <v>Promoted</v>
      </c>
      <c r="H819" s="45" t="s">
        <v>3645</v>
      </c>
      <c r="I819" s="26" t="s">
        <v>3671</v>
      </c>
      <c r="J819" s="6" t="s">
        <v>1622</v>
      </c>
      <c r="K819" s="6" t="s">
        <v>3557</v>
      </c>
      <c r="L819" s="6" t="s">
        <v>3558</v>
      </c>
      <c r="M819" s="6" t="s">
        <v>131</v>
      </c>
      <c r="O819" t="e">
        <f>VLOOKUP(C819,#REF!,12,FALSE)</f>
        <v>#REF!</v>
      </c>
    </row>
    <row r="820" spans="1:15">
      <c r="A820" s="17">
        <v>819</v>
      </c>
      <c r="B820" s="6" t="s">
        <v>1677</v>
      </c>
      <c r="C820" s="7">
        <v>2022806985</v>
      </c>
      <c r="D820" s="7">
        <v>2201010394</v>
      </c>
      <c r="E820" s="7" t="s">
        <v>1814</v>
      </c>
      <c r="F820" s="17" t="e">
        <f>VLOOKUP('2501_MIS '!C820,'[1]Fast Track '!B:K,10,FALSE)</f>
        <v>#N/A</v>
      </c>
      <c r="G820" s="17" t="str">
        <f>VLOOKUP(C820,[2]Sheet7!A:D,4,FALSE)</f>
        <v>Promoted</v>
      </c>
      <c r="H820" s="45" t="s">
        <v>3645</v>
      </c>
      <c r="I820" s="26" t="s">
        <v>3671</v>
      </c>
      <c r="J820" s="6" t="s">
        <v>1678</v>
      </c>
      <c r="K820" s="6" t="s">
        <v>3559</v>
      </c>
      <c r="L820" s="6" t="s">
        <v>3560</v>
      </c>
      <c r="M820" s="6" t="s">
        <v>131</v>
      </c>
      <c r="O820" t="e">
        <f>VLOOKUP(C820,#REF!,12,FALSE)</f>
        <v>#REF!</v>
      </c>
    </row>
    <row r="821" spans="1:15">
      <c r="A821" s="17">
        <v>820</v>
      </c>
      <c r="B821" s="6" t="s">
        <v>1647</v>
      </c>
      <c r="C821" s="7">
        <v>2022476924</v>
      </c>
      <c r="D821" s="7">
        <v>2201010449</v>
      </c>
      <c r="E821" s="7" t="s">
        <v>1814</v>
      </c>
      <c r="F821" s="17" t="e">
        <f>VLOOKUP('2501_MIS '!C821,'[1]Fast Track '!B:K,10,FALSE)</f>
        <v>#N/A</v>
      </c>
      <c r="G821" s="17" t="str">
        <f>VLOOKUP(C821,[2]Sheet7!A:D,4,FALSE)</f>
        <v>Promoted</v>
      </c>
      <c r="H821" s="45" t="s">
        <v>3644</v>
      </c>
      <c r="I821" s="26" t="s">
        <v>3672</v>
      </c>
      <c r="J821" s="6" t="s">
        <v>1648</v>
      </c>
      <c r="K821" s="6" t="s">
        <v>3561</v>
      </c>
      <c r="L821" s="6" t="s">
        <v>3562</v>
      </c>
      <c r="M821" s="6" t="s">
        <v>131</v>
      </c>
      <c r="O821" t="e">
        <f>VLOOKUP(C821,#REF!,12,FALSE)</f>
        <v>#REF!</v>
      </c>
    </row>
    <row r="822" spans="1:15">
      <c r="A822" s="17">
        <v>821</v>
      </c>
      <c r="B822" s="6" t="s">
        <v>1600</v>
      </c>
      <c r="C822" s="7">
        <v>2022004628</v>
      </c>
      <c r="D822" s="7">
        <v>2201010465</v>
      </c>
      <c r="E822" s="7" t="s">
        <v>1814</v>
      </c>
      <c r="F822" s="17" t="e">
        <f>VLOOKUP('2501_MIS '!C822,'[1]Fast Track '!B:K,10,FALSE)</f>
        <v>#N/A</v>
      </c>
      <c r="G822" s="17" t="str">
        <f>VLOOKUP(C822,[2]Sheet7!A:D,4,FALSE)</f>
        <v>Promoted</v>
      </c>
      <c r="H822" s="45" t="s">
        <v>3645</v>
      </c>
      <c r="I822" s="26" t="s">
        <v>3671</v>
      </c>
      <c r="J822" s="6" t="s">
        <v>1601</v>
      </c>
      <c r="K822" s="6" t="s">
        <v>3563</v>
      </c>
      <c r="L822" s="6" t="s">
        <v>3564</v>
      </c>
      <c r="M822" s="6" t="s">
        <v>131</v>
      </c>
      <c r="O822" t="e">
        <f>VLOOKUP(C822,#REF!,12,FALSE)</f>
        <v>#REF!</v>
      </c>
    </row>
    <row r="823" spans="1:15">
      <c r="A823" s="17">
        <v>822</v>
      </c>
      <c r="B823" s="6" t="s">
        <v>1665</v>
      </c>
      <c r="C823" s="7">
        <v>2022515845</v>
      </c>
      <c r="D823" s="7">
        <v>2201010470</v>
      </c>
      <c r="E823" s="7" t="s">
        <v>1814</v>
      </c>
      <c r="F823" s="17" t="e">
        <f>VLOOKUP('2501_MIS '!C823,'[1]Fast Track '!B:K,10,FALSE)</f>
        <v>#N/A</v>
      </c>
      <c r="G823" s="17" t="str">
        <f>VLOOKUP(C823,[2]Sheet7!A:D,4,FALSE)</f>
        <v>Promoted</v>
      </c>
      <c r="H823" s="45" t="s">
        <v>3645</v>
      </c>
      <c r="I823" s="26" t="s">
        <v>3671</v>
      </c>
      <c r="J823" s="6" t="s">
        <v>1666</v>
      </c>
      <c r="K823" s="6" t="s">
        <v>3565</v>
      </c>
      <c r="L823" s="6" t="s">
        <v>3566</v>
      </c>
      <c r="M823" s="6" t="s">
        <v>131</v>
      </c>
      <c r="O823" t="e">
        <f>VLOOKUP(C823,#REF!,12,FALSE)</f>
        <v>#REF!</v>
      </c>
    </row>
    <row r="824" spans="1:15">
      <c r="A824" s="17">
        <v>823</v>
      </c>
      <c r="B824" s="6" t="s">
        <v>1661</v>
      </c>
      <c r="C824" s="7">
        <v>2022512684</v>
      </c>
      <c r="D824" s="7">
        <v>2201010493</v>
      </c>
      <c r="E824" s="7" t="s">
        <v>1814</v>
      </c>
      <c r="F824" s="17" t="e">
        <f>VLOOKUP('2501_MIS '!C824,'[1]Fast Track '!B:K,10,FALSE)</f>
        <v>#N/A</v>
      </c>
      <c r="G824" s="17" t="str">
        <f>VLOOKUP(C824,[2]Sheet7!A:D,4,FALSE)</f>
        <v>Promoted</v>
      </c>
      <c r="H824" s="45" t="s">
        <v>3645</v>
      </c>
      <c r="I824" s="26" t="s">
        <v>3671</v>
      </c>
      <c r="J824" s="6" t="s">
        <v>1662</v>
      </c>
      <c r="K824" s="6" t="s">
        <v>3567</v>
      </c>
      <c r="L824" s="6" t="s">
        <v>3568</v>
      </c>
      <c r="M824" s="6" t="s">
        <v>131</v>
      </c>
      <c r="O824" t="e">
        <f>VLOOKUP(C824,#REF!,12,FALSE)</f>
        <v>#REF!</v>
      </c>
    </row>
    <row r="825" spans="1:15">
      <c r="A825" s="17">
        <v>824</v>
      </c>
      <c r="B825" s="6" t="s">
        <v>1619</v>
      </c>
      <c r="C825" s="7">
        <v>2022313141</v>
      </c>
      <c r="D825" s="7">
        <v>2201010511</v>
      </c>
      <c r="E825" s="7" t="s">
        <v>1814</v>
      </c>
      <c r="F825" s="17" t="e">
        <f>VLOOKUP('2501_MIS '!C825,'[1]Fast Track '!B:K,10,FALSE)</f>
        <v>#N/A</v>
      </c>
      <c r="G825" s="17" t="str">
        <f>VLOOKUP(C825,[2]Sheet7!A:D,4,FALSE)</f>
        <v>Promoted</v>
      </c>
      <c r="H825" s="45" t="s">
        <v>3644</v>
      </c>
      <c r="I825" s="26" t="s">
        <v>3672</v>
      </c>
      <c r="J825" s="6" t="s">
        <v>1620</v>
      </c>
      <c r="K825" s="6" t="s">
        <v>3569</v>
      </c>
      <c r="L825" s="6" t="s">
        <v>3570</v>
      </c>
      <c r="M825" s="6" t="s">
        <v>131</v>
      </c>
      <c r="O825" t="e">
        <f>VLOOKUP(C825,#REF!,12,FALSE)</f>
        <v>#REF!</v>
      </c>
    </row>
    <row r="826" spans="1:15">
      <c r="A826" s="17">
        <v>825</v>
      </c>
      <c r="B826" s="6" t="s">
        <v>1649</v>
      </c>
      <c r="C826" s="7">
        <v>2022482472</v>
      </c>
      <c r="D826" s="7">
        <v>2201010542</v>
      </c>
      <c r="E826" s="7" t="s">
        <v>1814</v>
      </c>
      <c r="F826" s="17" t="e">
        <f>VLOOKUP('2501_MIS '!C826,'[1]Fast Track '!B:K,10,FALSE)</f>
        <v>#N/A</v>
      </c>
      <c r="G826" s="17" t="str">
        <f>VLOOKUP(C826,[2]Sheet7!A:D,4,FALSE)</f>
        <v>Promoted</v>
      </c>
      <c r="H826" s="45" t="s">
        <v>3644</v>
      </c>
      <c r="I826" s="26" t="s">
        <v>3672</v>
      </c>
      <c r="J826" s="6" t="s">
        <v>1650</v>
      </c>
      <c r="K826" s="6" t="s">
        <v>3571</v>
      </c>
      <c r="L826" s="6" t="s">
        <v>3572</v>
      </c>
      <c r="M826" s="6" t="s">
        <v>131</v>
      </c>
      <c r="O826" t="e">
        <f>VLOOKUP(C826,#REF!,12,FALSE)</f>
        <v>#REF!</v>
      </c>
    </row>
    <row r="827" spans="1:15">
      <c r="A827" s="17">
        <v>826</v>
      </c>
      <c r="B827" s="6" t="s">
        <v>1605</v>
      </c>
      <c r="C827" s="7">
        <v>2022005894</v>
      </c>
      <c r="D827" s="7">
        <v>2201010554</v>
      </c>
      <c r="E827" s="7" t="s">
        <v>1814</v>
      </c>
      <c r="F827" s="17" t="e">
        <f>VLOOKUP('2501_MIS '!C827,'[1]Fast Track '!B:K,10,FALSE)</f>
        <v>#N/A</v>
      </c>
      <c r="G827" s="17" t="str">
        <f>VLOOKUP(C827,[2]Sheet7!A:D,4,FALSE)</f>
        <v>Promoted</v>
      </c>
      <c r="H827" s="45" t="s">
        <v>3644</v>
      </c>
      <c r="I827" s="26" t="s">
        <v>3672</v>
      </c>
      <c r="J827" s="6" t="s">
        <v>1606</v>
      </c>
      <c r="K827" s="6" t="s">
        <v>3573</v>
      </c>
      <c r="L827" s="6" t="s">
        <v>3574</v>
      </c>
      <c r="M827" s="6" t="s">
        <v>131</v>
      </c>
      <c r="O827" t="e">
        <f>VLOOKUP(C827,#REF!,12,FALSE)</f>
        <v>#REF!</v>
      </c>
    </row>
    <row r="828" spans="1:15">
      <c r="A828" s="17">
        <v>827</v>
      </c>
      <c r="B828" s="6" t="s">
        <v>1655</v>
      </c>
      <c r="C828" s="7">
        <v>2022506566</v>
      </c>
      <c r="D828" s="7">
        <v>2201010610</v>
      </c>
      <c r="E828" s="7" t="s">
        <v>1814</v>
      </c>
      <c r="F828" s="17" t="e">
        <f>VLOOKUP('2501_MIS '!C828,'[1]Fast Track '!B:K,10,FALSE)</f>
        <v>#N/A</v>
      </c>
      <c r="G828" s="17" t="str">
        <f>VLOOKUP(C828,[2]Sheet7!A:D,4,FALSE)</f>
        <v>Promoted</v>
      </c>
      <c r="H828" s="45" t="s">
        <v>3644</v>
      </c>
      <c r="I828" s="26" t="s">
        <v>3672</v>
      </c>
      <c r="J828" s="6" t="s">
        <v>1656</v>
      </c>
      <c r="K828" s="6" t="s">
        <v>3575</v>
      </c>
      <c r="L828" s="6" t="s">
        <v>3576</v>
      </c>
      <c r="M828" s="6" t="s">
        <v>131</v>
      </c>
      <c r="O828" t="e">
        <f>VLOOKUP(C828,#REF!,12,FALSE)</f>
        <v>#REF!</v>
      </c>
    </row>
    <row r="829" spans="1:15">
      <c r="A829" s="17">
        <v>828</v>
      </c>
      <c r="B829" s="6" t="s">
        <v>1659</v>
      </c>
      <c r="C829" s="7">
        <v>2022509145</v>
      </c>
      <c r="D829" s="7">
        <v>2201010627</v>
      </c>
      <c r="E829" s="7" t="s">
        <v>1814</v>
      </c>
      <c r="F829" s="17" t="e">
        <f>VLOOKUP('2501_MIS '!C829,'[1]Fast Track '!B:K,10,FALSE)</f>
        <v>#N/A</v>
      </c>
      <c r="G829" s="17" t="str">
        <f>VLOOKUP(C829,[2]Sheet7!A:D,4,FALSE)</f>
        <v>Not Promoted</v>
      </c>
      <c r="H829" s="45" t="s">
        <v>3644</v>
      </c>
      <c r="I829" s="26" t="s">
        <v>3672</v>
      </c>
      <c r="J829" s="6" t="s">
        <v>1660</v>
      </c>
      <c r="K829" s="6" t="s">
        <v>3577</v>
      </c>
      <c r="L829" s="6" t="s">
        <v>3578</v>
      </c>
      <c r="M829" s="6" t="s">
        <v>131</v>
      </c>
      <c r="O829" t="e">
        <f>VLOOKUP(C829,#REF!,12,FALSE)</f>
        <v>#REF!</v>
      </c>
    </row>
    <row r="830" spans="1:15">
      <c r="A830" s="17">
        <v>829</v>
      </c>
      <c r="B830" s="6" t="s">
        <v>1391</v>
      </c>
      <c r="C830" s="7">
        <v>2022001202</v>
      </c>
      <c r="D830" s="7">
        <v>2201010640</v>
      </c>
      <c r="E830" s="7" t="s">
        <v>1814</v>
      </c>
      <c r="F830" s="17" t="e">
        <f>VLOOKUP('2501_MIS '!C830,'[1]Fast Track '!B:K,10,FALSE)</f>
        <v>#N/A</v>
      </c>
      <c r="G830" s="17" t="str">
        <f>VLOOKUP(C830,[2]Sheet7!A:D,4,FALSE)</f>
        <v>Promoted</v>
      </c>
      <c r="H830" s="45" t="s">
        <v>3644</v>
      </c>
      <c r="I830" s="26" t="s">
        <v>3672</v>
      </c>
      <c r="J830" s="6" t="s">
        <v>1392</v>
      </c>
      <c r="K830" s="6" t="s">
        <v>3579</v>
      </c>
      <c r="L830" s="6" t="s">
        <v>3580</v>
      </c>
      <c r="M830" s="6" t="s">
        <v>131</v>
      </c>
      <c r="O830" t="e">
        <f>VLOOKUP(C830,#REF!,12,FALSE)</f>
        <v>#REF!</v>
      </c>
    </row>
    <row r="831" spans="1:15">
      <c r="A831" s="17">
        <v>830</v>
      </c>
      <c r="B831" s="6" t="s">
        <v>1603</v>
      </c>
      <c r="C831" s="7">
        <v>2022005556</v>
      </c>
      <c r="D831" s="7">
        <v>2201010703</v>
      </c>
      <c r="E831" s="7" t="s">
        <v>1814</v>
      </c>
      <c r="F831" s="17" t="e">
        <f>VLOOKUP('2501_MIS '!C831,'[1]Fast Track '!B:K,10,FALSE)</f>
        <v>#N/A</v>
      </c>
      <c r="G831" s="17" t="str">
        <f>VLOOKUP(C831,[2]Sheet7!A:D,4,FALSE)</f>
        <v>Promoted</v>
      </c>
      <c r="H831" s="45" t="s">
        <v>3644</v>
      </c>
      <c r="I831" s="26" t="s">
        <v>3672</v>
      </c>
      <c r="J831" s="6" t="s">
        <v>1604</v>
      </c>
      <c r="K831" s="6" t="s">
        <v>3581</v>
      </c>
      <c r="L831" s="6" t="s">
        <v>3582</v>
      </c>
      <c r="M831" s="6" t="s">
        <v>131</v>
      </c>
      <c r="O831" t="e">
        <f>VLOOKUP(C831,#REF!,12,FALSE)</f>
        <v>#REF!</v>
      </c>
    </row>
    <row r="832" spans="1:15">
      <c r="A832" s="17">
        <v>831</v>
      </c>
      <c r="B832" s="6" t="s">
        <v>1623</v>
      </c>
      <c r="C832" s="7">
        <v>2022350649</v>
      </c>
      <c r="D832" s="7">
        <v>2201010714</v>
      </c>
      <c r="E832" s="7" t="s">
        <v>1814</v>
      </c>
      <c r="F832" s="17" t="e">
        <f>VLOOKUP('2501_MIS '!C832,'[1]Fast Track '!B:K,10,FALSE)</f>
        <v>#N/A</v>
      </c>
      <c r="G832" s="17" t="str">
        <f>VLOOKUP(C832,[2]Sheet7!A:D,4,FALSE)</f>
        <v>Promoted</v>
      </c>
      <c r="H832" s="45" t="s">
        <v>3644</v>
      </c>
      <c r="I832" s="26" t="s">
        <v>3672</v>
      </c>
      <c r="J832" s="6" t="s">
        <v>1624</v>
      </c>
      <c r="K832" s="6" t="s">
        <v>3583</v>
      </c>
      <c r="L832" s="6" t="s">
        <v>3584</v>
      </c>
      <c r="M832" s="6" t="s">
        <v>131</v>
      </c>
      <c r="O832" t="e">
        <f>VLOOKUP(C832,#REF!,12,FALSE)</f>
        <v>#REF!</v>
      </c>
    </row>
    <row r="833" spans="1:15">
      <c r="A833" s="17">
        <v>832</v>
      </c>
      <c r="B833" s="6" t="s">
        <v>1679</v>
      </c>
      <c r="C833" s="7">
        <v>2022817674</v>
      </c>
      <c r="D833" s="7">
        <v>2201010752</v>
      </c>
      <c r="E833" s="7" t="s">
        <v>1814</v>
      </c>
      <c r="F833" s="17" t="e">
        <f>VLOOKUP('2501_MIS '!C833,'[1]Fast Track '!B:K,10,FALSE)</f>
        <v>#N/A</v>
      </c>
      <c r="G833" s="17" t="str">
        <f>VLOOKUP(C833,[2]Sheet7!A:D,4,FALSE)</f>
        <v>Promoted</v>
      </c>
      <c r="H833" s="45" t="s">
        <v>3644</v>
      </c>
      <c r="I833" s="26" t="s">
        <v>3672</v>
      </c>
      <c r="J833" s="6" t="s">
        <v>1680</v>
      </c>
      <c r="K833" s="6" t="s">
        <v>3585</v>
      </c>
      <c r="L833" s="6" t="s">
        <v>3586</v>
      </c>
      <c r="M833" s="6" t="s">
        <v>131</v>
      </c>
      <c r="O833" t="e">
        <f>VLOOKUP(C833,#REF!,12,FALSE)</f>
        <v>#REF!</v>
      </c>
    </row>
    <row r="834" spans="1:15">
      <c r="A834" s="17">
        <v>833</v>
      </c>
      <c r="B834" s="6" t="s">
        <v>1633</v>
      </c>
      <c r="C834" s="7">
        <v>2022439682</v>
      </c>
      <c r="D834" s="7">
        <v>2201010753</v>
      </c>
      <c r="E834" s="7" t="s">
        <v>1814</v>
      </c>
      <c r="F834" s="17" t="e">
        <f>VLOOKUP('2501_MIS '!C834,'[1]Fast Track '!B:K,10,FALSE)</f>
        <v>#N/A</v>
      </c>
      <c r="G834" s="17" t="str">
        <f>VLOOKUP(C834,[2]Sheet7!A:D,4,FALSE)</f>
        <v>Promoted</v>
      </c>
      <c r="H834" s="45" t="s">
        <v>3644</v>
      </c>
      <c r="I834" s="26" t="s">
        <v>3672</v>
      </c>
      <c r="J834" s="6" t="s">
        <v>1634</v>
      </c>
      <c r="K834" s="6" t="s">
        <v>3587</v>
      </c>
      <c r="L834" s="6" t="s">
        <v>3588</v>
      </c>
      <c r="M834" s="6" t="s">
        <v>131</v>
      </c>
      <c r="O834" t="e">
        <f>VLOOKUP(C834,#REF!,12,FALSE)</f>
        <v>#REF!</v>
      </c>
    </row>
    <row r="835" spans="1:15">
      <c r="A835" s="17">
        <v>834</v>
      </c>
      <c r="B835" s="6" t="s">
        <v>1609</v>
      </c>
      <c r="C835" s="7">
        <v>2022006271</v>
      </c>
      <c r="D835" s="7">
        <v>2201010769</v>
      </c>
      <c r="E835" s="7" t="s">
        <v>1814</v>
      </c>
      <c r="F835" s="17" t="e">
        <f>VLOOKUP('2501_MIS '!C835,'[1]Fast Track '!B:K,10,FALSE)</f>
        <v>#N/A</v>
      </c>
      <c r="G835" s="17" t="str">
        <f>VLOOKUP(C835,[2]Sheet7!A:D,4,FALSE)</f>
        <v>Promoted</v>
      </c>
      <c r="H835" s="45" t="s">
        <v>3644</v>
      </c>
      <c r="I835" s="26" t="s">
        <v>3672</v>
      </c>
      <c r="J835" s="6" t="s">
        <v>1610</v>
      </c>
      <c r="K835" s="6" t="s">
        <v>3589</v>
      </c>
      <c r="L835" s="6" t="s">
        <v>3590</v>
      </c>
      <c r="M835" s="6" t="s">
        <v>131</v>
      </c>
      <c r="O835" t="e">
        <f>VLOOKUP(C835,#REF!,12,FALSE)</f>
        <v>#REF!</v>
      </c>
    </row>
    <row r="836" spans="1:15">
      <c r="A836" s="17">
        <v>835</v>
      </c>
      <c r="B836" s="6" t="s">
        <v>1594</v>
      </c>
      <c r="C836" s="7">
        <v>2022003490</v>
      </c>
      <c r="D836" s="7">
        <v>2201010783</v>
      </c>
      <c r="E836" s="7" t="s">
        <v>1814</v>
      </c>
      <c r="F836" s="17" t="e">
        <f>VLOOKUP('2501_MIS '!C836,'[1]Fast Track '!B:K,10,FALSE)</f>
        <v>#N/A</v>
      </c>
      <c r="G836" s="17" t="str">
        <f>VLOOKUP(C836,[2]Sheet7!A:D,4,FALSE)</f>
        <v>Not Promoted</v>
      </c>
      <c r="H836" s="45" t="s">
        <v>3644</v>
      </c>
      <c r="I836" s="26" t="s">
        <v>3672</v>
      </c>
      <c r="J836" s="6" t="s">
        <v>1595</v>
      </c>
      <c r="K836" s="6" t="s">
        <v>3591</v>
      </c>
      <c r="L836" s="6" t="s">
        <v>3592</v>
      </c>
      <c r="M836" s="6" t="s">
        <v>131</v>
      </c>
      <c r="O836" t="e">
        <f>VLOOKUP(C836,#REF!,12,FALSE)</f>
        <v>#REF!</v>
      </c>
    </row>
    <row r="837" spans="1:15">
      <c r="A837" s="17">
        <v>836</v>
      </c>
      <c r="B837" s="6" t="s">
        <v>1653</v>
      </c>
      <c r="C837" s="7">
        <v>2022492708</v>
      </c>
      <c r="D837" s="7">
        <v>2201010785</v>
      </c>
      <c r="E837" s="7" t="s">
        <v>1814</v>
      </c>
      <c r="F837" s="17" t="e">
        <f>VLOOKUP('2501_MIS '!C837,'[1]Fast Track '!B:K,10,FALSE)</f>
        <v>#N/A</v>
      </c>
      <c r="G837" s="17" t="str">
        <f>VLOOKUP(C837,[2]Sheet7!A:D,4,FALSE)</f>
        <v>Promoted</v>
      </c>
      <c r="H837" s="45" t="s">
        <v>3644</v>
      </c>
      <c r="I837" s="26" t="s">
        <v>3672</v>
      </c>
      <c r="J837" s="6" t="s">
        <v>1654</v>
      </c>
      <c r="K837" s="6" t="s">
        <v>3593</v>
      </c>
      <c r="L837" s="6" t="s">
        <v>3594</v>
      </c>
      <c r="M837" s="6" t="s">
        <v>131</v>
      </c>
      <c r="O837" t="e">
        <f>VLOOKUP(C837,#REF!,12,FALSE)</f>
        <v>#REF!</v>
      </c>
    </row>
    <row r="838" spans="1:15">
      <c r="A838" s="17">
        <v>837</v>
      </c>
      <c r="B838" s="6" t="s">
        <v>1673</v>
      </c>
      <c r="C838" s="7">
        <v>2022801912</v>
      </c>
      <c r="D838" s="7">
        <v>2201010803</v>
      </c>
      <c r="E838" s="7" t="s">
        <v>1814</v>
      </c>
      <c r="F838" s="17" t="e">
        <f>VLOOKUP('2501_MIS '!C838,'[1]Fast Track '!B:K,10,FALSE)</f>
        <v>#N/A</v>
      </c>
      <c r="G838" s="17" t="str">
        <f>VLOOKUP(C838,[2]Sheet7!A:D,4,FALSE)</f>
        <v>Promoted</v>
      </c>
      <c r="H838" s="45" t="s">
        <v>3644</v>
      </c>
      <c r="I838" s="26" t="s">
        <v>3672</v>
      </c>
      <c r="J838" s="6" t="s">
        <v>1674</v>
      </c>
      <c r="K838" s="6" t="s">
        <v>3595</v>
      </c>
      <c r="L838" s="6" t="s">
        <v>3596</v>
      </c>
      <c r="M838" s="6" t="s">
        <v>131</v>
      </c>
      <c r="O838" t="e">
        <f>VLOOKUP(C838,#REF!,12,FALSE)</f>
        <v>#REF!</v>
      </c>
    </row>
    <row r="839" spans="1:15">
      <c r="A839" s="17">
        <v>838</v>
      </c>
      <c r="B839" s="6" t="s">
        <v>1675</v>
      </c>
      <c r="C839" s="7">
        <v>2022805927</v>
      </c>
      <c r="D839" s="7">
        <v>2201010819</v>
      </c>
      <c r="E839" s="7" t="s">
        <v>1814</v>
      </c>
      <c r="F839" s="17" t="e">
        <f>VLOOKUP('2501_MIS '!C839,'[1]Fast Track '!B:K,10,FALSE)</f>
        <v>#N/A</v>
      </c>
      <c r="G839" s="17" t="str">
        <f>VLOOKUP(C839,[2]Sheet7!A:D,4,FALSE)</f>
        <v>Promoted</v>
      </c>
      <c r="H839" s="45" t="s">
        <v>3644</v>
      </c>
      <c r="I839" s="26" t="s">
        <v>3672</v>
      </c>
      <c r="J839" s="6" t="s">
        <v>1676</v>
      </c>
      <c r="K839" s="6" t="s">
        <v>3597</v>
      </c>
      <c r="L839" s="6" t="s">
        <v>3598</v>
      </c>
      <c r="M839" s="6" t="s">
        <v>131</v>
      </c>
      <c r="O839" t="e">
        <f>VLOOKUP(C839,#REF!,12,FALSE)</f>
        <v>#REF!</v>
      </c>
    </row>
    <row r="840" spans="1:15">
      <c r="A840" s="17">
        <v>839</v>
      </c>
      <c r="B840" s="6" t="s">
        <v>175</v>
      </c>
      <c r="C840" s="7">
        <v>2022387644</v>
      </c>
      <c r="D840" s="7">
        <v>2201010982</v>
      </c>
      <c r="E840" s="7" t="s">
        <v>1814</v>
      </c>
      <c r="F840" s="17" t="e">
        <f>VLOOKUP('2501_MIS '!C840,'[1]Fast Track '!B:K,10,FALSE)</f>
        <v>#N/A</v>
      </c>
      <c r="G840" s="17" t="str">
        <f>VLOOKUP(C840,[2]Sheet7!A:D,4,FALSE)</f>
        <v>Promoted</v>
      </c>
      <c r="H840" s="45" t="s">
        <v>3644</v>
      </c>
      <c r="I840" s="26" t="s">
        <v>3672</v>
      </c>
      <c r="J840" s="6" t="s">
        <v>1455</v>
      </c>
      <c r="K840" s="6" t="s">
        <v>3599</v>
      </c>
      <c r="L840" s="6" t="s">
        <v>3600</v>
      </c>
      <c r="M840" s="6" t="s">
        <v>131</v>
      </c>
      <c r="O840" t="e">
        <f>VLOOKUP(C840,#REF!,12,FALSE)</f>
        <v>#REF!</v>
      </c>
    </row>
    <row r="841" spans="1:15">
      <c r="A841" s="17">
        <v>840</v>
      </c>
      <c r="B841" s="6" t="s">
        <v>1669</v>
      </c>
      <c r="C841" s="7">
        <v>2022570125</v>
      </c>
      <c r="D841" s="7">
        <v>2201010983</v>
      </c>
      <c r="E841" s="7" t="s">
        <v>1814</v>
      </c>
      <c r="F841" s="17" t="e">
        <f>VLOOKUP('2501_MIS '!C841,'[1]Fast Track '!B:K,10,FALSE)</f>
        <v>#N/A</v>
      </c>
      <c r="G841" s="17" t="str">
        <f>VLOOKUP(C841,[2]Sheet7!A:D,4,FALSE)</f>
        <v>Not Promoted</v>
      </c>
      <c r="H841" s="45" t="s">
        <v>3644</v>
      </c>
      <c r="I841" s="26" t="s">
        <v>3672</v>
      </c>
      <c r="J841" s="6" t="s">
        <v>1670</v>
      </c>
      <c r="K841" s="6" t="s">
        <v>3601</v>
      </c>
      <c r="L841" s="6" t="s">
        <v>3602</v>
      </c>
      <c r="M841" s="6" t="s">
        <v>131</v>
      </c>
      <c r="O841" t="e">
        <f>VLOOKUP(C841,#REF!,12,FALSE)</f>
        <v>#REF!</v>
      </c>
    </row>
    <row r="842" spans="1:15">
      <c r="A842" s="17">
        <v>841</v>
      </c>
      <c r="B842" s="6" t="s">
        <v>1671</v>
      </c>
      <c r="C842" s="7">
        <v>2022572570</v>
      </c>
      <c r="D842" s="7">
        <v>2201010984</v>
      </c>
      <c r="E842" s="7" t="s">
        <v>1814</v>
      </c>
      <c r="F842" s="17" t="e">
        <f>VLOOKUP('2501_MIS '!C842,'[1]Fast Track '!B:K,10,FALSE)</f>
        <v>#N/A</v>
      </c>
      <c r="G842" s="17" t="str">
        <f>VLOOKUP(C842,[2]Sheet7!A:D,4,FALSE)</f>
        <v>Promoted</v>
      </c>
      <c r="H842" s="45" t="s">
        <v>3644</v>
      </c>
      <c r="I842" s="26" t="s">
        <v>3672</v>
      </c>
      <c r="J842" s="6" t="s">
        <v>1672</v>
      </c>
      <c r="K842" s="6" t="s">
        <v>3603</v>
      </c>
      <c r="L842" s="6" t="s">
        <v>3604</v>
      </c>
      <c r="M842" s="6" t="s">
        <v>131</v>
      </c>
      <c r="O842" t="e">
        <f>VLOOKUP(C842,#REF!,12,FALSE)</f>
        <v>#REF!</v>
      </c>
    </row>
    <row r="843" spans="1:15">
      <c r="A843" s="17">
        <v>842</v>
      </c>
      <c r="B843" s="6" t="s">
        <v>1683</v>
      </c>
      <c r="C843" s="7">
        <v>2022836076</v>
      </c>
      <c r="D843" s="7">
        <v>2201010986</v>
      </c>
      <c r="E843" s="7" t="s">
        <v>1814</v>
      </c>
      <c r="F843" s="17" t="e">
        <f>VLOOKUP('2501_MIS '!C843,'[1]Fast Track '!B:K,10,FALSE)</f>
        <v>#N/A</v>
      </c>
      <c r="G843" s="17" t="str">
        <f>VLOOKUP(C843,[2]Sheet7!A:D,4,FALSE)</f>
        <v>Promoted</v>
      </c>
      <c r="H843" s="45" t="s">
        <v>3644</v>
      </c>
      <c r="I843" s="26" t="s">
        <v>3672</v>
      </c>
      <c r="J843" s="6" t="s">
        <v>1684</v>
      </c>
      <c r="K843" s="6" t="s">
        <v>3605</v>
      </c>
      <c r="L843" s="6" t="s">
        <v>3606</v>
      </c>
      <c r="M843" s="6" t="s">
        <v>131</v>
      </c>
      <c r="O843" t="e">
        <f>VLOOKUP(C843,#REF!,12,FALSE)</f>
        <v>#REF!</v>
      </c>
    </row>
    <row r="844" spans="1:15">
      <c r="A844" s="17">
        <v>843</v>
      </c>
      <c r="B844" s="6" t="s">
        <v>1685</v>
      </c>
      <c r="C844" s="7">
        <v>2022836286</v>
      </c>
      <c r="D844" s="7">
        <v>2201010987</v>
      </c>
      <c r="E844" s="7" t="s">
        <v>1814</v>
      </c>
      <c r="F844" s="17" t="e">
        <f>VLOOKUP('2501_MIS '!C844,'[1]Fast Track '!B:K,10,FALSE)</f>
        <v>#N/A</v>
      </c>
      <c r="G844" s="17" t="str">
        <f>VLOOKUP(C844,[2]Sheet7!A:D,4,FALSE)</f>
        <v>Promoted</v>
      </c>
      <c r="H844" s="45" t="s">
        <v>3644</v>
      </c>
      <c r="I844" s="26" t="s">
        <v>3672</v>
      </c>
      <c r="J844" s="6" t="s">
        <v>1686</v>
      </c>
      <c r="K844" s="6" t="s">
        <v>3607</v>
      </c>
      <c r="L844" s="6" t="s">
        <v>3608</v>
      </c>
      <c r="M844" s="6" t="s">
        <v>131</v>
      </c>
      <c r="O844" t="e">
        <f>VLOOKUP(C844,#REF!,12,FALSE)</f>
        <v>#REF!</v>
      </c>
    </row>
    <row r="845" spans="1:15">
      <c r="A845" s="17">
        <v>844</v>
      </c>
      <c r="B845" s="6" t="s">
        <v>1687</v>
      </c>
      <c r="C845" s="7">
        <v>2022837222</v>
      </c>
      <c r="D845" s="7">
        <v>2201010988</v>
      </c>
      <c r="E845" s="7" t="s">
        <v>1814</v>
      </c>
      <c r="F845" s="17" t="e">
        <f>VLOOKUP('2501_MIS '!C845,'[1]Fast Track '!B:K,10,FALSE)</f>
        <v>#N/A</v>
      </c>
      <c r="G845" s="17" t="str">
        <f>VLOOKUP(C845,[2]Sheet7!A:D,4,FALSE)</f>
        <v>Promoted</v>
      </c>
      <c r="H845" s="45" t="s">
        <v>3644</v>
      </c>
      <c r="I845" s="26" t="s">
        <v>3672</v>
      </c>
      <c r="J845" s="6" t="s">
        <v>1688</v>
      </c>
      <c r="K845" s="6" t="s">
        <v>3609</v>
      </c>
      <c r="L845" s="6" t="s">
        <v>3610</v>
      </c>
      <c r="M845" s="6" t="s">
        <v>131</v>
      </c>
      <c r="O845" t="e">
        <f>VLOOKUP(C845,#REF!,12,FALSE)</f>
        <v>#REF!</v>
      </c>
    </row>
    <row r="846" spans="1:15">
      <c r="A846" s="17">
        <v>845</v>
      </c>
      <c r="B846" s="6" t="s">
        <v>1441</v>
      </c>
      <c r="C846" s="7">
        <v>2022305070</v>
      </c>
      <c r="D846" s="7">
        <v>2201010580</v>
      </c>
      <c r="E846" s="7" t="s">
        <v>1814</v>
      </c>
      <c r="F846" s="17" t="e">
        <f>VLOOKUP('2501_MIS '!C846,'[1]Fast Track '!B:K,10,FALSE)</f>
        <v>#N/A</v>
      </c>
      <c r="G846" s="17" t="str">
        <f>VLOOKUP(C846,[2]Sheet7!A:D,4,FALSE)</f>
        <v>Promoted</v>
      </c>
      <c r="H846" s="45" t="s">
        <v>3644</v>
      </c>
      <c r="I846" s="26" t="s">
        <v>3672</v>
      </c>
      <c r="J846" s="6" t="s">
        <v>1442</v>
      </c>
      <c r="K846" s="6" t="s">
        <v>3353</v>
      </c>
      <c r="L846" s="6" t="s">
        <v>3354</v>
      </c>
      <c r="M846" s="6" t="s">
        <v>131</v>
      </c>
      <c r="O846" t="e">
        <f>VLOOKUP(C846,#REF!,12,FALSE)</f>
        <v>#REF!</v>
      </c>
    </row>
    <row r="847" spans="1:15">
      <c r="A847" s="17">
        <v>846</v>
      </c>
      <c r="B847" s="6" t="s">
        <v>1529</v>
      </c>
      <c r="C847" s="7">
        <v>2022007017</v>
      </c>
      <c r="D847" s="7">
        <v>2201010351</v>
      </c>
      <c r="E847" s="7" t="s">
        <v>1814</v>
      </c>
      <c r="F847" s="17" t="e">
        <f>VLOOKUP('2501_MIS '!C847,'[1]Fast Track '!B:K,10,FALSE)</f>
        <v>#N/A</v>
      </c>
      <c r="G847" s="17" t="str">
        <f>VLOOKUP(C847,[2]Sheet7!A:D,4,FALSE)</f>
        <v>Promoted</v>
      </c>
      <c r="H847" s="45" t="s">
        <v>3644</v>
      </c>
      <c r="I847" s="26" t="s">
        <v>3672</v>
      </c>
      <c r="J847" s="6" t="s">
        <v>1530</v>
      </c>
      <c r="K847" s="6" t="s">
        <v>3477</v>
      </c>
      <c r="L847" s="6" t="s">
        <v>3478</v>
      </c>
      <c r="M847" s="6" t="s">
        <v>131</v>
      </c>
      <c r="O847" t="e">
        <f>VLOOKUP(C847,#REF!,12,FALSE)</f>
        <v>#REF!</v>
      </c>
    </row>
    <row r="848" spans="1:15">
      <c r="A848" s="17">
        <v>847</v>
      </c>
      <c r="B848" s="6" t="s">
        <v>1513</v>
      </c>
      <c r="C848" s="7">
        <v>2022001453</v>
      </c>
      <c r="D848" s="7">
        <v>2201010766</v>
      </c>
      <c r="E848" s="7" t="s">
        <v>1814</v>
      </c>
      <c r="F848" s="17" t="e">
        <f>VLOOKUP('2501_MIS '!C848,'[1]Fast Track '!B:K,10,FALSE)</f>
        <v>#N/A</v>
      </c>
      <c r="G848" s="17" t="str">
        <f>VLOOKUP(C848,[2]Sheet7!A:D,4,FALSE)</f>
        <v>Promoted</v>
      </c>
      <c r="H848" s="45" t="s">
        <v>3644</v>
      </c>
      <c r="I848" s="26" t="s">
        <v>3672</v>
      </c>
      <c r="J848" s="6" t="s">
        <v>1514</v>
      </c>
      <c r="K848" s="6" t="s">
        <v>3479</v>
      </c>
      <c r="L848" s="6" t="s">
        <v>3480</v>
      </c>
      <c r="M848" s="6" t="s">
        <v>131</v>
      </c>
      <c r="O848" t="e">
        <f>VLOOKUP(C848,#REF!,12,FALSE)</f>
        <v>#REF!</v>
      </c>
    </row>
    <row r="849" spans="1:15">
      <c r="A849" s="17">
        <v>848</v>
      </c>
      <c r="B849" s="6" t="s">
        <v>1531</v>
      </c>
      <c r="C849" s="7">
        <v>2022007457</v>
      </c>
      <c r="D849" s="7">
        <v>2201010980</v>
      </c>
      <c r="E849" s="7" t="s">
        <v>1814</v>
      </c>
      <c r="F849" s="17" t="e">
        <f>VLOOKUP('2501_MIS '!C849,'[1]Fast Track '!B:K,10,FALSE)</f>
        <v>#N/A</v>
      </c>
      <c r="G849" s="17" t="str">
        <f>VLOOKUP(C849,[2]Sheet7!A:D,4,FALSE)</f>
        <v>Not Promoted</v>
      </c>
      <c r="H849" s="45" t="s">
        <v>3644</v>
      </c>
      <c r="I849" s="26" t="s">
        <v>3672</v>
      </c>
      <c r="J849" s="6" t="s">
        <v>1532</v>
      </c>
      <c r="K849" s="6" t="s">
        <v>3481</v>
      </c>
      <c r="L849" s="6" t="s">
        <v>3482</v>
      </c>
      <c r="M849" s="6" t="s">
        <v>131</v>
      </c>
      <c r="O849" t="e">
        <f>VLOOKUP(C849,#REF!,12,FALSE)</f>
        <v>#REF!</v>
      </c>
    </row>
    <row r="850" spans="1:15">
      <c r="A850" s="17">
        <v>849</v>
      </c>
      <c r="B850" s="6" t="s">
        <v>1370</v>
      </c>
      <c r="C850" s="7">
        <v>2022513156</v>
      </c>
      <c r="D850" s="7">
        <v>2201010699</v>
      </c>
      <c r="E850" s="7" t="s">
        <v>3646</v>
      </c>
      <c r="F850" s="17" t="e">
        <f>VLOOKUP('2501_MIS '!C850,'[1]Fast Track '!B:K,10,FALSE)</f>
        <v>#N/A</v>
      </c>
      <c r="G850" s="17" t="str">
        <f>VLOOKUP(C850,[2]Sheet7!A:D,4,FALSE)</f>
        <v>Promoted</v>
      </c>
      <c r="H850" s="45" t="s">
        <v>3645</v>
      </c>
      <c r="I850" s="26" t="s">
        <v>3673</v>
      </c>
      <c r="J850" s="6" t="s">
        <v>1371</v>
      </c>
      <c r="K850" s="6" t="s">
        <v>3225</v>
      </c>
      <c r="L850" s="6" t="s">
        <v>3226</v>
      </c>
      <c r="M850" s="6" t="s">
        <v>1372</v>
      </c>
      <c r="O850" t="e">
        <f>VLOOKUP(C850,#REF!,12,FALSE)</f>
        <v>#REF!</v>
      </c>
    </row>
    <row r="851" spans="1:15">
      <c r="A851" s="17">
        <v>850</v>
      </c>
      <c r="B851" s="6" t="s">
        <v>1468</v>
      </c>
      <c r="C851" s="7">
        <v>2022476818</v>
      </c>
      <c r="D851" s="7">
        <v>2201010171</v>
      </c>
      <c r="E851" s="7" t="s">
        <v>3646</v>
      </c>
      <c r="F851" s="17" t="e">
        <f>VLOOKUP('2501_MIS '!C851,'[1]Fast Track '!B:K,10,FALSE)</f>
        <v>#N/A</v>
      </c>
      <c r="G851" s="17" t="str">
        <f>VLOOKUP(C851,[2]Sheet7!A:D,4,FALSE)</f>
        <v>Promoted</v>
      </c>
      <c r="H851" s="45" t="s">
        <v>3645</v>
      </c>
      <c r="I851" s="26" t="s">
        <v>3673</v>
      </c>
      <c r="J851" s="6" t="s">
        <v>1469</v>
      </c>
      <c r="K851" s="6" t="s">
        <v>3341</v>
      </c>
      <c r="L851" s="6" t="s">
        <v>3342</v>
      </c>
      <c r="M851" s="6" t="s">
        <v>1372</v>
      </c>
      <c r="O851" t="e">
        <f>VLOOKUP(C851,#REF!,12,FALSE)</f>
        <v>#REF!</v>
      </c>
    </row>
    <row r="852" spans="1:15">
      <c r="A852" s="17">
        <v>851</v>
      </c>
      <c r="B852" s="6" t="s">
        <v>1464</v>
      </c>
      <c r="C852" s="7">
        <v>2022431320</v>
      </c>
      <c r="D852" s="7">
        <v>2201010259</v>
      </c>
      <c r="E852" s="7" t="s">
        <v>3646</v>
      </c>
      <c r="F852" s="17" t="e">
        <f>VLOOKUP('2501_MIS '!C852,'[1]Fast Track '!B:K,10,FALSE)</f>
        <v>#N/A</v>
      </c>
      <c r="G852" s="17" t="str">
        <f>VLOOKUP(C852,[2]Sheet7!A:D,4,FALSE)</f>
        <v>Promoted</v>
      </c>
      <c r="H852" s="45" t="s">
        <v>3645</v>
      </c>
      <c r="I852" s="26" t="s">
        <v>3673</v>
      </c>
      <c r="J852" s="6" t="s">
        <v>1465</v>
      </c>
      <c r="K852" s="6" t="s">
        <v>3343</v>
      </c>
      <c r="L852" s="6" t="s">
        <v>3344</v>
      </c>
      <c r="M852" s="6" t="s">
        <v>1372</v>
      </c>
      <c r="O852" t="e">
        <f>VLOOKUP(C852,#REF!,12,FALSE)</f>
        <v>#REF!</v>
      </c>
    </row>
    <row r="853" spans="1:15">
      <c r="A853" s="17">
        <v>852</v>
      </c>
      <c r="B853" s="6" t="s">
        <v>1421</v>
      </c>
      <c r="C853" s="7">
        <v>2022006750</v>
      </c>
      <c r="D853" s="7">
        <v>2201010282</v>
      </c>
      <c r="E853" s="7" t="s">
        <v>3646</v>
      </c>
      <c r="F853" s="17" t="str">
        <f>VLOOKUP('2501_MIS '!C853,'[1]Fast Track '!B:K,10,FALSE)</f>
        <v>Fast learning Mode</v>
      </c>
      <c r="G853" s="17" t="str">
        <f>VLOOKUP(C853,[2]Sheet7!A:D,4,FALSE)</f>
        <v>Promoted</v>
      </c>
      <c r="H853" s="45" t="s">
        <v>3645</v>
      </c>
      <c r="I853" s="26" t="s">
        <v>3673</v>
      </c>
      <c r="J853" s="6" t="s">
        <v>1422</v>
      </c>
      <c r="K853" s="6" t="s">
        <v>3345</v>
      </c>
      <c r="L853" s="6" t="s">
        <v>3346</v>
      </c>
      <c r="M853" s="6" t="s">
        <v>1372</v>
      </c>
      <c r="O853" t="e">
        <f>VLOOKUP(C853,#REF!,12,FALSE)</f>
        <v>#REF!</v>
      </c>
    </row>
    <row r="854" spans="1:15">
      <c r="A854" s="17">
        <v>853</v>
      </c>
      <c r="B854" s="6" t="s">
        <v>1409</v>
      </c>
      <c r="C854" s="7">
        <v>2022006106</v>
      </c>
      <c r="D854" s="7">
        <v>2201010704</v>
      </c>
      <c r="E854" s="7" t="s">
        <v>3646</v>
      </c>
      <c r="F854" s="17" t="e">
        <f>VLOOKUP('2501_MIS '!C854,'[1]Fast Track '!B:K,10,FALSE)</f>
        <v>#N/A</v>
      </c>
      <c r="G854" s="17" t="str">
        <f>VLOOKUP(C854,[2]Sheet7!A:D,4,FALSE)</f>
        <v>Promoted</v>
      </c>
      <c r="H854" s="45" t="s">
        <v>3645</v>
      </c>
      <c r="I854" s="26" t="s">
        <v>3673</v>
      </c>
      <c r="J854" s="6" t="s">
        <v>1410</v>
      </c>
      <c r="K854" s="6" t="s">
        <v>3347</v>
      </c>
      <c r="L854" s="6" t="s">
        <v>3348</v>
      </c>
      <c r="M854" s="6" t="s">
        <v>1372</v>
      </c>
      <c r="O854" t="e">
        <f>VLOOKUP(C854,#REF!,12,FALSE)</f>
        <v>#REF!</v>
      </c>
    </row>
    <row r="855" spans="1:15">
      <c r="A855" s="17">
        <v>854</v>
      </c>
      <c r="B855" s="6" t="s">
        <v>1397</v>
      </c>
      <c r="C855" s="7">
        <v>2022003592</v>
      </c>
      <c r="D855" s="7">
        <v>2201010722</v>
      </c>
      <c r="E855" s="7" t="s">
        <v>3646</v>
      </c>
      <c r="F855" s="17" t="e">
        <f>VLOOKUP('2501_MIS '!C855,'[1]Fast Track '!B:K,10,FALSE)</f>
        <v>#N/A</v>
      </c>
      <c r="G855" s="17" t="str">
        <f>VLOOKUP(C855,[2]Sheet7!A:D,4,FALSE)</f>
        <v>Promoted</v>
      </c>
      <c r="H855" s="45" t="s">
        <v>3645</v>
      </c>
      <c r="I855" s="26" t="s">
        <v>3673</v>
      </c>
      <c r="J855" s="6" t="s">
        <v>1398</v>
      </c>
      <c r="K855" s="6" t="s">
        <v>3349</v>
      </c>
      <c r="L855" s="6" t="s">
        <v>3350</v>
      </c>
      <c r="M855" s="6" t="s">
        <v>1372</v>
      </c>
      <c r="O855" t="e">
        <f>VLOOKUP(C855,#REF!,12,FALSE)</f>
        <v>#REF!</v>
      </c>
    </row>
    <row r="856" spans="1:15">
      <c r="A856" s="17">
        <v>855</v>
      </c>
      <c r="B856" s="6" t="s">
        <v>1484</v>
      </c>
      <c r="C856" s="7">
        <v>2022579523</v>
      </c>
      <c r="D856" s="7">
        <v>2201010979</v>
      </c>
      <c r="E856" s="7" t="s">
        <v>3646</v>
      </c>
      <c r="F856" s="17" t="str">
        <f>VLOOKUP('2501_MIS '!C856,'[1]Fast Track '!B:K,10,FALSE)</f>
        <v>Fast learning Mode</v>
      </c>
      <c r="G856" s="17" t="str">
        <f>VLOOKUP(C856,[2]Sheet7!A:D,4,FALSE)</f>
        <v>Promoted</v>
      </c>
      <c r="H856" s="45" t="s">
        <v>3645</v>
      </c>
      <c r="I856" s="26" t="s">
        <v>3673</v>
      </c>
      <c r="J856" s="6" t="s">
        <v>1485</v>
      </c>
      <c r="K856" s="6" t="s">
        <v>3351</v>
      </c>
      <c r="L856" s="6" t="s">
        <v>3352</v>
      </c>
      <c r="M856" s="6" t="s">
        <v>1372</v>
      </c>
      <c r="O856" t="e">
        <f>VLOOKUP(C856,#REF!,12,FALSE)</f>
        <v>#REF!</v>
      </c>
    </row>
    <row r="857" spans="1:15">
      <c r="A857" s="17">
        <v>856</v>
      </c>
      <c r="B857" s="6" t="s">
        <v>1443</v>
      </c>
      <c r="C857" s="7">
        <v>2022306619</v>
      </c>
      <c r="D857" s="7">
        <v>2201010044</v>
      </c>
      <c r="E857" s="7" t="s">
        <v>3646</v>
      </c>
      <c r="F857" s="17" t="e">
        <f>VLOOKUP('2501_MIS '!C857,'[1]Fast Track '!B:K,10,FALSE)</f>
        <v>#N/A</v>
      </c>
      <c r="G857" s="17" t="str">
        <f>VLOOKUP(C857,[2]Sheet7!A:D,4,FALSE)</f>
        <v>Promoted</v>
      </c>
      <c r="H857" s="45" t="s">
        <v>3645</v>
      </c>
      <c r="I857" s="26" t="s">
        <v>3673</v>
      </c>
      <c r="J857" s="6" t="s">
        <v>1444</v>
      </c>
      <c r="K857" s="6" t="s">
        <v>3447</v>
      </c>
      <c r="L857" s="6" t="s">
        <v>3448</v>
      </c>
      <c r="M857" s="6" t="s">
        <v>1372</v>
      </c>
      <c r="O857" t="e">
        <f>VLOOKUP(C857,#REF!,12,FALSE)</f>
        <v>#REF!</v>
      </c>
    </row>
    <row r="858" spans="1:15">
      <c r="A858" s="17">
        <v>857</v>
      </c>
      <c r="B858" s="6" t="s">
        <v>1523</v>
      </c>
      <c r="C858" s="7">
        <v>2022005043</v>
      </c>
      <c r="D858" s="7">
        <v>2201010054</v>
      </c>
      <c r="E858" s="7" t="s">
        <v>3646</v>
      </c>
      <c r="F858" s="17" t="e">
        <f>VLOOKUP('2501_MIS '!C858,'[1]Fast Track '!B:K,10,FALSE)</f>
        <v>#N/A</v>
      </c>
      <c r="G858" s="17" t="str">
        <f>VLOOKUP(C858,[2]Sheet7!A:D,4,FALSE)</f>
        <v>Promoted</v>
      </c>
      <c r="H858" s="45" t="s">
        <v>3645</v>
      </c>
      <c r="I858" s="26" t="s">
        <v>3673</v>
      </c>
      <c r="J858" s="6" t="s">
        <v>1524</v>
      </c>
      <c r="K858" s="6" t="s">
        <v>3449</v>
      </c>
      <c r="L858" s="6" t="s">
        <v>3450</v>
      </c>
      <c r="M858" s="6" t="s">
        <v>1372</v>
      </c>
      <c r="O858" t="e">
        <f>VLOOKUP(C858,#REF!,12,FALSE)</f>
        <v>#REF!</v>
      </c>
    </row>
    <row r="859" spans="1:15">
      <c r="A859" s="17">
        <v>858</v>
      </c>
      <c r="B859" s="6" t="s">
        <v>1411</v>
      </c>
      <c r="C859" s="7">
        <v>2022006195</v>
      </c>
      <c r="D859" s="7">
        <v>2201010089</v>
      </c>
      <c r="E859" s="7" t="s">
        <v>3646</v>
      </c>
      <c r="F859" s="17" t="e">
        <f>VLOOKUP('2501_MIS '!C859,'[1]Fast Track '!B:K,10,FALSE)</f>
        <v>#N/A</v>
      </c>
      <c r="G859" s="17" t="str">
        <f>VLOOKUP(C859,[2]Sheet7!A:D,4,FALSE)</f>
        <v>Promoted</v>
      </c>
      <c r="H859" s="45" t="s">
        <v>3645</v>
      </c>
      <c r="I859" s="26" t="s">
        <v>3673</v>
      </c>
      <c r="J859" s="6" t="s">
        <v>1412</v>
      </c>
      <c r="K859" s="6" t="s">
        <v>3451</v>
      </c>
      <c r="L859" s="6" t="s">
        <v>3452</v>
      </c>
      <c r="M859" s="6" t="s">
        <v>1372</v>
      </c>
      <c r="O859" t="e">
        <f>VLOOKUP(C859,#REF!,12,FALSE)</f>
        <v>#REF!</v>
      </c>
    </row>
    <row r="860" spans="1:15">
      <c r="A860" s="17">
        <v>859</v>
      </c>
      <c r="B860" s="6" t="s">
        <v>1482</v>
      </c>
      <c r="C860" s="7">
        <v>2022569459</v>
      </c>
      <c r="D860" s="7">
        <v>2201010117</v>
      </c>
      <c r="E860" s="7" t="s">
        <v>3646</v>
      </c>
      <c r="F860" s="17" t="e">
        <f>VLOOKUP('2501_MIS '!C860,'[1]Fast Track '!B:K,10,FALSE)</f>
        <v>#N/A</v>
      </c>
      <c r="G860" s="17" t="str">
        <f>VLOOKUP(C860,[2]Sheet7!A:D,4,FALSE)</f>
        <v>Promoted</v>
      </c>
      <c r="H860" s="45" t="s">
        <v>3645</v>
      </c>
      <c r="I860" s="26" t="s">
        <v>3673</v>
      </c>
      <c r="J860" s="6" t="s">
        <v>1483</v>
      </c>
      <c r="K860" s="6" t="s">
        <v>3453</v>
      </c>
      <c r="L860" s="6" t="s">
        <v>3454</v>
      </c>
      <c r="M860" s="6" t="s">
        <v>1372</v>
      </c>
      <c r="O860" t="e">
        <f>VLOOKUP(C860,#REF!,12,FALSE)</f>
        <v>#REF!</v>
      </c>
    </row>
    <row r="861" spans="1:15">
      <c r="A861" s="17">
        <v>860</v>
      </c>
      <c r="B861" s="6" t="s">
        <v>1419</v>
      </c>
      <c r="C861" s="7">
        <v>2022006607</v>
      </c>
      <c r="D861" s="7">
        <v>2201010137</v>
      </c>
      <c r="E861" s="7" t="s">
        <v>3646</v>
      </c>
      <c r="F861" s="17" t="e">
        <f>VLOOKUP('2501_MIS '!C861,'[1]Fast Track '!B:K,10,FALSE)</f>
        <v>#N/A</v>
      </c>
      <c r="G861" s="17" t="str">
        <f>VLOOKUP(C861,[2]Sheet7!A:D,4,FALSE)</f>
        <v>Promoted</v>
      </c>
      <c r="H861" s="45" t="s">
        <v>3645</v>
      </c>
      <c r="I861" s="26" t="s">
        <v>3673</v>
      </c>
      <c r="J861" s="6" t="s">
        <v>1420</v>
      </c>
      <c r="K861" s="6" t="s">
        <v>3455</v>
      </c>
      <c r="L861" s="6" t="s">
        <v>3456</v>
      </c>
      <c r="M861" s="6" t="s">
        <v>1372</v>
      </c>
      <c r="O861" t="e">
        <f>VLOOKUP(C861,#REF!,12,FALSE)</f>
        <v>#REF!</v>
      </c>
    </row>
    <row r="862" spans="1:15">
      <c r="A862" s="17">
        <v>861</v>
      </c>
      <c r="B862" s="6" t="s">
        <v>1456</v>
      </c>
      <c r="C862" s="7">
        <v>2022394539</v>
      </c>
      <c r="D862" s="7">
        <v>2201010148</v>
      </c>
      <c r="E862" s="7" t="s">
        <v>3646</v>
      </c>
      <c r="F862" s="17" t="e">
        <f>VLOOKUP('2501_MIS '!C862,'[1]Fast Track '!B:K,10,FALSE)</f>
        <v>#N/A</v>
      </c>
      <c r="G862" s="17" t="str">
        <f>VLOOKUP(C862,[2]Sheet7!A:D,4,FALSE)</f>
        <v>Promoted</v>
      </c>
      <c r="H862" s="45" t="s">
        <v>3645</v>
      </c>
      <c r="I862" s="26" t="s">
        <v>3673</v>
      </c>
      <c r="J862" s="6" t="s">
        <v>1457</v>
      </c>
      <c r="K862" s="6" t="s">
        <v>3457</v>
      </c>
      <c r="L862" s="6" t="s">
        <v>3458</v>
      </c>
      <c r="M862" s="6" t="s">
        <v>1372</v>
      </c>
      <c r="O862" t="e">
        <f>VLOOKUP(C862,#REF!,12,FALSE)</f>
        <v>#REF!</v>
      </c>
    </row>
    <row r="863" spans="1:15">
      <c r="A863" s="17">
        <v>862</v>
      </c>
      <c r="B863" s="6" t="s">
        <v>1449</v>
      </c>
      <c r="C863" s="7">
        <v>2022330517</v>
      </c>
      <c r="D863" s="7">
        <v>2201010212</v>
      </c>
      <c r="E863" s="7" t="s">
        <v>3646</v>
      </c>
      <c r="F863" s="17" t="e">
        <f>VLOOKUP('2501_MIS '!C863,'[1]Fast Track '!B:K,10,FALSE)</f>
        <v>#N/A</v>
      </c>
      <c r="G863" s="17" t="str">
        <f>VLOOKUP(C863,[2]Sheet7!A:D,4,FALSE)</f>
        <v>Promoted</v>
      </c>
      <c r="H863" s="45" t="s">
        <v>3645</v>
      </c>
      <c r="I863" s="26" t="s">
        <v>3673</v>
      </c>
      <c r="J863" s="6" t="s">
        <v>1450</v>
      </c>
      <c r="K863" s="6" t="s">
        <v>3459</v>
      </c>
      <c r="L863" s="6" t="s">
        <v>3460</v>
      </c>
      <c r="M863" s="6" t="s">
        <v>1372</v>
      </c>
      <c r="O863" t="e">
        <f>VLOOKUP(C863,#REF!,12,FALSE)</f>
        <v>#REF!</v>
      </c>
    </row>
    <row r="864" spans="1:15">
      <c r="A864" s="17">
        <v>863</v>
      </c>
      <c r="B864" s="6" t="s">
        <v>1480</v>
      </c>
      <c r="C864" s="7">
        <v>2022560746</v>
      </c>
      <c r="D864" s="7">
        <v>2201010219</v>
      </c>
      <c r="E864" s="7" t="s">
        <v>3646</v>
      </c>
      <c r="F864" s="17" t="e">
        <f>VLOOKUP('2501_MIS '!C864,'[1]Fast Track '!B:K,10,FALSE)</f>
        <v>#N/A</v>
      </c>
      <c r="G864" s="17" t="str">
        <f>VLOOKUP(C864,[2]Sheet7!A:D,4,FALSE)</f>
        <v>Promoted</v>
      </c>
      <c r="H864" s="45" t="s">
        <v>3645</v>
      </c>
      <c r="I864" s="26" t="s">
        <v>3673</v>
      </c>
      <c r="J864" s="6" t="s">
        <v>1481</v>
      </c>
      <c r="K864" s="6" t="s">
        <v>3461</v>
      </c>
      <c r="L864" s="6" t="s">
        <v>3462</v>
      </c>
      <c r="M864" s="6" t="s">
        <v>1372</v>
      </c>
      <c r="O864" t="e">
        <f>VLOOKUP(C864,#REF!,12,FALSE)</f>
        <v>#REF!</v>
      </c>
    </row>
    <row r="865" spans="1:15">
      <c r="A865" s="17">
        <v>864</v>
      </c>
      <c r="B865" s="6" t="s">
        <v>1402</v>
      </c>
      <c r="C865" s="7">
        <v>2022004439</v>
      </c>
      <c r="D865" s="7">
        <v>2201010221</v>
      </c>
      <c r="E865" s="7" t="s">
        <v>3646</v>
      </c>
      <c r="F865" s="17" t="str">
        <f>VLOOKUP('2501_MIS '!C865,'[1]Fast Track '!B:K,10,FALSE)</f>
        <v>Fast learning Mode</v>
      </c>
      <c r="G865" s="17" t="str">
        <f>VLOOKUP(C865,[2]Sheet7!A:D,4,FALSE)</f>
        <v>Promoted</v>
      </c>
      <c r="H865" s="45" t="s">
        <v>3645</v>
      </c>
      <c r="I865" s="26" t="s">
        <v>3673</v>
      </c>
      <c r="J865" s="6" t="s">
        <v>1403</v>
      </c>
      <c r="K865" s="6" t="s">
        <v>3463</v>
      </c>
      <c r="L865" s="6" t="s">
        <v>3464</v>
      </c>
      <c r="M865" s="6" t="s">
        <v>1372</v>
      </c>
      <c r="O865" t="e">
        <f>VLOOKUP(C865,#REF!,12,FALSE)</f>
        <v>#REF!</v>
      </c>
    </row>
    <row r="866" spans="1:15">
      <c r="A866" s="17">
        <v>865</v>
      </c>
      <c r="B866" s="6" t="s">
        <v>1574</v>
      </c>
      <c r="C866" s="7">
        <v>2022514043</v>
      </c>
      <c r="D866" s="7">
        <v>2201010390</v>
      </c>
      <c r="E866" s="7" t="s">
        <v>3646</v>
      </c>
      <c r="F866" s="17" t="e">
        <f>VLOOKUP('2501_MIS '!C866,'[1]Fast Track '!B:K,10,FALSE)</f>
        <v>#N/A</v>
      </c>
      <c r="G866" s="17" t="str">
        <f>VLOOKUP(C866,[2]Sheet7!A:D,4,FALSE)</f>
        <v>Promoted</v>
      </c>
      <c r="H866" s="45" t="s">
        <v>3645</v>
      </c>
      <c r="I866" s="26" t="s">
        <v>3673</v>
      </c>
      <c r="J866" s="6" t="s">
        <v>1575</v>
      </c>
      <c r="K866" s="6" t="s">
        <v>3465</v>
      </c>
      <c r="L866" s="6" t="s">
        <v>3466</v>
      </c>
      <c r="M866" s="6" t="s">
        <v>1372</v>
      </c>
      <c r="O866" t="e">
        <f>VLOOKUP(C866,#REF!,12,FALSE)</f>
        <v>#REF!</v>
      </c>
    </row>
    <row r="867" spans="1:15">
      <c r="A867" s="17">
        <v>866</v>
      </c>
      <c r="B867" s="6" t="s">
        <v>1572</v>
      </c>
      <c r="C867" s="7">
        <v>2022514039</v>
      </c>
      <c r="D867" s="7">
        <v>2201010393</v>
      </c>
      <c r="E867" s="7" t="s">
        <v>3646</v>
      </c>
      <c r="F867" s="17" t="e">
        <f>VLOOKUP('2501_MIS '!C867,'[1]Fast Track '!B:K,10,FALSE)</f>
        <v>#N/A</v>
      </c>
      <c r="G867" s="17" t="str">
        <f>VLOOKUP(C867,[2]Sheet7!A:D,4,FALSE)</f>
        <v>Promoted</v>
      </c>
      <c r="H867" s="45" t="s">
        <v>3645</v>
      </c>
      <c r="I867" s="26" t="s">
        <v>3673</v>
      </c>
      <c r="J867" s="6" t="s">
        <v>1573</v>
      </c>
      <c r="K867" s="6" t="s">
        <v>3467</v>
      </c>
      <c r="L867" s="6" t="s">
        <v>3468</v>
      </c>
      <c r="M867" s="6" t="s">
        <v>1372</v>
      </c>
      <c r="O867" t="e">
        <f>VLOOKUP(C867,#REF!,12,FALSE)</f>
        <v>#REF!</v>
      </c>
    </row>
    <row r="868" spans="1:15">
      <c r="A868" s="17">
        <v>867</v>
      </c>
      <c r="B868" s="6" t="s">
        <v>306</v>
      </c>
      <c r="C868" s="7">
        <v>2022489962</v>
      </c>
      <c r="D868" s="7">
        <v>2201010519</v>
      </c>
      <c r="E868" s="7" t="s">
        <v>3646</v>
      </c>
      <c r="F868" s="17" t="e">
        <f>VLOOKUP('2501_MIS '!C868,'[1]Fast Track '!B:K,10,FALSE)</f>
        <v>#N/A</v>
      </c>
      <c r="G868" s="17" t="str">
        <f>VLOOKUP(C868,[2]Sheet7!A:D,4,FALSE)</f>
        <v>Promoted</v>
      </c>
      <c r="H868" s="45" t="s">
        <v>3645</v>
      </c>
      <c r="I868" s="26" t="s">
        <v>3673</v>
      </c>
      <c r="J868" s="6" t="s">
        <v>1473</v>
      </c>
      <c r="K868" s="6" t="s">
        <v>3469</v>
      </c>
      <c r="L868" s="6" t="s">
        <v>3470</v>
      </c>
      <c r="M868" s="6" t="s">
        <v>1372</v>
      </c>
      <c r="O868" t="e">
        <f>VLOOKUP(C868,#REF!,12,FALSE)</f>
        <v>#REF!</v>
      </c>
    </row>
    <row r="869" spans="1:15">
      <c r="A869" s="17">
        <v>868</v>
      </c>
      <c r="B869" s="6" t="s">
        <v>1445</v>
      </c>
      <c r="C869" s="7">
        <v>2022307728</v>
      </c>
      <c r="D869" s="7">
        <v>2201010544</v>
      </c>
      <c r="E869" s="7" t="s">
        <v>3646</v>
      </c>
      <c r="F869" s="17" t="e">
        <f>VLOOKUP('2501_MIS '!C869,'[1]Fast Track '!B:K,10,FALSE)</f>
        <v>#N/A</v>
      </c>
      <c r="G869" s="17" t="str">
        <f>VLOOKUP(C869,[2]Sheet7!A:D,4,FALSE)</f>
        <v>Promoted</v>
      </c>
      <c r="H869" s="45" t="s">
        <v>3645</v>
      </c>
      <c r="I869" s="26" t="s">
        <v>3673</v>
      </c>
      <c r="J869" s="6" t="s">
        <v>1446</v>
      </c>
      <c r="K869" s="6" t="s">
        <v>3471</v>
      </c>
      <c r="L869" s="6" t="s">
        <v>3472</v>
      </c>
      <c r="M869" s="6" t="s">
        <v>1372</v>
      </c>
      <c r="O869" t="e">
        <f>VLOOKUP(C869,#REF!,12,FALSE)</f>
        <v>#REF!</v>
      </c>
    </row>
    <row r="870" spans="1:15">
      <c r="A870" s="17">
        <v>869</v>
      </c>
      <c r="B870" s="6" t="s">
        <v>1541</v>
      </c>
      <c r="C870" s="7">
        <v>2022316318</v>
      </c>
      <c r="D870" s="7">
        <v>2201010765</v>
      </c>
      <c r="E870" s="7" t="s">
        <v>3646</v>
      </c>
      <c r="F870" s="17" t="str">
        <f>VLOOKUP('2501_MIS '!C870,'[1]Fast Track '!B:K,10,FALSE)</f>
        <v>Fast learning Mode</v>
      </c>
      <c r="G870" s="17" t="str">
        <f>VLOOKUP(C870,[2]Sheet7!A:D,4,FALSE)</f>
        <v>Promoted</v>
      </c>
      <c r="H870" s="45" t="s">
        <v>3645</v>
      </c>
      <c r="I870" s="26" t="s">
        <v>3673</v>
      </c>
      <c r="J870" s="6" t="s">
        <v>1542</v>
      </c>
      <c r="K870" s="6" t="s">
        <v>3473</v>
      </c>
      <c r="L870" s="6" t="s">
        <v>3474</v>
      </c>
      <c r="M870" s="6" t="s">
        <v>1372</v>
      </c>
      <c r="O870" t="e">
        <f>VLOOKUP(C870,#REF!,12,FALSE)</f>
        <v>#REF!</v>
      </c>
    </row>
    <row r="871" spans="1:15">
      <c r="A871" s="17">
        <v>870</v>
      </c>
      <c r="B871" s="6" t="s">
        <v>375</v>
      </c>
      <c r="C871" s="7">
        <v>2022005003</v>
      </c>
      <c r="D871" s="7">
        <v>2201010795</v>
      </c>
      <c r="E871" s="7" t="s">
        <v>3646</v>
      </c>
      <c r="F871" s="17" t="e">
        <f>VLOOKUP('2501_MIS '!C871,'[1]Fast Track '!B:K,10,FALSE)</f>
        <v>#N/A</v>
      </c>
      <c r="G871" s="17" t="str">
        <f>VLOOKUP(C871,[2]Sheet7!A:D,4,FALSE)</f>
        <v>Promoted</v>
      </c>
      <c r="H871" s="45" t="s">
        <v>3645</v>
      </c>
      <c r="I871" s="26" t="s">
        <v>3673</v>
      </c>
      <c r="J871" s="6" t="s">
        <v>1408</v>
      </c>
      <c r="K871" s="6" t="s">
        <v>3475</v>
      </c>
      <c r="L871" s="6" t="s">
        <v>3476</v>
      </c>
      <c r="M871" s="6" t="s">
        <v>1372</v>
      </c>
      <c r="O871" t="e">
        <f>VLOOKUP(C871,#REF!,12,FALSE)</f>
        <v>#REF!</v>
      </c>
    </row>
    <row r="872" spans="1:15">
      <c r="A872" s="17">
        <v>871</v>
      </c>
      <c r="B872" s="6" t="s">
        <v>1615</v>
      </c>
      <c r="C872" s="7">
        <v>2022307102</v>
      </c>
      <c r="D872" s="7">
        <v>2201010145</v>
      </c>
      <c r="E872" s="7" t="s">
        <v>3646</v>
      </c>
      <c r="F872" s="17" t="e">
        <f>VLOOKUP('2501_MIS '!C872,'[1]Fast Track '!B:K,10,FALSE)</f>
        <v>#N/A</v>
      </c>
      <c r="G872" s="17" t="str">
        <f>VLOOKUP(C872,[2]Sheet7!A:D,4,FALSE)</f>
        <v>Promoted</v>
      </c>
      <c r="H872" s="45" t="s">
        <v>3645</v>
      </c>
      <c r="I872" s="26" t="s">
        <v>3673</v>
      </c>
      <c r="J872" s="6" t="s">
        <v>1616</v>
      </c>
      <c r="K872" s="6" t="s">
        <v>3503</v>
      </c>
      <c r="L872" s="6" t="s">
        <v>3504</v>
      </c>
      <c r="M872" s="6" t="s">
        <v>1372</v>
      </c>
      <c r="O872" t="e">
        <f>VLOOKUP(C872,#REF!,12,FALSE)</f>
        <v>#REF!</v>
      </c>
    </row>
    <row r="873" spans="1:15">
      <c r="A873" s="17">
        <v>872</v>
      </c>
      <c r="B873" s="6" t="s">
        <v>1406</v>
      </c>
      <c r="C873" s="7">
        <v>2022004886</v>
      </c>
      <c r="D873" s="7">
        <v>2201010218</v>
      </c>
      <c r="E873" s="7" t="s">
        <v>3646</v>
      </c>
      <c r="F873" s="17" t="e">
        <f>VLOOKUP('2501_MIS '!C873,'[1]Fast Track '!B:K,10,FALSE)</f>
        <v>#N/A</v>
      </c>
      <c r="G873" s="17" t="str">
        <f>VLOOKUP(C873,[2]Sheet7!A:D,4,FALSE)</f>
        <v>Promoted</v>
      </c>
      <c r="H873" s="45" t="s">
        <v>3645</v>
      </c>
      <c r="I873" s="26" t="s">
        <v>3673</v>
      </c>
      <c r="J873" s="6" t="s">
        <v>1407</v>
      </c>
      <c r="K873" s="6" t="s">
        <v>3505</v>
      </c>
      <c r="L873" s="6" t="s">
        <v>3506</v>
      </c>
      <c r="M873" s="6" t="s">
        <v>1372</v>
      </c>
      <c r="O873" t="e">
        <f>VLOOKUP(C873,#REF!,12,FALSE)</f>
        <v>#REF!</v>
      </c>
    </row>
    <row r="874" spans="1:15">
      <c r="A874" s="17">
        <v>873</v>
      </c>
      <c r="B874" s="6" t="s">
        <v>1474</v>
      </c>
      <c r="C874" s="7">
        <v>2022494267</v>
      </c>
      <c r="D874" s="7">
        <v>2201010473</v>
      </c>
      <c r="E874" s="7" t="s">
        <v>3646</v>
      </c>
      <c r="F874" s="17" t="e">
        <f>VLOOKUP('2501_MIS '!C874,'[1]Fast Track '!B:K,10,FALSE)</f>
        <v>#N/A</v>
      </c>
      <c r="G874" s="17" t="str">
        <f>VLOOKUP(C874,[2]Sheet7!A:D,4,FALSE)</f>
        <v>Promoted</v>
      </c>
      <c r="H874" s="45" t="s">
        <v>3645</v>
      </c>
      <c r="I874" s="26" t="s">
        <v>3673</v>
      </c>
      <c r="J874" s="6" t="s">
        <v>1475</v>
      </c>
      <c r="K874" s="6" t="s">
        <v>3507</v>
      </c>
      <c r="L874" s="6" t="s">
        <v>3508</v>
      </c>
      <c r="M874" s="6" t="s">
        <v>1372</v>
      </c>
      <c r="O874" t="e">
        <f>VLOOKUP(C874,#REF!,12,FALSE)</f>
        <v>#REF!</v>
      </c>
    </row>
    <row r="875" spans="1:15">
      <c r="A875" s="17">
        <v>874</v>
      </c>
      <c r="B875" s="6" t="s">
        <v>1415</v>
      </c>
      <c r="C875" s="7">
        <v>2022006280</v>
      </c>
      <c r="D875" s="7">
        <v>2201010577</v>
      </c>
      <c r="E875" s="7" t="s">
        <v>3646</v>
      </c>
      <c r="F875" s="17" t="e">
        <f>VLOOKUP('2501_MIS '!C875,'[1]Fast Track '!B:K,10,FALSE)</f>
        <v>#N/A</v>
      </c>
      <c r="G875" s="17" t="str">
        <f>VLOOKUP(C875,[2]Sheet7!A:D,4,FALSE)</f>
        <v>Not Promoted</v>
      </c>
      <c r="H875" s="45" t="s">
        <v>3645</v>
      </c>
      <c r="I875" s="26" t="s">
        <v>3673</v>
      </c>
      <c r="J875" s="6" t="s">
        <v>1416</v>
      </c>
      <c r="K875" s="6" t="s">
        <v>3509</v>
      </c>
      <c r="L875" s="6" t="s">
        <v>3510</v>
      </c>
      <c r="M875" s="6" t="s">
        <v>1372</v>
      </c>
      <c r="O875" t="e">
        <f>VLOOKUP(C875,#REF!,12,FALSE)</f>
        <v>#REF!</v>
      </c>
    </row>
    <row r="876" spans="1:15">
      <c r="A876" s="17">
        <v>875</v>
      </c>
      <c r="B876" s="6" t="s">
        <v>1639</v>
      </c>
      <c r="C876" s="7">
        <v>2022447868</v>
      </c>
      <c r="D876" s="7">
        <v>2201010637</v>
      </c>
      <c r="E876" s="7" t="s">
        <v>3646</v>
      </c>
      <c r="F876" s="17" t="str">
        <f>VLOOKUP('2501_MIS '!C876,'[1]Fast Track '!B:K,10,FALSE)</f>
        <v>Fast learning Mode</v>
      </c>
      <c r="G876" s="17" t="str">
        <f>VLOOKUP(C876,[2]Sheet7!A:D,4,FALSE)</f>
        <v>Promoted</v>
      </c>
      <c r="H876" s="45" t="s">
        <v>3645</v>
      </c>
      <c r="I876" s="26" t="s">
        <v>3673</v>
      </c>
      <c r="J876" s="6" t="s">
        <v>1640</v>
      </c>
      <c r="K876" s="6" t="s">
        <v>3511</v>
      </c>
      <c r="L876" s="6" t="s">
        <v>3512</v>
      </c>
      <c r="M876" s="6" t="s">
        <v>1372</v>
      </c>
      <c r="O876" t="e">
        <f>VLOOKUP(C876,#REF!,12,FALSE)</f>
        <v>#REF!</v>
      </c>
    </row>
    <row r="877" spans="1:15">
      <c r="A877" s="17">
        <v>876</v>
      </c>
      <c r="B877" s="6" t="s">
        <v>1460</v>
      </c>
      <c r="C877" s="7">
        <v>2022400313</v>
      </c>
      <c r="D877" s="7">
        <v>2201010683</v>
      </c>
      <c r="E877" s="7" t="s">
        <v>3646</v>
      </c>
      <c r="F877" s="17" t="e">
        <f>VLOOKUP('2501_MIS '!C877,'[1]Fast Track '!B:K,10,FALSE)</f>
        <v>#N/A</v>
      </c>
      <c r="G877" s="17" t="str">
        <f>VLOOKUP(C877,[2]Sheet7!A:D,4,FALSE)</f>
        <v>Promoted</v>
      </c>
      <c r="H877" s="45" t="s">
        <v>3645</v>
      </c>
      <c r="I877" s="26" t="s">
        <v>3673</v>
      </c>
      <c r="J877" s="6" t="s">
        <v>1461</v>
      </c>
      <c r="K877" s="6" t="s">
        <v>3513</v>
      </c>
      <c r="L877" s="6" t="s">
        <v>3514</v>
      </c>
      <c r="M877" s="6" t="s">
        <v>1372</v>
      </c>
      <c r="O877" t="e">
        <f>VLOOKUP(C877,#REF!,12,FALSE)</f>
        <v>#REF!</v>
      </c>
    </row>
    <row r="878" spans="1:15">
      <c r="A878" s="17">
        <v>877</v>
      </c>
      <c r="B878" s="6" t="s">
        <v>1425</v>
      </c>
      <c r="C878" s="7">
        <v>2022006905</v>
      </c>
      <c r="D878" s="7">
        <v>2201010691</v>
      </c>
      <c r="E878" s="7" t="s">
        <v>3646</v>
      </c>
      <c r="F878" s="17" t="e">
        <f>VLOOKUP('2501_MIS '!C878,'[1]Fast Track '!B:K,10,FALSE)</f>
        <v>#N/A</v>
      </c>
      <c r="G878" s="17" t="str">
        <f>VLOOKUP(C878,[2]Sheet7!A:D,4,FALSE)</f>
        <v>Promoted</v>
      </c>
      <c r="H878" s="45" t="s">
        <v>3645</v>
      </c>
      <c r="I878" s="26" t="s">
        <v>3673</v>
      </c>
      <c r="J878" s="6" t="s">
        <v>1426</v>
      </c>
      <c r="K878" s="6" t="s">
        <v>3515</v>
      </c>
      <c r="L878" s="6" t="s">
        <v>3516</v>
      </c>
      <c r="M878" s="6" t="s">
        <v>1372</v>
      </c>
      <c r="O878" t="e">
        <f>VLOOKUP(C878,#REF!,12,FALSE)</f>
        <v>#REF!</v>
      </c>
    </row>
    <row r="879" spans="1:15">
      <c r="A879" s="17">
        <v>878</v>
      </c>
      <c r="B879" s="6" t="s">
        <v>1613</v>
      </c>
      <c r="C879" s="7">
        <v>2022007628</v>
      </c>
      <c r="D879" s="7">
        <v>2201010978</v>
      </c>
      <c r="E879" s="7" t="s">
        <v>3646</v>
      </c>
      <c r="F879" s="17" t="e">
        <f>VLOOKUP('2501_MIS '!C879,'[1]Fast Track '!B:K,10,FALSE)</f>
        <v>#N/A</v>
      </c>
      <c r="G879" s="17" t="str">
        <f>VLOOKUP(C879,[2]Sheet7!A:D,4,FALSE)</f>
        <v>Promoted</v>
      </c>
      <c r="H879" s="45" t="s">
        <v>3645</v>
      </c>
      <c r="I879" s="26" t="s">
        <v>3673</v>
      </c>
      <c r="J879" s="6" t="s">
        <v>1614</v>
      </c>
      <c r="K879" s="6" t="s">
        <v>3517</v>
      </c>
      <c r="L879" s="6" t="s">
        <v>3518</v>
      </c>
      <c r="M879" s="6" t="s">
        <v>1372</v>
      </c>
      <c r="O879" t="e">
        <f>VLOOKUP(C879,#REF!,12,FALSE)</f>
        <v>#REF!</v>
      </c>
    </row>
    <row r="880" spans="1:15">
      <c r="A880" s="17">
        <v>879</v>
      </c>
      <c r="B880" s="6" t="s">
        <v>1753</v>
      </c>
      <c r="C880" s="7">
        <v>2022435623</v>
      </c>
      <c r="D880" s="7">
        <v>2201010108</v>
      </c>
      <c r="E880" s="7" t="s">
        <v>3646</v>
      </c>
      <c r="F880" s="17" t="e">
        <f>VLOOKUP('2501_MIS '!C880,'[1]Fast Track '!B:K,10,FALSE)</f>
        <v>#N/A</v>
      </c>
      <c r="G880" s="17" t="str">
        <f>VLOOKUP(C880,[2]Sheet7!A:D,4,FALSE)</f>
        <v>Promoted</v>
      </c>
      <c r="H880" s="45" t="s">
        <v>3644</v>
      </c>
      <c r="I880" s="26" t="s">
        <v>3674</v>
      </c>
      <c r="J880" s="6" t="s">
        <v>1754</v>
      </c>
      <c r="K880" s="6" t="s">
        <v>3101</v>
      </c>
      <c r="L880" s="6" t="s">
        <v>3102</v>
      </c>
      <c r="M880" s="6" t="s">
        <v>1401</v>
      </c>
      <c r="O880" t="e">
        <f>VLOOKUP(C880,#REF!,12,FALSE)</f>
        <v>#REF!</v>
      </c>
    </row>
    <row r="881" spans="1:15">
      <c r="A881" s="17">
        <v>880</v>
      </c>
      <c r="B881" s="6" t="s">
        <v>668</v>
      </c>
      <c r="C881" s="7">
        <v>2022431018</v>
      </c>
      <c r="D881" s="7">
        <v>2201010421</v>
      </c>
      <c r="E881" s="7" t="s">
        <v>3646</v>
      </c>
      <c r="F881" s="17" t="e">
        <f>VLOOKUP('2501_MIS '!C881,'[1]Fast Track '!B:K,10,FALSE)</f>
        <v>#N/A</v>
      </c>
      <c r="G881" s="17" t="str">
        <f>VLOOKUP(C881,[2]Sheet7!A:D,4,FALSE)</f>
        <v>Promoted</v>
      </c>
      <c r="H881" s="45" t="s">
        <v>3644</v>
      </c>
      <c r="I881" s="26" t="s">
        <v>3674</v>
      </c>
      <c r="J881" s="6" t="s">
        <v>1748</v>
      </c>
      <c r="K881" s="6" t="s">
        <v>3103</v>
      </c>
      <c r="L881" s="6" t="s">
        <v>3104</v>
      </c>
      <c r="M881" s="6" t="s">
        <v>1401</v>
      </c>
      <c r="O881" t="e">
        <f>VLOOKUP(C881,#REF!,12,FALSE)</f>
        <v>#REF!</v>
      </c>
    </row>
    <row r="882" spans="1:15">
      <c r="A882" s="17">
        <v>881</v>
      </c>
      <c r="B882" s="6" t="s">
        <v>1751</v>
      </c>
      <c r="C882" s="7">
        <v>2022434137</v>
      </c>
      <c r="D882" s="7">
        <v>2201010501</v>
      </c>
      <c r="E882" s="7" t="s">
        <v>3646</v>
      </c>
      <c r="F882" s="17" t="e">
        <f>VLOOKUP('2501_MIS '!C882,'[1]Fast Track '!B:K,10,FALSE)</f>
        <v>#N/A</v>
      </c>
      <c r="G882" s="17" t="str">
        <f>VLOOKUP(C882,[2]Sheet7!A:D,4,FALSE)</f>
        <v>Promoted</v>
      </c>
      <c r="H882" s="45" t="s">
        <v>3644</v>
      </c>
      <c r="I882" s="26" t="s">
        <v>3674</v>
      </c>
      <c r="J882" s="6" t="s">
        <v>1752</v>
      </c>
      <c r="K882" s="6" t="s">
        <v>3105</v>
      </c>
      <c r="L882" s="6" t="s">
        <v>3106</v>
      </c>
      <c r="M882" s="6" t="s">
        <v>1401</v>
      </c>
      <c r="O882" t="e">
        <f>VLOOKUP(C882,#REF!,12,FALSE)</f>
        <v>#REF!</v>
      </c>
    </row>
    <row r="883" spans="1:15">
      <c r="A883" s="17">
        <v>882</v>
      </c>
      <c r="B883" s="6" t="s">
        <v>1451</v>
      </c>
      <c r="C883" s="7">
        <v>2022343833</v>
      </c>
      <c r="D883" s="7">
        <v>2201010129</v>
      </c>
      <c r="E883" s="7" t="s">
        <v>3646</v>
      </c>
      <c r="F883" s="17" t="e">
        <f>VLOOKUP('2501_MIS '!C883,'[1]Fast Track '!B:K,10,FALSE)</f>
        <v>#N/A</v>
      </c>
      <c r="G883" s="17" t="str">
        <f>VLOOKUP(C883,[2]Sheet7!A:D,4,FALSE)</f>
        <v>Promoted</v>
      </c>
      <c r="H883" s="45" t="s">
        <v>3644</v>
      </c>
      <c r="I883" s="26" t="s">
        <v>3674</v>
      </c>
      <c r="J883" s="6" t="s">
        <v>1452</v>
      </c>
      <c r="K883" s="6" t="s">
        <v>3227</v>
      </c>
      <c r="L883" s="6" t="s">
        <v>3228</v>
      </c>
      <c r="M883" s="6" t="s">
        <v>1401</v>
      </c>
      <c r="O883" t="e">
        <f>VLOOKUP(C883,#REF!,12,FALSE)</f>
        <v>#REF!</v>
      </c>
    </row>
    <row r="884" spans="1:15">
      <c r="A884" s="17">
        <v>883</v>
      </c>
      <c r="B884" s="6" t="s">
        <v>1488</v>
      </c>
      <c r="C884" s="7">
        <v>2022601278</v>
      </c>
      <c r="D884" s="7">
        <v>2201010921</v>
      </c>
      <c r="E884" s="7" t="s">
        <v>3646</v>
      </c>
      <c r="F884" s="17" t="str">
        <f>VLOOKUP('2501_MIS '!C884,'[1]Fast Track '!B:K,10,FALSE)</f>
        <v>Fast learning Mode</v>
      </c>
      <c r="G884" s="17" t="str">
        <f>VLOOKUP(C884,[2]Sheet7!A:D,4,FALSE)</f>
        <v>Promoted</v>
      </c>
      <c r="H884" s="45" t="s">
        <v>3644</v>
      </c>
      <c r="I884" s="26" t="s">
        <v>3674</v>
      </c>
      <c r="J884" s="6" t="s">
        <v>1489</v>
      </c>
      <c r="K884" s="6" t="s">
        <v>3229</v>
      </c>
      <c r="L884" s="6" t="s">
        <v>3230</v>
      </c>
      <c r="M884" s="6" t="s">
        <v>1401</v>
      </c>
      <c r="O884" t="e">
        <f>VLOOKUP(C884,#REF!,12,FALSE)</f>
        <v>#REF!</v>
      </c>
    </row>
    <row r="885" spans="1:15">
      <c r="A885" s="17">
        <v>884</v>
      </c>
      <c r="B885" s="6" t="s">
        <v>1515</v>
      </c>
      <c r="C885" s="7">
        <v>2022003323</v>
      </c>
      <c r="D885" s="7">
        <v>2201010065</v>
      </c>
      <c r="E885" s="7" t="s">
        <v>3646</v>
      </c>
      <c r="F885" s="17" t="e">
        <f>VLOOKUP('2501_MIS '!C885,'[1]Fast Track '!B:K,10,FALSE)</f>
        <v>#N/A</v>
      </c>
      <c r="G885" s="17" t="str">
        <f>VLOOKUP(C885,[2]Sheet7!A:D,4,FALSE)</f>
        <v>Promoted</v>
      </c>
      <c r="H885" s="45" t="s">
        <v>3644</v>
      </c>
      <c r="I885" s="26" t="s">
        <v>3674</v>
      </c>
      <c r="J885" s="6" t="s">
        <v>1516</v>
      </c>
      <c r="K885" s="6" t="s">
        <v>3355</v>
      </c>
      <c r="L885" s="6" t="s">
        <v>3356</v>
      </c>
      <c r="M885" s="6" t="s">
        <v>1401</v>
      </c>
      <c r="O885" t="e">
        <f>VLOOKUP(C885,#REF!,12,FALSE)</f>
        <v>#REF!</v>
      </c>
    </row>
    <row r="886" spans="1:15">
      <c r="A886" s="17">
        <v>885</v>
      </c>
      <c r="B886" s="6" t="s">
        <v>1580</v>
      </c>
      <c r="C886" s="7">
        <v>2022523814</v>
      </c>
      <c r="D886" s="7">
        <v>2201010130</v>
      </c>
      <c r="E886" s="7" t="s">
        <v>3646</v>
      </c>
      <c r="F886" s="17" t="e">
        <f>VLOOKUP('2501_MIS '!C886,'[1]Fast Track '!B:K,10,FALSE)</f>
        <v>#N/A</v>
      </c>
      <c r="G886" s="17" t="str">
        <f>VLOOKUP(C886,[2]Sheet7!A:D,4,FALSE)</f>
        <v>Promoted</v>
      </c>
      <c r="H886" s="45" t="s">
        <v>3644</v>
      </c>
      <c r="I886" s="26" t="s">
        <v>3674</v>
      </c>
      <c r="J886" s="6" t="s">
        <v>1581</v>
      </c>
      <c r="K886" s="6" t="s">
        <v>3357</v>
      </c>
      <c r="L886" s="6" t="s">
        <v>3358</v>
      </c>
      <c r="M886" s="6" t="s">
        <v>1401</v>
      </c>
      <c r="O886" t="e">
        <f>VLOOKUP(C886,#REF!,12,FALSE)</f>
        <v>#REF!</v>
      </c>
    </row>
    <row r="887" spans="1:15">
      <c r="A887" s="17">
        <v>886</v>
      </c>
      <c r="B887" s="6" t="s">
        <v>1539</v>
      </c>
      <c r="C887" s="7">
        <v>2022314446</v>
      </c>
      <c r="D887" s="7">
        <v>2201010181</v>
      </c>
      <c r="E887" s="7" t="s">
        <v>3646</v>
      </c>
      <c r="F887" s="17" t="e">
        <f>VLOOKUP('2501_MIS '!C887,'[1]Fast Track '!B:K,10,FALSE)</f>
        <v>#N/A</v>
      </c>
      <c r="G887" s="17" t="str">
        <f>VLOOKUP(C887,[2]Sheet7!A:D,4,FALSE)</f>
        <v>Not Promoted</v>
      </c>
      <c r="H887" s="45" t="s">
        <v>3644</v>
      </c>
      <c r="I887" s="26" t="s">
        <v>3674</v>
      </c>
      <c r="J887" s="6" t="s">
        <v>1540</v>
      </c>
      <c r="K887" s="6" t="s">
        <v>3359</v>
      </c>
      <c r="L887" s="6" t="s">
        <v>3360</v>
      </c>
      <c r="M887" s="6" t="s">
        <v>1401</v>
      </c>
      <c r="O887" t="e">
        <f>VLOOKUP(C887,#REF!,12,FALSE)</f>
        <v>#REF!</v>
      </c>
    </row>
    <row r="888" spans="1:15">
      <c r="A888" s="17">
        <v>887</v>
      </c>
      <c r="B888" s="6" t="s">
        <v>1545</v>
      </c>
      <c r="C888" s="7">
        <v>2022342643</v>
      </c>
      <c r="D888" s="7">
        <v>2201010228</v>
      </c>
      <c r="E888" s="7" t="s">
        <v>3646</v>
      </c>
      <c r="F888" s="17" t="e">
        <f>VLOOKUP('2501_MIS '!C888,'[1]Fast Track '!B:K,10,FALSE)</f>
        <v>#N/A</v>
      </c>
      <c r="G888" s="17" t="str">
        <f>VLOOKUP(C888,[2]Sheet7!A:D,4,FALSE)</f>
        <v>Promoted</v>
      </c>
      <c r="H888" s="45" t="s">
        <v>3644</v>
      </c>
      <c r="I888" s="26" t="s">
        <v>3674</v>
      </c>
      <c r="J888" s="6" t="s">
        <v>1546</v>
      </c>
      <c r="K888" s="6" t="s">
        <v>3361</v>
      </c>
      <c r="L888" s="6" t="s">
        <v>3362</v>
      </c>
      <c r="M888" s="6" t="s">
        <v>1401</v>
      </c>
      <c r="O888" t="e">
        <f>VLOOKUP(C888,#REF!,12,FALSE)</f>
        <v>#REF!</v>
      </c>
    </row>
    <row r="889" spans="1:15">
      <c r="A889" s="17">
        <v>888</v>
      </c>
      <c r="B889" s="6" t="s">
        <v>1427</v>
      </c>
      <c r="C889" s="7">
        <v>2022007077</v>
      </c>
      <c r="D889" s="7">
        <v>2201010343</v>
      </c>
      <c r="E889" s="7" t="s">
        <v>3646</v>
      </c>
      <c r="F889" s="17" t="e">
        <f>VLOOKUP('2501_MIS '!C889,'[1]Fast Track '!B:K,10,FALSE)</f>
        <v>#N/A</v>
      </c>
      <c r="G889" s="17" t="str">
        <f>VLOOKUP(C889,[2]Sheet7!A:D,4,FALSE)</f>
        <v>Promoted</v>
      </c>
      <c r="H889" s="45" t="s">
        <v>3644</v>
      </c>
      <c r="I889" s="26" t="s">
        <v>3674</v>
      </c>
      <c r="J889" s="6" t="s">
        <v>1428</v>
      </c>
      <c r="K889" s="6" t="s">
        <v>3363</v>
      </c>
      <c r="L889" s="6" t="s">
        <v>3364</v>
      </c>
      <c r="M889" s="6" t="s">
        <v>1401</v>
      </c>
      <c r="O889" t="e">
        <f>VLOOKUP(C889,#REF!,12,FALSE)</f>
        <v>#REF!</v>
      </c>
    </row>
    <row r="890" spans="1:15">
      <c r="A890" s="17">
        <v>889</v>
      </c>
      <c r="B890" s="6" t="s">
        <v>1413</v>
      </c>
      <c r="C890" s="7">
        <v>2022006247</v>
      </c>
      <c r="D890" s="7">
        <v>2201010359</v>
      </c>
      <c r="E890" s="7" t="s">
        <v>3646</v>
      </c>
      <c r="F890" s="17" t="e">
        <f>VLOOKUP('2501_MIS '!C890,'[1]Fast Track '!B:K,10,FALSE)</f>
        <v>#N/A</v>
      </c>
      <c r="G890" s="17" t="str">
        <f>VLOOKUP(C890,[2]Sheet7!A:D,4,FALSE)</f>
        <v>Promoted</v>
      </c>
      <c r="H890" s="45" t="s">
        <v>3644</v>
      </c>
      <c r="I890" s="26" t="s">
        <v>3674</v>
      </c>
      <c r="J890" s="6" t="s">
        <v>1414</v>
      </c>
      <c r="K890" s="6" t="s">
        <v>3365</v>
      </c>
      <c r="L890" s="6" t="s">
        <v>3366</v>
      </c>
      <c r="M890" s="6" t="s">
        <v>1401</v>
      </c>
      <c r="O890" t="e">
        <f>VLOOKUP(C890,#REF!,12,FALSE)</f>
        <v>#REF!</v>
      </c>
    </row>
    <row r="891" spans="1:15">
      <c r="A891" s="17">
        <v>890</v>
      </c>
      <c r="B891" s="6" t="s">
        <v>1588</v>
      </c>
      <c r="C891" s="7">
        <v>2022006233</v>
      </c>
      <c r="D891" s="7">
        <v>2201010425</v>
      </c>
      <c r="E891" s="7" t="s">
        <v>3646</v>
      </c>
      <c r="F891" s="17" t="e">
        <f>VLOOKUP('2501_MIS '!C891,'[1]Fast Track '!B:K,10,FALSE)</f>
        <v>#N/A</v>
      </c>
      <c r="G891" s="17" t="str">
        <f>VLOOKUP(C891,[2]Sheet7!A:D,4,FALSE)</f>
        <v>Promoted</v>
      </c>
      <c r="H891" s="45" t="s">
        <v>3644</v>
      </c>
      <c r="I891" s="26" t="s">
        <v>3674</v>
      </c>
      <c r="J891" s="6" t="s">
        <v>1589</v>
      </c>
      <c r="K891" s="6" t="s">
        <v>3367</v>
      </c>
      <c r="L891" s="6" t="s">
        <v>3368</v>
      </c>
      <c r="M891" s="6" t="s">
        <v>1401</v>
      </c>
      <c r="O891" t="e">
        <f>VLOOKUP(C891,#REF!,12,FALSE)</f>
        <v>#REF!</v>
      </c>
    </row>
    <row r="892" spans="1:15">
      <c r="A892" s="17">
        <v>891</v>
      </c>
      <c r="B892" s="6" t="s">
        <v>1494</v>
      </c>
      <c r="C892" s="7">
        <v>2022817981</v>
      </c>
      <c r="D892" s="7">
        <v>2201010442</v>
      </c>
      <c r="E892" s="7" t="s">
        <v>3646</v>
      </c>
      <c r="F892" s="17" t="e">
        <f>VLOOKUP('2501_MIS '!C892,'[1]Fast Track '!B:K,10,FALSE)</f>
        <v>#N/A</v>
      </c>
      <c r="G892" s="17" t="str">
        <f>VLOOKUP(C892,[2]Sheet7!A:D,4,FALSE)</f>
        <v>Promoted</v>
      </c>
      <c r="H892" s="45" t="s">
        <v>3644</v>
      </c>
      <c r="I892" s="26" t="s">
        <v>3674</v>
      </c>
      <c r="J892" s="6" t="s">
        <v>1495</v>
      </c>
      <c r="K892" s="6" t="s">
        <v>3369</v>
      </c>
      <c r="L892" s="6" t="s">
        <v>3370</v>
      </c>
      <c r="M892" s="6" t="s">
        <v>1401</v>
      </c>
      <c r="O892" t="e">
        <f>VLOOKUP(C892,#REF!,12,FALSE)</f>
        <v>#REF!</v>
      </c>
    </row>
    <row r="893" spans="1:15">
      <c r="A893" s="17">
        <v>892</v>
      </c>
      <c r="B893" s="6" t="s">
        <v>838</v>
      </c>
      <c r="C893" s="7">
        <v>2022003325</v>
      </c>
      <c r="D893" s="7">
        <v>2201010535</v>
      </c>
      <c r="E893" s="7" t="s">
        <v>3646</v>
      </c>
      <c r="F893" s="17" t="e">
        <f>VLOOKUP('2501_MIS '!C893,'[1]Fast Track '!B:K,10,FALSE)</f>
        <v>#N/A</v>
      </c>
      <c r="G893" s="17" t="str">
        <f>VLOOKUP(C893,[2]Sheet7!A:D,4,FALSE)</f>
        <v>Promoted</v>
      </c>
      <c r="H893" s="45" t="s">
        <v>3644</v>
      </c>
      <c r="I893" s="26" t="s">
        <v>3674</v>
      </c>
      <c r="J893" s="6" t="s">
        <v>1517</v>
      </c>
      <c r="K893" s="6" t="s">
        <v>3371</v>
      </c>
      <c r="L893" s="6" t="s">
        <v>3372</v>
      </c>
      <c r="M893" s="6" t="s">
        <v>1401</v>
      </c>
      <c r="O893" t="e">
        <f>VLOOKUP(C893,#REF!,12,FALSE)</f>
        <v>#REF!</v>
      </c>
    </row>
    <row r="894" spans="1:15">
      <c r="A894" s="17">
        <v>893</v>
      </c>
      <c r="B894" s="6" t="s">
        <v>1429</v>
      </c>
      <c r="C894" s="7">
        <v>2022007217</v>
      </c>
      <c r="D894" s="7">
        <v>2201010916</v>
      </c>
      <c r="E894" s="7" t="s">
        <v>3646</v>
      </c>
      <c r="F894" s="17" t="str">
        <f>VLOOKUP('2501_MIS '!C894,'[1]Fast Track '!B:K,10,FALSE)</f>
        <v>Fast learning Mode</v>
      </c>
      <c r="G894" s="17" t="str">
        <f>VLOOKUP(C894,[2]Sheet7!A:D,4,FALSE)</f>
        <v>Promoted</v>
      </c>
      <c r="H894" s="45" t="s">
        <v>3644</v>
      </c>
      <c r="I894" s="26" t="s">
        <v>3674</v>
      </c>
      <c r="J894" s="6" t="s">
        <v>1430</v>
      </c>
      <c r="K894" s="6" t="s">
        <v>3373</v>
      </c>
      <c r="L894" s="6" t="s">
        <v>3374</v>
      </c>
      <c r="M894" s="6" t="s">
        <v>1401</v>
      </c>
      <c r="O894" t="e">
        <f>VLOOKUP(C894,#REF!,12,FALSE)</f>
        <v>#REF!</v>
      </c>
    </row>
    <row r="895" spans="1:15">
      <c r="A895" s="17">
        <v>894</v>
      </c>
      <c r="B895" s="6" t="s">
        <v>1478</v>
      </c>
      <c r="C895" s="7">
        <v>2022543882</v>
      </c>
      <c r="D895" s="7">
        <v>2201010918</v>
      </c>
      <c r="E895" s="7" t="s">
        <v>3646</v>
      </c>
      <c r="F895" s="17" t="e">
        <f>VLOOKUP('2501_MIS '!C895,'[1]Fast Track '!B:K,10,FALSE)</f>
        <v>#N/A</v>
      </c>
      <c r="G895" s="17" t="str">
        <f>VLOOKUP(C895,[2]Sheet7!A:D,4,FALSE)</f>
        <v>Promoted</v>
      </c>
      <c r="H895" s="45" t="s">
        <v>3644</v>
      </c>
      <c r="I895" s="26" t="s">
        <v>3674</v>
      </c>
      <c r="J895" s="6" t="s">
        <v>1479</v>
      </c>
      <c r="K895" s="6" t="s">
        <v>3375</v>
      </c>
      <c r="L895" s="6" t="s">
        <v>3376</v>
      </c>
      <c r="M895" s="6" t="s">
        <v>1401</v>
      </c>
      <c r="O895" t="e">
        <f>VLOOKUP(C895,#REF!,12,FALSE)</f>
        <v>#REF!</v>
      </c>
    </row>
    <row r="896" spans="1:15">
      <c r="A896" s="17">
        <v>895</v>
      </c>
      <c r="B896" s="6" t="s">
        <v>1584</v>
      </c>
      <c r="C896" s="7">
        <v>2022594965</v>
      </c>
      <c r="D896" s="7">
        <v>2201010919</v>
      </c>
      <c r="E896" s="7" t="s">
        <v>3646</v>
      </c>
      <c r="F896" s="17" t="str">
        <f>VLOOKUP('2501_MIS '!C896,'[1]Fast Track '!B:K,10,FALSE)</f>
        <v>Fast learning Mode</v>
      </c>
      <c r="G896" s="17" t="str">
        <f>VLOOKUP(C896,[2]Sheet7!A:D,4,FALSE)</f>
        <v>Promoted</v>
      </c>
      <c r="H896" s="45" t="s">
        <v>3644</v>
      </c>
      <c r="I896" s="26" t="s">
        <v>3674</v>
      </c>
      <c r="J896" s="6" t="s">
        <v>1585</v>
      </c>
      <c r="K896" s="6" t="s">
        <v>3377</v>
      </c>
      <c r="L896" s="6" t="s">
        <v>3378</v>
      </c>
      <c r="M896" s="6" t="s">
        <v>1401</v>
      </c>
      <c r="O896" t="e">
        <f>VLOOKUP(C896,#REF!,12,FALSE)</f>
        <v>#REF!</v>
      </c>
    </row>
    <row r="897" spans="1:15">
      <c r="A897" s="17">
        <v>896</v>
      </c>
      <c r="B897" s="6" t="s">
        <v>1486</v>
      </c>
      <c r="C897" s="7">
        <v>2022597147</v>
      </c>
      <c r="D897" s="7">
        <v>2201010920</v>
      </c>
      <c r="E897" s="7" t="s">
        <v>3646</v>
      </c>
      <c r="F897" s="17" t="e">
        <f>VLOOKUP('2501_MIS '!C897,'[1]Fast Track '!B:K,10,FALSE)</f>
        <v>#N/A</v>
      </c>
      <c r="G897" s="17" t="str">
        <f>VLOOKUP(C897,[2]Sheet7!A:D,4,FALSE)</f>
        <v>Promoted</v>
      </c>
      <c r="H897" s="45" t="s">
        <v>3644</v>
      </c>
      <c r="I897" s="26" t="s">
        <v>3674</v>
      </c>
      <c r="J897" s="6" t="s">
        <v>1487</v>
      </c>
      <c r="K897" s="6" t="s">
        <v>3379</v>
      </c>
      <c r="L897" s="6" t="s">
        <v>3380</v>
      </c>
      <c r="M897" s="6" t="s">
        <v>1401</v>
      </c>
      <c r="O897" t="e">
        <f>VLOOKUP(C897,#REF!,12,FALSE)</f>
        <v>#REF!</v>
      </c>
    </row>
    <row r="898" spans="1:15">
      <c r="A898" s="17">
        <v>897</v>
      </c>
      <c r="B898" s="6" t="s">
        <v>1399</v>
      </c>
      <c r="C898" s="7">
        <v>2022003741</v>
      </c>
      <c r="D898" s="7">
        <v>2201070028</v>
      </c>
      <c r="E898" s="7" t="s">
        <v>3646</v>
      </c>
      <c r="F898" s="17" t="e">
        <f>VLOOKUP('2501_MIS '!C898,'[1]Fast Track '!B:K,10,FALSE)</f>
        <v>#N/A</v>
      </c>
      <c r="G898" s="17" t="str">
        <f>VLOOKUP(C898,[2]Sheet7!A:D,4,FALSE)</f>
        <v>Promoted</v>
      </c>
      <c r="H898" s="45" t="s">
        <v>3644</v>
      </c>
      <c r="I898" s="26" t="s">
        <v>3674</v>
      </c>
      <c r="J898" s="6" t="s">
        <v>1400</v>
      </c>
      <c r="K898" s="6" t="s">
        <v>3381</v>
      </c>
      <c r="L898" s="6" t="s">
        <v>3382</v>
      </c>
      <c r="M898" s="6" t="s">
        <v>1401</v>
      </c>
      <c r="O898" t="e">
        <f>VLOOKUP(C898,#REF!,12,FALSE)</f>
        <v>#REF!</v>
      </c>
    </row>
    <row r="899" spans="1:15">
      <c r="A899" s="17">
        <v>898</v>
      </c>
      <c r="B899" s="6" t="s">
        <v>1611</v>
      </c>
      <c r="C899" s="7">
        <v>2022006824</v>
      </c>
      <c r="D899" s="7">
        <v>2201010093</v>
      </c>
      <c r="E899" s="7" t="s">
        <v>3646</v>
      </c>
      <c r="F899" s="17" t="e">
        <f>VLOOKUP('2501_MIS '!C899,'[1]Fast Track '!B:K,10,FALSE)</f>
        <v>#N/A</v>
      </c>
      <c r="G899" s="17" t="str">
        <f>VLOOKUP(C899,[2]Sheet7!A:D,4,FALSE)</f>
        <v>Promoted</v>
      </c>
      <c r="H899" s="45" t="s">
        <v>3644</v>
      </c>
      <c r="I899" s="26" t="s">
        <v>3674</v>
      </c>
      <c r="J899" s="6" t="s">
        <v>1612</v>
      </c>
      <c r="K899" s="6" t="s">
        <v>3483</v>
      </c>
      <c r="L899" s="6" t="s">
        <v>3484</v>
      </c>
      <c r="M899" s="6" t="s">
        <v>1401</v>
      </c>
      <c r="O899" t="e">
        <f>VLOOKUP(C899,#REF!,12,FALSE)</f>
        <v>#REF!</v>
      </c>
    </row>
    <row r="900" spans="1:15">
      <c r="A900" s="17">
        <v>899</v>
      </c>
      <c r="B900" s="6" t="s">
        <v>1453</v>
      </c>
      <c r="C900" s="7">
        <v>2022351697</v>
      </c>
      <c r="D900" s="7">
        <v>2201010373</v>
      </c>
      <c r="E900" s="7" t="s">
        <v>3646</v>
      </c>
      <c r="F900" s="17" t="e">
        <f>VLOOKUP('2501_MIS '!C900,'[1]Fast Track '!B:K,10,FALSE)</f>
        <v>#N/A</v>
      </c>
      <c r="G900" s="17" t="str">
        <f>VLOOKUP(C900,[2]Sheet7!A:D,4,FALSE)</f>
        <v>Not Promoted</v>
      </c>
      <c r="H900" s="45" t="s">
        <v>3644</v>
      </c>
      <c r="I900" s="26" t="s">
        <v>3674</v>
      </c>
      <c r="J900" s="6" t="s">
        <v>1454</v>
      </c>
      <c r="K900" s="6" t="s">
        <v>3485</v>
      </c>
      <c r="L900" s="6" t="s">
        <v>3486</v>
      </c>
      <c r="M900" s="6" t="s">
        <v>1401</v>
      </c>
      <c r="O900" t="e">
        <f>VLOOKUP(C900,#REF!,12,FALSE)</f>
        <v>#REF!</v>
      </c>
    </row>
    <row r="901" spans="1:15">
      <c r="A901" s="17">
        <v>900</v>
      </c>
      <c r="B901" s="6" t="s">
        <v>1681</v>
      </c>
      <c r="C901" s="7">
        <v>2022833430</v>
      </c>
      <c r="D901" s="7">
        <v>2201010479</v>
      </c>
      <c r="E901" s="7" t="s">
        <v>3646</v>
      </c>
      <c r="F901" s="17" t="e">
        <f>VLOOKUP('2501_MIS '!C901,'[1]Fast Track '!B:K,10,FALSE)</f>
        <v>#N/A</v>
      </c>
      <c r="G901" s="17" t="str">
        <f>VLOOKUP(C901,[2]Sheet7!A:D,4,FALSE)</f>
        <v>Promoted</v>
      </c>
      <c r="H901" s="45" t="s">
        <v>3644</v>
      </c>
      <c r="I901" s="26" t="s">
        <v>3674</v>
      </c>
      <c r="J901" s="6" t="s">
        <v>1682</v>
      </c>
      <c r="K901" s="6" t="s">
        <v>3487</v>
      </c>
      <c r="L901" s="6" t="s">
        <v>3488</v>
      </c>
      <c r="M901" s="6" t="s">
        <v>1401</v>
      </c>
      <c r="O901" t="e">
        <f>VLOOKUP(C901,#REF!,12,FALSE)</f>
        <v>#REF!</v>
      </c>
    </row>
    <row r="902" spans="1:15">
      <c r="A902" s="17">
        <v>901</v>
      </c>
      <c r="B902" s="6" t="s">
        <v>1625</v>
      </c>
      <c r="C902" s="7">
        <v>2022360934</v>
      </c>
      <c r="D902" s="7">
        <v>2201010784</v>
      </c>
      <c r="E902" s="7" t="s">
        <v>3646</v>
      </c>
      <c r="F902" s="17" t="e">
        <f>VLOOKUP('2501_MIS '!C902,'[1]Fast Track '!B:K,10,FALSE)</f>
        <v>#N/A</v>
      </c>
      <c r="G902" s="17" t="str">
        <f>VLOOKUP(C902,[2]Sheet7!A:D,4,FALSE)</f>
        <v>Promoted</v>
      </c>
      <c r="H902" s="45" t="s">
        <v>3644</v>
      </c>
      <c r="I902" s="26" t="s">
        <v>3674</v>
      </c>
      <c r="J902" s="6" t="s">
        <v>1626</v>
      </c>
      <c r="K902" s="6" t="s">
        <v>3489</v>
      </c>
      <c r="L902" s="6" t="s">
        <v>3490</v>
      </c>
      <c r="M902" s="6" t="s">
        <v>1401</v>
      </c>
      <c r="O902" t="e">
        <f>VLOOKUP(C902,#REF!,12,FALSE)</f>
        <v>#REF!</v>
      </c>
    </row>
  </sheetData>
  <conditionalFormatting sqref="C1">
    <cfRule type="duplicateValues" dxfId="431" priority="101"/>
  </conditionalFormatting>
  <conditionalFormatting sqref="C1">
    <cfRule type="duplicateValues" dxfId="430" priority="98"/>
  </conditionalFormatting>
  <conditionalFormatting sqref="C1:D1">
    <cfRule type="duplicateValues" dxfId="429" priority="99"/>
    <cfRule type="duplicateValues" dxfId="428" priority="100"/>
  </conditionalFormatting>
  <conditionalFormatting sqref="C64:C65">
    <cfRule type="duplicateValues" dxfId="427" priority="97"/>
  </conditionalFormatting>
  <conditionalFormatting sqref="C64:C65">
    <cfRule type="duplicateValues" dxfId="426" priority="94"/>
  </conditionalFormatting>
  <conditionalFormatting sqref="C64:D65">
    <cfRule type="duplicateValues" dxfId="425" priority="95"/>
    <cfRule type="duplicateValues" dxfId="424" priority="96"/>
  </conditionalFormatting>
  <conditionalFormatting sqref="H88:H91">
    <cfRule type="uniqueValues" dxfId="423" priority="93"/>
  </conditionalFormatting>
  <conditionalFormatting sqref="H93:H94">
    <cfRule type="uniqueValues" dxfId="422" priority="92"/>
  </conditionalFormatting>
  <conditionalFormatting sqref="H324:H333">
    <cfRule type="uniqueValues" dxfId="421" priority="91"/>
  </conditionalFormatting>
  <conditionalFormatting sqref="H337:H344">
    <cfRule type="uniqueValues" dxfId="420" priority="90"/>
  </conditionalFormatting>
  <conditionalFormatting sqref="H345:H354">
    <cfRule type="uniqueValues" dxfId="419" priority="89"/>
  </conditionalFormatting>
  <conditionalFormatting sqref="H355">
    <cfRule type="uniqueValues" dxfId="418" priority="88"/>
  </conditionalFormatting>
  <conditionalFormatting sqref="C520">
    <cfRule type="duplicateValues" dxfId="417" priority="84"/>
  </conditionalFormatting>
  <conditionalFormatting sqref="C520">
    <cfRule type="duplicateValues" dxfId="416" priority="81"/>
  </conditionalFormatting>
  <conditionalFormatting sqref="C520:D520">
    <cfRule type="duplicateValues" dxfId="415" priority="82"/>
    <cfRule type="duplicateValues" dxfId="414" priority="83"/>
  </conditionalFormatting>
  <conditionalFormatting sqref="C524">
    <cfRule type="duplicateValues" dxfId="413" priority="78"/>
  </conditionalFormatting>
  <conditionalFormatting sqref="C524:D524">
    <cfRule type="duplicateValues" dxfId="412" priority="79"/>
    <cfRule type="duplicateValues" dxfId="411" priority="80"/>
  </conditionalFormatting>
  <conditionalFormatting sqref="C523">
    <cfRule type="duplicateValues" dxfId="410" priority="75"/>
  </conditionalFormatting>
  <conditionalFormatting sqref="C523:D523">
    <cfRule type="duplicateValues" dxfId="409" priority="76"/>
    <cfRule type="duplicateValues" dxfId="408" priority="77"/>
  </conditionalFormatting>
  <conditionalFormatting sqref="C521">
    <cfRule type="duplicateValues" dxfId="407" priority="74"/>
  </conditionalFormatting>
  <conditionalFormatting sqref="C521">
    <cfRule type="duplicateValues" dxfId="406" priority="71"/>
  </conditionalFormatting>
  <conditionalFormatting sqref="C521:D521">
    <cfRule type="duplicateValues" dxfId="405" priority="72"/>
    <cfRule type="duplicateValues" dxfId="404" priority="73"/>
  </conditionalFormatting>
  <conditionalFormatting sqref="C522">
    <cfRule type="duplicateValues" dxfId="403" priority="70"/>
  </conditionalFormatting>
  <conditionalFormatting sqref="C522">
    <cfRule type="duplicateValues" dxfId="402" priority="67"/>
  </conditionalFormatting>
  <conditionalFormatting sqref="C522:D522">
    <cfRule type="duplicateValues" dxfId="401" priority="68"/>
    <cfRule type="duplicateValues" dxfId="400" priority="69"/>
  </conditionalFormatting>
  <conditionalFormatting sqref="C527">
    <cfRule type="duplicateValues" dxfId="399" priority="66"/>
  </conditionalFormatting>
  <conditionalFormatting sqref="C527">
    <cfRule type="duplicateValues" dxfId="398" priority="63"/>
  </conditionalFormatting>
  <conditionalFormatting sqref="C527:D527">
    <cfRule type="duplicateValues" dxfId="397" priority="64"/>
    <cfRule type="duplicateValues" dxfId="396" priority="65"/>
  </conditionalFormatting>
  <conditionalFormatting sqref="C550">
    <cfRule type="duplicateValues" dxfId="395" priority="62"/>
  </conditionalFormatting>
  <conditionalFormatting sqref="C550">
    <cfRule type="duplicateValues" dxfId="394" priority="59"/>
  </conditionalFormatting>
  <conditionalFormatting sqref="C550:D550">
    <cfRule type="duplicateValues" dxfId="393" priority="60"/>
    <cfRule type="duplicateValues" dxfId="392" priority="61"/>
  </conditionalFormatting>
  <conditionalFormatting sqref="C519 C525:C526 C528:C549 C551:C579">
    <cfRule type="duplicateValues" dxfId="391" priority="85"/>
  </conditionalFormatting>
  <conditionalFormatting sqref="C519:D519 C525:D526 C528:D549 C551:D579">
    <cfRule type="duplicateValues" dxfId="390" priority="86"/>
    <cfRule type="duplicateValues" dxfId="389" priority="87"/>
  </conditionalFormatting>
  <conditionalFormatting sqref="C593:D594">
    <cfRule type="duplicateValues" dxfId="388" priority="51"/>
    <cfRule type="duplicateValues" dxfId="387" priority="52"/>
  </conditionalFormatting>
  <conditionalFormatting sqref="C623:C639">
    <cfRule type="duplicateValues" dxfId="386" priority="53"/>
  </conditionalFormatting>
  <conditionalFormatting sqref="C623:D639">
    <cfRule type="duplicateValues" dxfId="385" priority="54"/>
    <cfRule type="duplicateValues" dxfId="384" priority="55"/>
  </conditionalFormatting>
  <conditionalFormatting sqref="C580:C622">
    <cfRule type="duplicateValues" dxfId="383" priority="56"/>
  </conditionalFormatting>
  <conditionalFormatting sqref="C580:D592 C595:D622">
    <cfRule type="duplicateValues" dxfId="382" priority="57"/>
    <cfRule type="duplicateValues" dxfId="381" priority="58"/>
  </conditionalFormatting>
  <conditionalFormatting sqref="C683:C687">
    <cfRule type="duplicateValues" dxfId="380" priority="47"/>
  </conditionalFormatting>
  <conditionalFormatting sqref="C683:C687">
    <cfRule type="duplicateValues" dxfId="379" priority="44"/>
  </conditionalFormatting>
  <conditionalFormatting sqref="C683:D687">
    <cfRule type="duplicateValues" dxfId="378" priority="45"/>
    <cfRule type="duplicateValues" dxfId="377" priority="46"/>
  </conditionalFormatting>
  <conditionalFormatting sqref="C688:C692">
    <cfRule type="duplicateValues" dxfId="376" priority="43"/>
  </conditionalFormatting>
  <conditionalFormatting sqref="C688:C692">
    <cfRule type="duplicateValues" dxfId="375" priority="40"/>
  </conditionalFormatting>
  <conditionalFormatting sqref="C688:D692">
    <cfRule type="duplicateValues" dxfId="374" priority="41"/>
    <cfRule type="duplicateValues" dxfId="373" priority="42"/>
  </conditionalFormatting>
  <conditionalFormatting sqref="C693">
    <cfRule type="duplicateValues" dxfId="372" priority="39"/>
  </conditionalFormatting>
  <conditionalFormatting sqref="C693">
    <cfRule type="duplicateValues" dxfId="371" priority="36"/>
  </conditionalFormatting>
  <conditionalFormatting sqref="C693:D693">
    <cfRule type="duplicateValues" dxfId="370" priority="37"/>
    <cfRule type="duplicateValues" dxfId="369" priority="38"/>
  </conditionalFormatting>
  <conditionalFormatting sqref="C694">
    <cfRule type="duplicateValues" dxfId="368" priority="35"/>
  </conditionalFormatting>
  <conditionalFormatting sqref="C694">
    <cfRule type="duplicateValues" dxfId="367" priority="32"/>
  </conditionalFormatting>
  <conditionalFormatting sqref="C694:D694">
    <cfRule type="duplicateValues" dxfId="366" priority="33"/>
    <cfRule type="duplicateValues" dxfId="365" priority="34"/>
  </conditionalFormatting>
  <conditionalFormatting sqref="C695">
    <cfRule type="duplicateValues" dxfId="364" priority="29"/>
  </conditionalFormatting>
  <conditionalFormatting sqref="C695:D695">
    <cfRule type="duplicateValues" dxfId="363" priority="30"/>
    <cfRule type="duplicateValues" dxfId="362" priority="31"/>
  </conditionalFormatting>
  <conditionalFormatting sqref="C640:C682">
    <cfRule type="duplicateValues" dxfId="361" priority="48"/>
  </conditionalFormatting>
  <conditionalFormatting sqref="C640:D682">
    <cfRule type="duplicateValues" dxfId="360" priority="49"/>
    <cfRule type="duplicateValues" dxfId="359" priority="50"/>
  </conditionalFormatting>
  <conditionalFormatting sqref="C696:C759">
    <cfRule type="duplicateValues" dxfId="358" priority="28"/>
  </conditionalFormatting>
  <conditionalFormatting sqref="C696:C759">
    <cfRule type="duplicateValues" dxfId="357" priority="25"/>
  </conditionalFormatting>
  <conditionalFormatting sqref="C696:D759">
    <cfRule type="duplicateValues" dxfId="356" priority="26"/>
    <cfRule type="duplicateValues" dxfId="355" priority="27"/>
  </conditionalFormatting>
  <conditionalFormatting sqref="C760:C778">
    <cfRule type="duplicateValues" dxfId="354" priority="24"/>
  </conditionalFormatting>
  <conditionalFormatting sqref="C760:C778">
    <cfRule type="duplicateValues" dxfId="353" priority="21"/>
  </conditionalFormatting>
  <conditionalFormatting sqref="C760:D778">
    <cfRule type="duplicateValues" dxfId="352" priority="22"/>
    <cfRule type="duplicateValues" dxfId="351" priority="23"/>
  </conditionalFormatting>
  <conditionalFormatting sqref="C779:C799">
    <cfRule type="duplicateValues" dxfId="350" priority="20"/>
  </conditionalFormatting>
  <conditionalFormatting sqref="C779:C799">
    <cfRule type="duplicateValues" dxfId="349" priority="17"/>
  </conditionalFormatting>
  <conditionalFormatting sqref="C779:D799">
    <cfRule type="duplicateValues" dxfId="348" priority="18"/>
    <cfRule type="duplicateValues" dxfId="347" priority="19"/>
  </conditionalFormatting>
  <conditionalFormatting sqref="C800:C845">
    <cfRule type="duplicateValues" dxfId="346" priority="16"/>
  </conditionalFormatting>
  <conditionalFormatting sqref="C800:C845">
    <cfRule type="duplicateValues" dxfId="345" priority="13"/>
  </conditionalFormatting>
  <conditionalFormatting sqref="C800:D845">
    <cfRule type="duplicateValues" dxfId="344" priority="14"/>
    <cfRule type="duplicateValues" dxfId="343" priority="15"/>
  </conditionalFormatting>
  <conditionalFormatting sqref="C846:C849">
    <cfRule type="duplicateValues" dxfId="342" priority="12"/>
  </conditionalFormatting>
  <conditionalFormatting sqref="C846:C849">
    <cfRule type="duplicateValues" dxfId="341" priority="9"/>
  </conditionalFormatting>
  <conditionalFormatting sqref="C846:D849">
    <cfRule type="duplicateValues" dxfId="340" priority="10"/>
    <cfRule type="duplicateValues" dxfId="339" priority="11"/>
  </conditionalFormatting>
  <conditionalFormatting sqref="C850:C879">
    <cfRule type="duplicateValues" dxfId="338" priority="8"/>
  </conditionalFormatting>
  <conditionalFormatting sqref="C850:C879">
    <cfRule type="duplicateValues" dxfId="337" priority="5"/>
  </conditionalFormatting>
  <conditionalFormatting sqref="C850:D879">
    <cfRule type="duplicateValues" dxfId="336" priority="6"/>
    <cfRule type="duplicateValues" dxfId="335" priority="7"/>
  </conditionalFormatting>
  <conditionalFormatting sqref="C880:C902">
    <cfRule type="duplicateValues" dxfId="334" priority="4"/>
  </conditionalFormatting>
  <conditionalFormatting sqref="C880:C902">
    <cfRule type="duplicateValues" dxfId="333" priority="1"/>
  </conditionalFormatting>
  <conditionalFormatting sqref="C880:D902">
    <cfRule type="duplicateValues" dxfId="332" priority="2"/>
    <cfRule type="duplicateValues" dxfId="331" priority="3"/>
  </conditionalFormatting>
  <dataValidations count="1">
    <dataValidation type="list" allowBlank="1" showErrorMessage="1" sqref="H2:H902">
      <formula1>"G1,G2"</formula1>
    </dataValidation>
  </dataValidations>
  <hyperlinks>
    <hyperlink ref="J583" r:id="rId1"/>
    <hyperlink ref="J586" r:id="rId2"/>
    <hyperlink ref="J581" r:id="rId3"/>
    <hyperlink ref="J588" r:id="rId4"/>
    <hyperlink ref="J635" r:id="rId5"/>
    <hyperlink ref="J640" r:id="rId6"/>
    <hyperlink ref="J66" r:id="rId7"/>
    <hyperlink ref="J582" r:id="rId8"/>
    <hyperlink ref="J3" r:id="rId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D903"/>
  <sheetViews>
    <sheetView workbookViewId="0">
      <selection activeCell="K469" sqref="K469"/>
    </sheetView>
  </sheetViews>
  <sheetFormatPr defaultColWidth="12.54296875" defaultRowHeight="14.5"/>
  <cols>
    <col min="1" max="1" width="17.453125" style="3" bestFit="1" customWidth="1"/>
    <col min="2" max="2" width="5.453125" style="3" bestFit="1" customWidth="1"/>
    <col min="3" max="3" width="23.453125" style="3" bestFit="1" customWidth="1"/>
    <col min="4" max="4" width="14.90625" style="3" bestFit="1" customWidth="1"/>
    <col min="5" max="5" width="14.90625" style="3" customWidth="1"/>
    <col min="6" max="6" width="32.36328125" style="3" customWidth="1"/>
    <col min="7" max="7" width="20" style="3" hidden="1" customWidth="1"/>
    <col min="8" max="8" width="22.6328125" style="3" customWidth="1"/>
    <col min="9" max="9" width="11.36328125" style="3" customWidth="1"/>
    <col min="10" max="10" width="19.453125" style="3" customWidth="1"/>
    <col min="11" max="11" width="36.54296875" style="3" customWidth="1"/>
    <col min="12" max="12" width="28.453125" style="3" hidden="1" customWidth="1"/>
    <col min="13" max="13" width="28.90625" style="3" hidden="1" customWidth="1"/>
    <col min="14" max="14" width="13.08984375" style="3" hidden="1" customWidth="1"/>
    <col min="15" max="16384" width="12.54296875" style="3"/>
  </cols>
  <sheetData>
    <row r="1" spans="1:30" ht="29.25" customHeight="1">
      <c r="A1" s="1" t="s">
        <v>0</v>
      </c>
      <c r="B1" s="1" t="s">
        <v>1</v>
      </c>
      <c r="C1" s="1" t="s">
        <v>2</v>
      </c>
      <c r="D1" s="1" t="s">
        <v>3</v>
      </c>
      <c r="E1" s="1" t="s">
        <v>4</v>
      </c>
      <c r="F1" s="1" t="s">
        <v>1817</v>
      </c>
      <c r="G1" s="1" t="s">
        <v>5</v>
      </c>
      <c r="H1" s="1" t="s">
        <v>6</v>
      </c>
      <c r="I1" s="1" t="s">
        <v>1819</v>
      </c>
      <c r="J1" s="1" t="s">
        <v>1820</v>
      </c>
      <c r="K1" s="1" t="s">
        <v>7</v>
      </c>
      <c r="L1" s="1" t="s">
        <v>8</v>
      </c>
      <c r="M1" s="1" t="s">
        <v>9</v>
      </c>
      <c r="N1" s="1" t="s">
        <v>10</v>
      </c>
      <c r="O1" s="2"/>
      <c r="P1" s="2"/>
      <c r="S1" s="2" t="s">
        <v>3613</v>
      </c>
      <c r="T1" s="2" t="s">
        <v>3614</v>
      </c>
      <c r="U1" s="2" t="s">
        <v>3615</v>
      </c>
      <c r="V1" s="2"/>
      <c r="W1" s="2"/>
      <c r="X1" s="2"/>
    </row>
    <row r="2" spans="1:30" ht="15.75" customHeight="1">
      <c r="A2" s="4" t="s">
        <v>773</v>
      </c>
      <c r="B2" s="5">
        <v>2402</v>
      </c>
      <c r="C2" s="6" t="s">
        <v>899</v>
      </c>
      <c r="D2" s="7">
        <v>2021308861</v>
      </c>
      <c r="E2" s="7">
        <v>210101102</v>
      </c>
      <c r="F2" s="7" t="s">
        <v>1801</v>
      </c>
      <c r="G2" s="7" t="s">
        <v>13</v>
      </c>
      <c r="H2" s="6" t="s">
        <v>900</v>
      </c>
      <c r="I2" s="6" t="s">
        <v>1821</v>
      </c>
      <c r="J2" s="6" t="s">
        <v>1822</v>
      </c>
      <c r="K2" s="6" t="s">
        <v>15</v>
      </c>
      <c r="L2" s="6" t="s">
        <v>26</v>
      </c>
      <c r="M2" s="6" t="s">
        <v>16</v>
      </c>
      <c r="N2" s="7" t="s">
        <v>18</v>
      </c>
      <c r="O2" s="23" t="s">
        <v>3611</v>
      </c>
      <c r="R2" s="23" t="s">
        <v>3612</v>
      </c>
      <c r="S2" s="2" t="s">
        <v>3613</v>
      </c>
      <c r="T2" s="2" t="s">
        <v>3614</v>
      </c>
      <c r="U2" s="2" t="s">
        <v>3615</v>
      </c>
      <c r="V2" s="23" t="s">
        <v>3616</v>
      </c>
      <c r="W2" s="24" t="s">
        <v>3617</v>
      </c>
      <c r="X2" s="23" t="s">
        <v>3618</v>
      </c>
      <c r="Y2" s="23" t="s">
        <v>3619</v>
      </c>
      <c r="Z2" s="23" t="s">
        <v>3620</v>
      </c>
      <c r="AA2" s="23" t="s">
        <v>3621</v>
      </c>
      <c r="AB2" s="8"/>
      <c r="AC2" s="8"/>
      <c r="AD2" s="8"/>
    </row>
    <row r="3" spans="1:30" ht="15.75" customHeight="1">
      <c r="A3" s="10" t="s">
        <v>773</v>
      </c>
      <c r="B3" s="5">
        <v>2402</v>
      </c>
      <c r="C3" s="6" t="s">
        <v>809</v>
      </c>
      <c r="D3" s="7">
        <v>2021529806</v>
      </c>
      <c r="E3" s="7">
        <v>210101190</v>
      </c>
      <c r="F3" s="7" t="s">
        <v>1801</v>
      </c>
      <c r="G3" s="7" t="s">
        <v>13</v>
      </c>
      <c r="H3" s="6" t="s">
        <v>810</v>
      </c>
      <c r="I3" s="6" t="s">
        <v>1823</v>
      </c>
      <c r="J3" s="6" t="s">
        <v>1824</v>
      </c>
      <c r="K3" s="6" t="s">
        <v>15</v>
      </c>
      <c r="L3" s="6" t="s">
        <v>21</v>
      </c>
      <c r="M3" s="6" t="s">
        <v>26</v>
      </c>
      <c r="N3" s="7" t="s">
        <v>18</v>
      </c>
      <c r="O3" s="23" t="s">
        <v>3611</v>
      </c>
      <c r="R3" s="23" t="s">
        <v>3612</v>
      </c>
      <c r="S3" s="2" t="s">
        <v>3613</v>
      </c>
      <c r="T3" s="2" t="s">
        <v>3614</v>
      </c>
      <c r="U3" s="2" t="s">
        <v>3615</v>
      </c>
      <c r="V3" s="23" t="s">
        <v>3616</v>
      </c>
      <c r="W3" s="24" t="s">
        <v>3617</v>
      </c>
      <c r="X3" s="23" t="s">
        <v>3618</v>
      </c>
      <c r="Y3" s="23" t="s">
        <v>3619</v>
      </c>
      <c r="Z3" s="23" t="s">
        <v>3620</v>
      </c>
      <c r="AA3" s="23" t="s">
        <v>3621</v>
      </c>
      <c r="AB3" s="8"/>
      <c r="AC3" s="8"/>
      <c r="AD3" s="8"/>
    </row>
    <row r="4" spans="1:30" ht="15.75" customHeight="1">
      <c r="A4" s="4" t="s">
        <v>773</v>
      </c>
      <c r="B4" s="5">
        <v>2402</v>
      </c>
      <c r="C4" s="6" t="s">
        <v>901</v>
      </c>
      <c r="D4" s="7">
        <v>2021828405</v>
      </c>
      <c r="E4" s="7">
        <v>210101591</v>
      </c>
      <c r="F4" s="7" t="s">
        <v>1801</v>
      </c>
      <c r="G4" s="7" t="s">
        <v>13</v>
      </c>
      <c r="H4" s="6" t="s">
        <v>902</v>
      </c>
      <c r="I4" s="6" t="s">
        <v>1825</v>
      </c>
      <c r="J4" s="6" t="s">
        <v>1826</v>
      </c>
      <c r="K4" s="6" t="s">
        <v>15</v>
      </c>
      <c r="L4" s="6" t="s">
        <v>104</v>
      </c>
      <c r="M4" s="6" t="s">
        <v>117</v>
      </c>
      <c r="N4" s="7" t="s">
        <v>18</v>
      </c>
      <c r="O4" s="23" t="s">
        <v>3611</v>
      </c>
      <c r="R4" s="23" t="s">
        <v>3612</v>
      </c>
      <c r="S4" s="2" t="s">
        <v>3613</v>
      </c>
      <c r="T4" s="2" t="s">
        <v>3614</v>
      </c>
      <c r="U4" s="2" t="s">
        <v>3615</v>
      </c>
      <c r="V4" s="23" t="s">
        <v>3616</v>
      </c>
      <c r="W4" s="24" t="s">
        <v>3617</v>
      </c>
      <c r="X4" s="23" t="s">
        <v>3618</v>
      </c>
      <c r="Y4" s="23" t="s">
        <v>3619</v>
      </c>
      <c r="Z4" s="23" t="s">
        <v>3620</v>
      </c>
      <c r="AA4" s="23" t="s">
        <v>3621</v>
      </c>
      <c r="AB4" s="8"/>
      <c r="AC4" s="8"/>
      <c r="AD4" s="8"/>
    </row>
    <row r="5" spans="1:30" ht="15.75" customHeight="1">
      <c r="A5" s="4" t="s">
        <v>773</v>
      </c>
      <c r="B5" s="5">
        <v>2402</v>
      </c>
      <c r="C5" s="6" t="s">
        <v>897</v>
      </c>
      <c r="D5" s="7">
        <v>2021000009</v>
      </c>
      <c r="E5" s="7">
        <v>210121021</v>
      </c>
      <c r="F5" s="7" t="s">
        <v>1801</v>
      </c>
      <c r="G5" s="7" t="s">
        <v>13</v>
      </c>
      <c r="H5" s="6" t="s">
        <v>898</v>
      </c>
      <c r="I5" s="6" t="s">
        <v>1827</v>
      </c>
      <c r="J5" s="6" t="s">
        <v>1828</v>
      </c>
      <c r="K5" s="6" t="s">
        <v>15</v>
      </c>
      <c r="L5" s="6" t="s">
        <v>21</v>
      </c>
      <c r="M5" s="6" t="s">
        <v>117</v>
      </c>
      <c r="N5" s="7" t="s">
        <v>18</v>
      </c>
      <c r="O5" s="23" t="s">
        <v>3611</v>
      </c>
      <c r="R5" s="23" t="s">
        <v>3612</v>
      </c>
      <c r="S5" s="2" t="s">
        <v>3613</v>
      </c>
      <c r="T5" s="2" t="s">
        <v>3614</v>
      </c>
      <c r="U5" s="2" t="s">
        <v>3615</v>
      </c>
      <c r="V5" s="23" t="s">
        <v>3616</v>
      </c>
      <c r="W5" s="24" t="s">
        <v>3617</v>
      </c>
      <c r="X5" s="23" t="s">
        <v>3618</v>
      </c>
      <c r="Y5" s="23" t="s">
        <v>3619</v>
      </c>
      <c r="Z5" s="23" t="s">
        <v>3620</v>
      </c>
      <c r="AA5" s="23" t="s">
        <v>3621</v>
      </c>
      <c r="AB5" s="9"/>
      <c r="AC5" s="9"/>
      <c r="AD5" s="9"/>
    </row>
    <row r="6" spans="1:30" ht="15.75" customHeight="1">
      <c r="A6" s="4" t="s">
        <v>773</v>
      </c>
      <c r="B6" s="5">
        <v>2402</v>
      </c>
      <c r="C6" s="6" t="s">
        <v>998</v>
      </c>
      <c r="D6" s="7">
        <v>2022579515</v>
      </c>
      <c r="E6" s="7">
        <v>2201010023</v>
      </c>
      <c r="F6" s="7" t="s">
        <v>1801</v>
      </c>
      <c r="G6" s="7" t="s">
        <v>13</v>
      </c>
      <c r="H6" s="6" t="s">
        <v>999</v>
      </c>
      <c r="I6" s="6" t="s">
        <v>1829</v>
      </c>
      <c r="J6" s="6" t="s">
        <v>1830</v>
      </c>
      <c r="K6" s="6" t="s">
        <v>15</v>
      </c>
      <c r="L6" s="6" t="s">
        <v>104</v>
      </c>
      <c r="M6" s="6" t="s">
        <v>26</v>
      </c>
      <c r="N6" s="7" t="s">
        <v>18</v>
      </c>
      <c r="O6" s="23" t="s">
        <v>3611</v>
      </c>
      <c r="R6" s="23" t="s">
        <v>3612</v>
      </c>
      <c r="S6" s="2" t="s">
        <v>3613</v>
      </c>
      <c r="T6" s="2" t="s">
        <v>3614</v>
      </c>
      <c r="U6" s="2" t="s">
        <v>3615</v>
      </c>
      <c r="V6" s="23" t="s">
        <v>3616</v>
      </c>
      <c r="W6" s="24" t="s">
        <v>3617</v>
      </c>
      <c r="X6" s="23" t="s">
        <v>3618</v>
      </c>
      <c r="Y6" s="23" t="s">
        <v>3619</v>
      </c>
      <c r="Z6" s="23" t="s">
        <v>3620</v>
      </c>
      <c r="AA6" s="23" t="s">
        <v>3621</v>
      </c>
      <c r="AB6" s="8"/>
      <c r="AC6" s="8"/>
      <c r="AD6" s="8"/>
    </row>
    <row r="7" spans="1:30" ht="15.75" customHeight="1">
      <c r="A7" s="4" t="s">
        <v>773</v>
      </c>
      <c r="B7" s="5">
        <v>2402</v>
      </c>
      <c r="C7" s="6" t="s">
        <v>989</v>
      </c>
      <c r="D7" s="7">
        <v>2022534811</v>
      </c>
      <c r="E7" s="7">
        <v>2201010078</v>
      </c>
      <c r="F7" s="7" t="s">
        <v>1801</v>
      </c>
      <c r="G7" s="7" t="s">
        <v>13</v>
      </c>
      <c r="H7" s="6" t="s">
        <v>990</v>
      </c>
      <c r="I7" s="6" t="s">
        <v>1831</v>
      </c>
      <c r="J7" s="6" t="s">
        <v>1832</v>
      </c>
      <c r="K7" s="6" t="s">
        <v>15</v>
      </c>
      <c r="L7" s="6" t="s">
        <v>21</v>
      </c>
      <c r="M7" s="6" t="s">
        <v>104</v>
      </c>
      <c r="N7" s="7" t="s">
        <v>174</v>
      </c>
      <c r="O7" s="23" t="s">
        <v>3611</v>
      </c>
      <c r="R7" s="23" t="s">
        <v>3612</v>
      </c>
      <c r="S7" s="2" t="s">
        <v>3613</v>
      </c>
      <c r="T7" s="2" t="s">
        <v>3614</v>
      </c>
      <c r="U7" s="2" t="s">
        <v>3615</v>
      </c>
      <c r="V7" s="23" t="s">
        <v>3616</v>
      </c>
      <c r="W7" s="24" t="s">
        <v>3617</v>
      </c>
      <c r="X7" s="23" t="s">
        <v>3618</v>
      </c>
      <c r="Y7" s="23" t="s">
        <v>3619</v>
      </c>
      <c r="Z7" s="23" t="s">
        <v>3620</v>
      </c>
      <c r="AA7" s="23" t="s">
        <v>3621</v>
      </c>
      <c r="AB7" s="8"/>
      <c r="AC7" s="8"/>
      <c r="AD7" s="8"/>
    </row>
    <row r="8" spans="1:30" ht="15.75" customHeight="1">
      <c r="A8" s="4" t="s">
        <v>773</v>
      </c>
      <c r="B8" s="5">
        <v>2402</v>
      </c>
      <c r="C8" s="6" t="s">
        <v>957</v>
      </c>
      <c r="D8" s="7">
        <v>2022475156</v>
      </c>
      <c r="E8" s="7">
        <v>2201010099</v>
      </c>
      <c r="F8" s="7" t="s">
        <v>1801</v>
      </c>
      <c r="G8" s="7" t="s">
        <v>13</v>
      </c>
      <c r="H8" s="6" t="s">
        <v>958</v>
      </c>
      <c r="I8" s="6" t="s">
        <v>1833</v>
      </c>
      <c r="J8" s="6" t="s">
        <v>1834</v>
      </c>
      <c r="K8" s="6" t="s">
        <v>15</v>
      </c>
      <c r="L8" s="6" t="s">
        <v>26</v>
      </c>
      <c r="M8" s="6" t="s">
        <v>26</v>
      </c>
      <c r="N8" s="7" t="s">
        <v>18</v>
      </c>
      <c r="O8" s="23" t="s">
        <v>3611</v>
      </c>
      <c r="R8" s="23" t="s">
        <v>3612</v>
      </c>
      <c r="S8" s="2" t="s">
        <v>3613</v>
      </c>
      <c r="T8" s="2" t="s">
        <v>3614</v>
      </c>
      <c r="U8" s="2" t="s">
        <v>3615</v>
      </c>
      <c r="V8" s="23" t="s">
        <v>3616</v>
      </c>
      <c r="W8" s="24" t="s">
        <v>3617</v>
      </c>
      <c r="X8" s="23" t="s">
        <v>3618</v>
      </c>
      <c r="Y8" s="23" t="s">
        <v>3619</v>
      </c>
      <c r="Z8" s="23" t="s">
        <v>3620</v>
      </c>
      <c r="AA8" s="23" t="s">
        <v>3621</v>
      </c>
      <c r="AB8" s="8"/>
      <c r="AC8" s="8"/>
      <c r="AD8" s="8"/>
    </row>
    <row r="9" spans="1:30" ht="15.75" customHeight="1">
      <c r="A9" s="4" t="s">
        <v>773</v>
      </c>
      <c r="B9" s="5">
        <v>2402</v>
      </c>
      <c r="C9" s="6" t="s">
        <v>939</v>
      </c>
      <c r="D9" s="7">
        <v>2022394343</v>
      </c>
      <c r="E9" s="7">
        <v>2201010111</v>
      </c>
      <c r="F9" s="7" t="s">
        <v>1801</v>
      </c>
      <c r="G9" s="7" t="s">
        <v>13</v>
      </c>
      <c r="H9" s="6" t="s">
        <v>940</v>
      </c>
      <c r="I9" s="6" t="s">
        <v>1835</v>
      </c>
      <c r="J9" s="6" t="s">
        <v>1836</v>
      </c>
      <c r="K9" s="6" t="s">
        <v>15</v>
      </c>
      <c r="L9" s="6" t="s">
        <v>104</v>
      </c>
      <c r="M9" s="6" t="s">
        <v>21</v>
      </c>
      <c r="N9" s="7" t="s">
        <v>18</v>
      </c>
      <c r="O9" s="23" t="s">
        <v>3611</v>
      </c>
      <c r="R9" s="23" t="s">
        <v>3612</v>
      </c>
      <c r="S9" s="2" t="s">
        <v>3613</v>
      </c>
      <c r="T9" s="2" t="s">
        <v>3614</v>
      </c>
      <c r="U9" s="2" t="s">
        <v>3615</v>
      </c>
      <c r="V9" s="23" t="s">
        <v>3616</v>
      </c>
      <c r="W9" s="24" t="s">
        <v>3617</v>
      </c>
      <c r="X9" s="23" t="s">
        <v>3618</v>
      </c>
      <c r="Y9" s="23" t="s">
        <v>3619</v>
      </c>
      <c r="Z9" s="23" t="s">
        <v>3620</v>
      </c>
      <c r="AA9" s="23" t="s">
        <v>3621</v>
      </c>
      <c r="AB9" s="8"/>
      <c r="AC9" s="8"/>
      <c r="AD9" s="8"/>
    </row>
    <row r="10" spans="1:30" ht="15.75" customHeight="1">
      <c r="A10" s="4" t="s">
        <v>773</v>
      </c>
      <c r="B10" s="5">
        <v>2402</v>
      </c>
      <c r="C10" s="6" t="s">
        <v>915</v>
      </c>
      <c r="D10" s="7">
        <v>2022006308</v>
      </c>
      <c r="E10" s="7">
        <v>2201010121</v>
      </c>
      <c r="F10" s="7" t="s">
        <v>1801</v>
      </c>
      <c r="G10" s="7" t="s">
        <v>13</v>
      </c>
      <c r="H10" s="6" t="s">
        <v>916</v>
      </c>
      <c r="I10" s="6" t="s">
        <v>1837</v>
      </c>
      <c r="J10" s="6" t="s">
        <v>1838</v>
      </c>
      <c r="K10" s="6" t="s">
        <v>15</v>
      </c>
      <c r="L10" s="6" t="s">
        <v>21</v>
      </c>
      <c r="M10" s="6" t="s">
        <v>26</v>
      </c>
      <c r="N10" s="7" t="s">
        <v>18</v>
      </c>
      <c r="O10" s="23" t="s">
        <v>3611</v>
      </c>
      <c r="R10" s="23" t="s">
        <v>3612</v>
      </c>
      <c r="S10" s="2" t="s">
        <v>3613</v>
      </c>
      <c r="T10" s="2" t="s">
        <v>3614</v>
      </c>
      <c r="U10" s="2" t="s">
        <v>3615</v>
      </c>
      <c r="V10" s="23" t="s">
        <v>3616</v>
      </c>
      <c r="W10" s="24" t="s">
        <v>3617</v>
      </c>
      <c r="X10" s="23" t="s">
        <v>3618</v>
      </c>
      <c r="Y10" s="23" t="s">
        <v>3619</v>
      </c>
      <c r="Z10" s="23" t="s">
        <v>3620</v>
      </c>
      <c r="AA10" s="23" t="s">
        <v>3621</v>
      </c>
      <c r="AB10" s="8"/>
      <c r="AC10" s="8"/>
      <c r="AD10" s="8"/>
    </row>
    <row r="11" spans="1:30" ht="15.75" customHeight="1">
      <c r="A11" s="4" t="s">
        <v>773</v>
      </c>
      <c r="B11" s="5">
        <v>2402</v>
      </c>
      <c r="C11" s="6" t="s">
        <v>951</v>
      </c>
      <c r="D11" s="7">
        <v>2022438604</v>
      </c>
      <c r="E11" s="7">
        <v>2201010162</v>
      </c>
      <c r="F11" s="7" t="s">
        <v>1801</v>
      </c>
      <c r="G11" s="7" t="s">
        <v>13</v>
      </c>
      <c r="H11" s="6" t="s">
        <v>952</v>
      </c>
      <c r="I11" s="6" t="s">
        <v>1839</v>
      </c>
      <c r="J11" s="6" t="s">
        <v>1840</v>
      </c>
      <c r="K11" s="6" t="s">
        <v>15</v>
      </c>
      <c r="L11" s="6" t="s">
        <v>21</v>
      </c>
      <c r="M11" s="6" t="s">
        <v>104</v>
      </c>
      <c r="N11" s="7" t="s">
        <v>18</v>
      </c>
      <c r="O11" s="23" t="s">
        <v>3611</v>
      </c>
      <c r="R11" s="23" t="s">
        <v>3612</v>
      </c>
      <c r="S11" s="2" t="s">
        <v>3613</v>
      </c>
      <c r="T11" s="2" t="s">
        <v>3614</v>
      </c>
      <c r="U11" s="2" t="s">
        <v>3615</v>
      </c>
      <c r="V11" s="23" t="s">
        <v>3616</v>
      </c>
      <c r="W11" s="24" t="s">
        <v>3617</v>
      </c>
      <c r="X11" s="23" t="s">
        <v>3618</v>
      </c>
      <c r="Y11" s="23" t="s">
        <v>3619</v>
      </c>
      <c r="Z11" s="23" t="s">
        <v>3620</v>
      </c>
      <c r="AA11" s="23" t="s">
        <v>3621</v>
      </c>
      <c r="AB11" s="8"/>
      <c r="AC11" s="8"/>
      <c r="AD11" s="8"/>
    </row>
    <row r="12" spans="1:30" ht="15.75" customHeight="1">
      <c r="A12" s="4" t="s">
        <v>773</v>
      </c>
      <c r="B12" s="5">
        <v>2402</v>
      </c>
      <c r="C12" s="6" t="s">
        <v>983</v>
      </c>
      <c r="D12" s="7">
        <v>2022521926</v>
      </c>
      <c r="E12" s="7">
        <v>2201010175</v>
      </c>
      <c r="F12" s="7" t="s">
        <v>1801</v>
      </c>
      <c r="G12" s="7" t="s">
        <v>13</v>
      </c>
      <c r="H12" s="6" t="s">
        <v>984</v>
      </c>
      <c r="I12" s="6" t="s">
        <v>1841</v>
      </c>
      <c r="J12" s="6" t="s">
        <v>1842</v>
      </c>
      <c r="K12" s="6" t="s">
        <v>15</v>
      </c>
      <c r="L12" s="6" t="s">
        <v>26</v>
      </c>
      <c r="M12" s="6" t="s">
        <v>117</v>
      </c>
      <c r="N12" s="7" t="s">
        <v>174</v>
      </c>
      <c r="O12" s="23" t="s">
        <v>3611</v>
      </c>
      <c r="R12" s="23" t="s">
        <v>3612</v>
      </c>
      <c r="S12" s="2" t="s">
        <v>3613</v>
      </c>
      <c r="T12" s="2" t="s">
        <v>3614</v>
      </c>
      <c r="U12" s="2" t="s">
        <v>3615</v>
      </c>
      <c r="V12" s="23" t="s">
        <v>3616</v>
      </c>
      <c r="W12" s="24" t="s">
        <v>3617</v>
      </c>
      <c r="X12" s="23" t="s">
        <v>3618</v>
      </c>
      <c r="Y12" s="23" t="s">
        <v>3619</v>
      </c>
      <c r="Z12" s="23" t="s">
        <v>3620</v>
      </c>
      <c r="AA12" s="23" t="s">
        <v>3621</v>
      </c>
      <c r="AB12" s="8"/>
      <c r="AC12" s="8"/>
      <c r="AD12" s="8"/>
    </row>
    <row r="13" spans="1:30" ht="15.75" customHeight="1">
      <c r="A13" s="4" t="s">
        <v>773</v>
      </c>
      <c r="B13" s="5">
        <v>2402</v>
      </c>
      <c r="C13" s="6" t="s">
        <v>935</v>
      </c>
      <c r="D13" s="7">
        <v>2022325232</v>
      </c>
      <c r="E13" s="7">
        <v>2201010178</v>
      </c>
      <c r="F13" s="7" t="s">
        <v>1801</v>
      </c>
      <c r="G13" s="7" t="s">
        <v>13</v>
      </c>
      <c r="H13" s="6" t="s">
        <v>936</v>
      </c>
      <c r="I13" s="6" t="s">
        <v>1843</v>
      </c>
      <c r="J13" s="6" t="s">
        <v>1844</v>
      </c>
      <c r="K13" s="6" t="s">
        <v>15</v>
      </c>
      <c r="L13" s="6" t="s">
        <v>104</v>
      </c>
      <c r="M13" s="6" t="s">
        <v>49</v>
      </c>
      <c r="N13" s="7" t="s">
        <v>18</v>
      </c>
      <c r="O13" s="23" t="s">
        <v>3611</v>
      </c>
      <c r="R13" s="23" t="s">
        <v>3612</v>
      </c>
      <c r="S13" s="2" t="s">
        <v>3613</v>
      </c>
      <c r="T13" s="2" t="s">
        <v>3614</v>
      </c>
      <c r="U13" s="2" t="s">
        <v>3615</v>
      </c>
      <c r="V13" s="23" t="s">
        <v>3616</v>
      </c>
      <c r="W13" s="24" t="s">
        <v>3617</v>
      </c>
      <c r="X13" s="23" t="s">
        <v>3618</v>
      </c>
      <c r="Y13" s="23" t="s">
        <v>3619</v>
      </c>
      <c r="Z13" s="23" t="s">
        <v>3620</v>
      </c>
      <c r="AA13" s="23" t="s">
        <v>3621</v>
      </c>
      <c r="AB13" s="8"/>
      <c r="AC13" s="8"/>
      <c r="AD13" s="8"/>
    </row>
    <row r="14" spans="1:30" ht="15.75" customHeight="1">
      <c r="A14" s="4" t="s">
        <v>773</v>
      </c>
      <c r="B14" s="5">
        <v>2402</v>
      </c>
      <c r="C14" s="6" t="s">
        <v>933</v>
      </c>
      <c r="D14" s="7">
        <v>2022305905</v>
      </c>
      <c r="E14" s="7">
        <v>2201010193</v>
      </c>
      <c r="F14" s="7" t="s">
        <v>1801</v>
      </c>
      <c r="G14" s="7" t="s">
        <v>13</v>
      </c>
      <c r="H14" s="6" t="s">
        <v>934</v>
      </c>
      <c r="I14" s="6" t="s">
        <v>1845</v>
      </c>
      <c r="J14" s="6" t="s">
        <v>1846</v>
      </c>
      <c r="K14" s="6" t="s">
        <v>15</v>
      </c>
      <c r="L14" s="6" t="s">
        <v>49</v>
      </c>
      <c r="M14" s="6" t="s">
        <v>104</v>
      </c>
      <c r="N14" s="7" t="s">
        <v>18</v>
      </c>
      <c r="O14" s="23" t="s">
        <v>3611</v>
      </c>
      <c r="R14" s="23" t="s">
        <v>3612</v>
      </c>
      <c r="S14" s="2" t="s">
        <v>3613</v>
      </c>
      <c r="T14" s="2" t="s">
        <v>3614</v>
      </c>
      <c r="U14" s="2" t="s">
        <v>3615</v>
      </c>
      <c r="V14" s="23" t="s">
        <v>3616</v>
      </c>
      <c r="W14" s="24" t="s">
        <v>3617</v>
      </c>
      <c r="X14" s="23" t="s">
        <v>3618</v>
      </c>
      <c r="Y14" s="23" t="s">
        <v>3619</v>
      </c>
      <c r="Z14" s="23" t="s">
        <v>3620</v>
      </c>
      <c r="AA14" s="23" t="s">
        <v>3621</v>
      </c>
      <c r="AB14" s="8"/>
      <c r="AC14" s="8"/>
      <c r="AD14" s="8"/>
    </row>
    <row r="15" spans="1:30" ht="15.75" customHeight="1">
      <c r="A15" s="4" t="s">
        <v>773</v>
      </c>
      <c r="B15" s="5">
        <v>2402</v>
      </c>
      <c r="C15" s="6" t="s">
        <v>941</v>
      </c>
      <c r="D15" s="7">
        <v>2022411800</v>
      </c>
      <c r="E15" s="7">
        <v>2201010236</v>
      </c>
      <c r="F15" s="7" t="s">
        <v>1801</v>
      </c>
      <c r="G15" s="7" t="s">
        <v>13</v>
      </c>
      <c r="H15" s="6" t="s">
        <v>942</v>
      </c>
      <c r="I15" s="6" t="s">
        <v>1847</v>
      </c>
      <c r="J15" s="6" t="s">
        <v>1848</v>
      </c>
      <c r="K15" s="6" t="s">
        <v>15</v>
      </c>
      <c r="L15" s="6" t="s">
        <v>104</v>
      </c>
      <c r="M15" s="6" t="s">
        <v>104</v>
      </c>
      <c r="N15" s="7" t="s">
        <v>18</v>
      </c>
      <c r="O15" s="23" t="s">
        <v>3611</v>
      </c>
      <c r="R15" s="23" t="s">
        <v>3612</v>
      </c>
      <c r="S15" s="2" t="s">
        <v>3613</v>
      </c>
      <c r="T15" s="2" t="s">
        <v>3614</v>
      </c>
      <c r="U15" s="2" t="s">
        <v>3615</v>
      </c>
      <c r="V15" s="23" t="s">
        <v>3616</v>
      </c>
      <c r="W15" s="24" t="s">
        <v>3617</v>
      </c>
      <c r="X15" s="23" t="s">
        <v>3618</v>
      </c>
      <c r="Y15" s="23" t="s">
        <v>3619</v>
      </c>
      <c r="Z15" s="23" t="s">
        <v>3620</v>
      </c>
      <c r="AA15" s="23" t="s">
        <v>3621</v>
      </c>
      <c r="AB15" s="8"/>
      <c r="AC15" s="8"/>
      <c r="AD15" s="8"/>
    </row>
    <row r="16" spans="1:30" ht="15.75" customHeight="1">
      <c r="A16" s="4" t="s">
        <v>773</v>
      </c>
      <c r="B16" s="5">
        <v>2402</v>
      </c>
      <c r="C16" s="6" t="s">
        <v>967</v>
      </c>
      <c r="D16" s="7">
        <v>2022503298</v>
      </c>
      <c r="E16" s="7">
        <v>2201010308</v>
      </c>
      <c r="F16" s="7" t="s">
        <v>1801</v>
      </c>
      <c r="G16" s="7" t="s">
        <v>13</v>
      </c>
      <c r="H16" s="6" t="s">
        <v>968</v>
      </c>
      <c r="I16" s="6" t="s">
        <v>1849</v>
      </c>
      <c r="J16" s="6" t="s">
        <v>1850</v>
      </c>
      <c r="K16" s="6" t="s">
        <v>15</v>
      </c>
      <c r="L16" s="6" t="s">
        <v>49</v>
      </c>
      <c r="M16" s="6" t="s">
        <v>149</v>
      </c>
      <c r="N16" s="7" t="s">
        <v>18</v>
      </c>
      <c r="O16" s="23" t="s">
        <v>3611</v>
      </c>
      <c r="R16" s="23" t="s">
        <v>3612</v>
      </c>
      <c r="S16" s="2" t="s">
        <v>3613</v>
      </c>
      <c r="T16" s="2" t="s">
        <v>3614</v>
      </c>
      <c r="U16" s="2" t="s">
        <v>3615</v>
      </c>
      <c r="V16" s="23" t="s">
        <v>3616</v>
      </c>
      <c r="W16" s="24" t="s">
        <v>3617</v>
      </c>
      <c r="X16" s="23" t="s">
        <v>3618</v>
      </c>
      <c r="Y16" s="23" t="s">
        <v>3619</v>
      </c>
      <c r="Z16" s="23" t="s">
        <v>3620</v>
      </c>
      <c r="AA16" s="23" t="s">
        <v>3621</v>
      </c>
      <c r="AB16" s="8"/>
      <c r="AC16" s="8"/>
      <c r="AD16" s="8"/>
    </row>
    <row r="17" spans="1:30" ht="15.75" customHeight="1">
      <c r="A17" s="4" t="s">
        <v>773</v>
      </c>
      <c r="B17" s="5">
        <v>2402</v>
      </c>
      <c r="C17" s="6" t="s">
        <v>959</v>
      </c>
      <c r="D17" s="7">
        <v>2022476255</v>
      </c>
      <c r="E17" s="7">
        <v>2201010325</v>
      </c>
      <c r="F17" s="7" t="s">
        <v>1801</v>
      </c>
      <c r="G17" s="7" t="s">
        <v>13</v>
      </c>
      <c r="H17" s="6" t="s">
        <v>960</v>
      </c>
      <c r="I17" s="6" t="s">
        <v>1851</v>
      </c>
      <c r="J17" s="6" t="s">
        <v>1852</v>
      </c>
      <c r="K17" s="6" t="s">
        <v>15</v>
      </c>
      <c r="L17" s="6" t="s">
        <v>21</v>
      </c>
      <c r="M17" s="6" t="s">
        <v>26</v>
      </c>
      <c r="N17" s="7" t="s">
        <v>18</v>
      </c>
      <c r="O17" s="23" t="s">
        <v>3611</v>
      </c>
      <c r="R17" s="23" t="s">
        <v>3612</v>
      </c>
      <c r="S17" s="2" t="s">
        <v>3613</v>
      </c>
      <c r="T17" s="2" t="s">
        <v>3614</v>
      </c>
      <c r="U17" s="2" t="s">
        <v>3615</v>
      </c>
      <c r="V17" s="23" t="s">
        <v>3616</v>
      </c>
      <c r="W17" s="24" t="s">
        <v>3617</v>
      </c>
      <c r="X17" s="23" t="s">
        <v>3618</v>
      </c>
      <c r="Y17" s="23" t="s">
        <v>3619</v>
      </c>
      <c r="Z17" s="23" t="s">
        <v>3620</v>
      </c>
      <c r="AA17" s="23" t="s">
        <v>3621</v>
      </c>
      <c r="AB17" s="8"/>
      <c r="AC17" s="8"/>
      <c r="AD17" s="8"/>
    </row>
    <row r="18" spans="1:30" ht="15.75" customHeight="1">
      <c r="A18" s="4" t="s">
        <v>773</v>
      </c>
      <c r="B18" s="5">
        <v>2402</v>
      </c>
      <c r="C18" s="6" t="s">
        <v>965</v>
      </c>
      <c r="D18" s="7">
        <v>2022501762</v>
      </c>
      <c r="E18" s="7">
        <v>2201010355</v>
      </c>
      <c r="F18" s="7" t="s">
        <v>1801</v>
      </c>
      <c r="G18" s="7" t="s">
        <v>13</v>
      </c>
      <c r="H18" s="6" t="s">
        <v>966</v>
      </c>
      <c r="I18" s="6" t="s">
        <v>1853</v>
      </c>
      <c r="J18" s="6" t="s">
        <v>1854</v>
      </c>
      <c r="K18" s="6" t="s">
        <v>15</v>
      </c>
      <c r="L18" s="6" t="s">
        <v>26</v>
      </c>
      <c r="M18" s="6" t="s">
        <v>49</v>
      </c>
      <c r="N18" s="7" t="s">
        <v>18</v>
      </c>
      <c r="O18" s="23" t="s">
        <v>3611</v>
      </c>
      <c r="R18" s="23" t="s">
        <v>3612</v>
      </c>
      <c r="S18" s="2" t="s">
        <v>3613</v>
      </c>
      <c r="T18" s="2" t="s">
        <v>3614</v>
      </c>
      <c r="U18" s="2" t="s">
        <v>3615</v>
      </c>
      <c r="V18" s="23" t="s">
        <v>3616</v>
      </c>
      <c r="W18" s="24" t="s">
        <v>3617</v>
      </c>
      <c r="X18" s="23" t="s">
        <v>3618</v>
      </c>
      <c r="Y18" s="23" t="s">
        <v>3619</v>
      </c>
      <c r="Z18" s="23" t="s">
        <v>3620</v>
      </c>
      <c r="AA18" s="23" t="s">
        <v>3621</v>
      </c>
      <c r="AB18" s="8"/>
      <c r="AC18" s="8"/>
      <c r="AD18" s="8"/>
    </row>
    <row r="19" spans="1:30" ht="15.75" customHeight="1">
      <c r="A19" s="4" t="s">
        <v>773</v>
      </c>
      <c r="B19" s="5">
        <v>2402</v>
      </c>
      <c r="C19" s="6" t="s">
        <v>903</v>
      </c>
      <c r="D19" s="7">
        <v>2022002689</v>
      </c>
      <c r="E19" s="7">
        <v>2201010358</v>
      </c>
      <c r="F19" s="7" t="s">
        <v>1801</v>
      </c>
      <c r="G19" s="7" t="s">
        <v>13</v>
      </c>
      <c r="H19" s="6" t="s">
        <v>904</v>
      </c>
      <c r="I19" s="6" t="s">
        <v>1855</v>
      </c>
      <c r="J19" s="6" t="s">
        <v>1856</v>
      </c>
      <c r="K19" s="6" t="s">
        <v>15</v>
      </c>
      <c r="L19" s="6" t="s">
        <v>26</v>
      </c>
      <c r="M19" s="6" t="s">
        <v>104</v>
      </c>
      <c r="N19" s="7" t="s">
        <v>18</v>
      </c>
      <c r="O19" s="23" t="s">
        <v>3611</v>
      </c>
      <c r="R19" s="23" t="s">
        <v>3612</v>
      </c>
      <c r="S19" s="2" t="s">
        <v>3613</v>
      </c>
      <c r="T19" s="2" t="s">
        <v>3614</v>
      </c>
      <c r="U19" s="2" t="s">
        <v>3615</v>
      </c>
      <c r="V19" s="23" t="s">
        <v>3616</v>
      </c>
      <c r="W19" s="24" t="s">
        <v>3617</v>
      </c>
      <c r="X19" s="23" t="s">
        <v>3618</v>
      </c>
      <c r="Y19" s="23" t="s">
        <v>3619</v>
      </c>
      <c r="Z19" s="23" t="s">
        <v>3620</v>
      </c>
      <c r="AA19" s="23" t="s">
        <v>3621</v>
      </c>
      <c r="AB19" s="8"/>
      <c r="AC19" s="8"/>
      <c r="AD19" s="8"/>
    </row>
    <row r="20" spans="1:30" ht="15.75" customHeight="1">
      <c r="A20" s="4" t="s">
        <v>773</v>
      </c>
      <c r="B20" s="5">
        <v>2402</v>
      </c>
      <c r="C20" s="6" t="s">
        <v>911</v>
      </c>
      <c r="D20" s="7">
        <v>2022004863</v>
      </c>
      <c r="E20" s="7">
        <v>2201010370</v>
      </c>
      <c r="F20" s="7" t="s">
        <v>1801</v>
      </c>
      <c r="G20" s="7" t="s">
        <v>13</v>
      </c>
      <c r="H20" s="6" t="s">
        <v>912</v>
      </c>
      <c r="I20" s="6" t="s">
        <v>1857</v>
      </c>
      <c r="J20" s="6" t="s">
        <v>1858</v>
      </c>
      <c r="K20" s="6" t="s">
        <v>15</v>
      </c>
      <c r="L20" s="6" t="s">
        <v>21</v>
      </c>
      <c r="M20" s="6" t="s">
        <v>26</v>
      </c>
      <c r="N20" s="7" t="s">
        <v>18</v>
      </c>
      <c r="O20" s="23" t="s">
        <v>3611</v>
      </c>
      <c r="R20" s="23" t="s">
        <v>3612</v>
      </c>
      <c r="S20" s="2" t="s">
        <v>3613</v>
      </c>
      <c r="T20" s="2" t="s">
        <v>3614</v>
      </c>
      <c r="U20" s="2" t="s">
        <v>3615</v>
      </c>
      <c r="V20" s="23" t="s">
        <v>3616</v>
      </c>
      <c r="W20" s="24" t="s">
        <v>3617</v>
      </c>
      <c r="X20" s="23" t="s">
        <v>3618</v>
      </c>
      <c r="Y20" s="23" t="s">
        <v>3619</v>
      </c>
      <c r="Z20" s="23" t="s">
        <v>3620</v>
      </c>
      <c r="AA20" s="23" t="s">
        <v>3621</v>
      </c>
      <c r="AB20" s="8"/>
      <c r="AC20" s="8"/>
      <c r="AD20" s="8"/>
    </row>
    <row r="21" spans="1:30" ht="15.75" customHeight="1">
      <c r="A21" s="4" t="s">
        <v>773</v>
      </c>
      <c r="B21" s="5">
        <v>2402</v>
      </c>
      <c r="C21" s="6" t="s">
        <v>985</v>
      </c>
      <c r="D21" s="7">
        <v>2022526514</v>
      </c>
      <c r="E21" s="7">
        <v>2201010415</v>
      </c>
      <c r="F21" s="7" t="s">
        <v>1801</v>
      </c>
      <c r="G21" s="7" t="s">
        <v>13</v>
      </c>
      <c r="H21" s="6" t="s">
        <v>986</v>
      </c>
      <c r="I21" s="6" t="s">
        <v>1859</v>
      </c>
      <c r="J21" s="6" t="s">
        <v>1860</v>
      </c>
      <c r="K21" s="6" t="s">
        <v>15</v>
      </c>
      <c r="L21" s="6" t="s">
        <v>26</v>
      </c>
      <c r="M21" s="6" t="s">
        <v>21</v>
      </c>
      <c r="N21" s="7" t="s">
        <v>18</v>
      </c>
      <c r="O21" s="23" t="s">
        <v>3611</v>
      </c>
      <c r="R21" s="23" t="s">
        <v>3612</v>
      </c>
      <c r="S21" s="2" t="s">
        <v>3613</v>
      </c>
      <c r="T21" s="2" t="s">
        <v>3614</v>
      </c>
      <c r="U21" s="2" t="s">
        <v>3615</v>
      </c>
      <c r="V21" s="23" t="s">
        <v>3616</v>
      </c>
      <c r="W21" s="24" t="s">
        <v>3617</v>
      </c>
      <c r="X21" s="23" t="s">
        <v>3618</v>
      </c>
      <c r="Y21" s="23" t="s">
        <v>3619</v>
      </c>
      <c r="Z21" s="23" t="s">
        <v>3620</v>
      </c>
      <c r="AA21" s="23" t="s">
        <v>3621</v>
      </c>
      <c r="AB21" s="8"/>
      <c r="AC21" s="8"/>
      <c r="AD21" s="8"/>
    </row>
    <row r="22" spans="1:30" ht="15.75" customHeight="1">
      <c r="A22" s="4" t="s">
        <v>773</v>
      </c>
      <c r="B22" s="5">
        <v>2402</v>
      </c>
      <c r="C22" s="6" t="s">
        <v>943</v>
      </c>
      <c r="D22" s="7">
        <v>2022429026</v>
      </c>
      <c r="E22" s="7">
        <v>2201010417</v>
      </c>
      <c r="F22" s="7" t="s">
        <v>1801</v>
      </c>
      <c r="G22" s="7" t="s">
        <v>13</v>
      </c>
      <c r="H22" s="6" t="s">
        <v>944</v>
      </c>
      <c r="I22" s="6" t="s">
        <v>1861</v>
      </c>
      <c r="J22" s="6" t="s">
        <v>1862</v>
      </c>
      <c r="K22" s="6" t="s">
        <v>15</v>
      </c>
      <c r="L22" s="6" t="s">
        <v>21</v>
      </c>
      <c r="M22" s="6" t="s">
        <v>117</v>
      </c>
      <c r="N22" s="7" t="s">
        <v>18</v>
      </c>
      <c r="O22" s="23" t="s">
        <v>3611</v>
      </c>
      <c r="R22" s="23" t="s">
        <v>3612</v>
      </c>
      <c r="S22" s="2" t="s">
        <v>3613</v>
      </c>
      <c r="T22" s="2" t="s">
        <v>3614</v>
      </c>
      <c r="U22" s="2" t="s">
        <v>3615</v>
      </c>
      <c r="V22" s="23" t="s">
        <v>3616</v>
      </c>
      <c r="W22" s="24" t="s">
        <v>3617</v>
      </c>
      <c r="X22" s="23" t="s">
        <v>3618</v>
      </c>
      <c r="Y22" s="23" t="s">
        <v>3619</v>
      </c>
      <c r="Z22" s="23" t="s">
        <v>3620</v>
      </c>
      <c r="AA22" s="23" t="s">
        <v>3621</v>
      </c>
      <c r="AB22" s="8"/>
      <c r="AC22" s="8"/>
      <c r="AD22" s="8"/>
    </row>
    <row r="23" spans="1:30" ht="15.75" customHeight="1">
      <c r="A23" s="4" t="s">
        <v>773</v>
      </c>
      <c r="B23" s="5">
        <v>2402</v>
      </c>
      <c r="C23" s="6" t="s">
        <v>977</v>
      </c>
      <c r="D23" s="7">
        <v>2022518370</v>
      </c>
      <c r="E23" s="7">
        <v>2201010459</v>
      </c>
      <c r="F23" s="7" t="s">
        <v>1801</v>
      </c>
      <c r="G23" s="7" t="s">
        <v>13</v>
      </c>
      <c r="H23" s="6" t="s">
        <v>978</v>
      </c>
      <c r="I23" s="6" t="s">
        <v>1863</v>
      </c>
      <c r="J23" s="6" t="s">
        <v>1864</v>
      </c>
      <c r="K23" s="6" t="s">
        <v>15</v>
      </c>
      <c r="L23" s="6" t="s">
        <v>21</v>
      </c>
      <c r="M23" s="6" t="s">
        <v>17</v>
      </c>
      <c r="N23" s="7" t="s">
        <v>18</v>
      </c>
      <c r="O23" s="23" t="s">
        <v>3611</v>
      </c>
      <c r="R23" s="23" t="s">
        <v>3612</v>
      </c>
      <c r="S23" s="2" t="s">
        <v>3613</v>
      </c>
      <c r="T23" s="2" t="s">
        <v>3614</v>
      </c>
      <c r="U23" s="2" t="s">
        <v>3615</v>
      </c>
      <c r="V23" s="23" t="s">
        <v>3616</v>
      </c>
      <c r="W23" s="24" t="s">
        <v>3617</v>
      </c>
      <c r="X23" s="23" t="s">
        <v>3618</v>
      </c>
      <c r="Y23" s="23" t="s">
        <v>3619</v>
      </c>
      <c r="Z23" s="23" t="s">
        <v>3620</v>
      </c>
      <c r="AA23" s="23" t="s">
        <v>3621</v>
      </c>
      <c r="AB23" s="8"/>
      <c r="AC23" s="8"/>
      <c r="AD23" s="8"/>
    </row>
    <row r="24" spans="1:30" ht="15.75" customHeight="1">
      <c r="A24" s="4" t="s">
        <v>773</v>
      </c>
      <c r="B24" s="5">
        <v>2402</v>
      </c>
      <c r="C24" s="6" t="s">
        <v>947</v>
      </c>
      <c r="D24" s="7">
        <v>2022437668</v>
      </c>
      <c r="E24" s="7">
        <v>2201010467</v>
      </c>
      <c r="F24" s="7" t="s">
        <v>1801</v>
      </c>
      <c r="G24" s="7" t="s">
        <v>13</v>
      </c>
      <c r="H24" s="6" t="s">
        <v>948</v>
      </c>
      <c r="I24" s="6" t="s">
        <v>1865</v>
      </c>
      <c r="J24" s="6" t="s">
        <v>1866</v>
      </c>
      <c r="K24" s="6" t="s">
        <v>15</v>
      </c>
      <c r="L24" s="6" t="s">
        <v>26</v>
      </c>
      <c r="M24" s="6" t="s">
        <v>21</v>
      </c>
      <c r="N24" s="7" t="s">
        <v>18</v>
      </c>
      <c r="O24" s="23" t="s">
        <v>3611</v>
      </c>
      <c r="R24" s="23" t="s">
        <v>3612</v>
      </c>
      <c r="S24" s="2" t="s">
        <v>3613</v>
      </c>
      <c r="T24" s="2" t="s">
        <v>3614</v>
      </c>
      <c r="U24" s="2" t="s">
        <v>3615</v>
      </c>
      <c r="V24" s="23" t="s">
        <v>3616</v>
      </c>
      <c r="W24" s="24" t="s">
        <v>3617</v>
      </c>
      <c r="X24" s="23" t="s">
        <v>3618</v>
      </c>
      <c r="Y24" s="23" t="s">
        <v>3619</v>
      </c>
      <c r="Z24" s="23" t="s">
        <v>3620</v>
      </c>
      <c r="AA24" s="23" t="s">
        <v>3621</v>
      </c>
      <c r="AB24" s="8"/>
      <c r="AC24" s="8"/>
      <c r="AD24" s="8"/>
    </row>
    <row r="25" spans="1:30" ht="15.75" customHeight="1">
      <c r="A25" s="4" t="s">
        <v>773</v>
      </c>
      <c r="B25" s="5">
        <v>2402</v>
      </c>
      <c r="C25" s="6" t="s">
        <v>973</v>
      </c>
      <c r="D25" s="7">
        <v>2022513603</v>
      </c>
      <c r="E25" s="7">
        <v>2201010538</v>
      </c>
      <c r="F25" s="7" t="s">
        <v>1801</v>
      </c>
      <c r="G25" s="7" t="s">
        <v>13</v>
      </c>
      <c r="H25" s="6" t="s">
        <v>974</v>
      </c>
      <c r="I25" s="6" t="s">
        <v>1867</v>
      </c>
      <c r="J25" s="6" t="s">
        <v>1868</v>
      </c>
      <c r="K25" s="6" t="s">
        <v>15</v>
      </c>
      <c r="L25" s="6" t="s">
        <v>104</v>
      </c>
      <c r="M25" s="6" t="s">
        <v>26</v>
      </c>
      <c r="N25" s="7" t="s">
        <v>18</v>
      </c>
      <c r="O25" s="23" t="s">
        <v>3611</v>
      </c>
      <c r="R25" s="23" t="s">
        <v>3612</v>
      </c>
      <c r="S25" s="2" t="s">
        <v>3613</v>
      </c>
      <c r="T25" s="2" t="s">
        <v>3614</v>
      </c>
      <c r="U25" s="2" t="s">
        <v>3615</v>
      </c>
      <c r="V25" s="23" t="s">
        <v>3616</v>
      </c>
      <c r="W25" s="24" t="s">
        <v>3617</v>
      </c>
      <c r="X25" s="23" t="s">
        <v>3618</v>
      </c>
      <c r="Y25" s="23" t="s">
        <v>3619</v>
      </c>
      <c r="Z25" s="23" t="s">
        <v>3620</v>
      </c>
      <c r="AA25" s="23" t="s">
        <v>3621</v>
      </c>
      <c r="AB25" s="8"/>
      <c r="AC25" s="8"/>
      <c r="AD25" s="8"/>
    </row>
    <row r="26" spans="1:30" ht="15.75" customHeight="1">
      <c r="A26" s="4" t="s">
        <v>773</v>
      </c>
      <c r="B26" s="5">
        <v>2402</v>
      </c>
      <c r="C26" s="6" t="s">
        <v>963</v>
      </c>
      <c r="D26" s="7">
        <v>2022497991</v>
      </c>
      <c r="E26" s="7">
        <v>2201010552</v>
      </c>
      <c r="F26" s="7" t="s">
        <v>1801</v>
      </c>
      <c r="G26" s="7" t="s">
        <v>13</v>
      </c>
      <c r="H26" s="6" t="s">
        <v>964</v>
      </c>
      <c r="I26" s="6" t="s">
        <v>1869</v>
      </c>
      <c r="J26" s="6" t="s">
        <v>1870</v>
      </c>
      <c r="K26" s="6" t="s">
        <v>15</v>
      </c>
      <c r="L26" s="6" t="s">
        <v>26</v>
      </c>
      <c r="M26" s="6" t="s">
        <v>21</v>
      </c>
      <c r="N26" s="7" t="s">
        <v>18</v>
      </c>
      <c r="O26" s="23" t="s">
        <v>3611</v>
      </c>
      <c r="R26" s="23" t="s">
        <v>3612</v>
      </c>
      <c r="S26" s="2" t="s">
        <v>3613</v>
      </c>
      <c r="T26" s="2" t="s">
        <v>3614</v>
      </c>
      <c r="U26" s="2" t="s">
        <v>3615</v>
      </c>
      <c r="V26" s="23" t="s">
        <v>3616</v>
      </c>
      <c r="W26" s="24" t="s">
        <v>3617</v>
      </c>
      <c r="X26" s="23" t="s">
        <v>3618</v>
      </c>
      <c r="Y26" s="23" t="s">
        <v>3619</v>
      </c>
      <c r="Z26" s="23" t="s">
        <v>3620</v>
      </c>
      <c r="AA26" s="23" t="s">
        <v>3621</v>
      </c>
      <c r="AB26" s="8"/>
      <c r="AC26" s="8"/>
      <c r="AD26" s="8"/>
    </row>
    <row r="27" spans="1:30" ht="15.75" customHeight="1">
      <c r="A27" s="4" t="s">
        <v>773</v>
      </c>
      <c r="B27" s="5">
        <v>2402</v>
      </c>
      <c r="C27" s="6" t="s">
        <v>993</v>
      </c>
      <c r="D27" s="7">
        <v>2022563106</v>
      </c>
      <c r="E27" s="7">
        <v>2201010558</v>
      </c>
      <c r="F27" s="7" t="s">
        <v>1801</v>
      </c>
      <c r="G27" s="7" t="s">
        <v>13</v>
      </c>
      <c r="H27" s="6" t="s">
        <v>994</v>
      </c>
      <c r="I27" s="6" t="s">
        <v>1871</v>
      </c>
      <c r="J27" s="6" t="s">
        <v>1872</v>
      </c>
      <c r="K27" s="6" t="s">
        <v>15</v>
      </c>
      <c r="L27" s="6" t="s">
        <v>26</v>
      </c>
      <c r="M27" s="6" t="s">
        <v>117</v>
      </c>
      <c r="N27" s="7" t="s">
        <v>18</v>
      </c>
      <c r="O27" s="23" t="s">
        <v>3611</v>
      </c>
      <c r="R27" s="23" t="s">
        <v>3612</v>
      </c>
      <c r="S27" s="2" t="s">
        <v>3613</v>
      </c>
      <c r="T27" s="2" t="s">
        <v>3614</v>
      </c>
      <c r="U27" s="2" t="s">
        <v>3615</v>
      </c>
      <c r="V27" s="23" t="s">
        <v>3616</v>
      </c>
      <c r="W27" s="24" t="s">
        <v>3617</v>
      </c>
      <c r="X27" s="23" t="s">
        <v>3618</v>
      </c>
      <c r="Y27" s="23" t="s">
        <v>3619</v>
      </c>
      <c r="Z27" s="23" t="s">
        <v>3620</v>
      </c>
      <c r="AA27" s="23" t="s">
        <v>3621</v>
      </c>
      <c r="AB27" s="8"/>
      <c r="AC27" s="8"/>
      <c r="AD27" s="8"/>
    </row>
    <row r="28" spans="1:30" ht="15.75" customHeight="1">
      <c r="A28" s="4" t="s">
        <v>773</v>
      </c>
      <c r="B28" s="5">
        <v>2402</v>
      </c>
      <c r="C28" s="6" t="s">
        <v>969</v>
      </c>
      <c r="D28" s="7">
        <v>2022506102</v>
      </c>
      <c r="E28" s="7">
        <v>2201010597</v>
      </c>
      <c r="F28" s="7" t="s">
        <v>1801</v>
      </c>
      <c r="G28" s="7" t="s">
        <v>13</v>
      </c>
      <c r="H28" s="6" t="s">
        <v>970</v>
      </c>
      <c r="I28" s="6" t="s">
        <v>1873</v>
      </c>
      <c r="J28" s="6" t="s">
        <v>1874</v>
      </c>
      <c r="K28" s="6" t="s">
        <v>15</v>
      </c>
      <c r="L28" s="6" t="e">
        <v>#N/A</v>
      </c>
      <c r="M28" s="6" t="e">
        <v>#N/A</v>
      </c>
      <c r="N28" s="7" t="e">
        <v>#N/A</v>
      </c>
      <c r="O28" s="23" t="s">
        <v>3611</v>
      </c>
      <c r="R28" s="23" t="s">
        <v>3612</v>
      </c>
      <c r="S28" s="2" t="s">
        <v>3613</v>
      </c>
      <c r="T28" s="2" t="s">
        <v>3614</v>
      </c>
      <c r="U28" s="2" t="s">
        <v>3615</v>
      </c>
      <c r="V28" s="23" t="s">
        <v>3616</v>
      </c>
      <c r="W28" s="24" t="s">
        <v>3617</v>
      </c>
      <c r="X28" s="23" t="s">
        <v>3618</v>
      </c>
      <c r="Y28" s="23" t="s">
        <v>3619</v>
      </c>
      <c r="Z28" s="23" t="s">
        <v>3620</v>
      </c>
      <c r="AA28" s="23" t="s">
        <v>3621</v>
      </c>
      <c r="AB28" s="8"/>
      <c r="AC28" s="8"/>
      <c r="AD28" s="8"/>
    </row>
    <row r="29" spans="1:30" ht="15.75" customHeight="1">
      <c r="A29" s="4" t="s">
        <v>773</v>
      </c>
      <c r="B29" s="5">
        <v>2402</v>
      </c>
      <c r="C29" s="6" t="s">
        <v>961</v>
      </c>
      <c r="D29" s="7">
        <v>2022478036</v>
      </c>
      <c r="E29" s="7">
        <v>2201010605</v>
      </c>
      <c r="F29" s="7" t="s">
        <v>1801</v>
      </c>
      <c r="G29" s="7" t="s">
        <v>13</v>
      </c>
      <c r="H29" s="6" t="s">
        <v>962</v>
      </c>
      <c r="I29" s="6" t="s">
        <v>1875</v>
      </c>
      <c r="J29" s="6" t="s">
        <v>1876</v>
      </c>
      <c r="K29" s="6" t="s">
        <v>15</v>
      </c>
      <c r="L29" s="6" t="s">
        <v>21</v>
      </c>
      <c r="M29" s="6" t="s">
        <v>16</v>
      </c>
      <c r="N29" s="7" t="s">
        <v>18</v>
      </c>
      <c r="O29" s="23" t="s">
        <v>3611</v>
      </c>
      <c r="R29" s="23" t="s">
        <v>3612</v>
      </c>
      <c r="S29" s="2" t="s">
        <v>3613</v>
      </c>
      <c r="T29" s="2" t="s">
        <v>3614</v>
      </c>
      <c r="U29" s="2" t="s">
        <v>3615</v>
      </c>
      <c r="V29" s="23" t="s">
        <v>3616</v>
      </c>
      <c r="W29" s="24" t="s">
        <v>3617</v>
      </c>
      <c r="X29" s="23" t="s">
        <v>3618</v>
      </c>
      <c r="Y29" s="23" t="s">
        <v>3619</v>
      </c>
      <c r="Z29" s="23" t="s">
        <v>3620</v>
      </c>
      <c r="AA29" s="23" t="s">
        <v>3621</v>
      </c>
      <c r="AB29" s="8"/>
      <c r="AC29" s="8"/>
      <c r="AD29" s="8"/>
    </row>
    <row r="30" spans="1:30" ht="15.75" customHeight="1">
      <c r="A30" s="4" t="s">
        <v>773</v>
      </c>
      <c r="B30" s="5">
        <v>2402</v>
      </c>
      <c r="C30" s="6" t="s">
        <v>937</v>
      </c>
      <c r="D30" s="7">
        <v>2022344264</v>
      </c>
      <c r="E30" s="7">
        <v>2201010634</v>
      </c>
      <c r="F30" s="7" t="s">
        <v>1801</v>
      </c>
      <c r="G30" s="7" t="s">
        <v>13</v>
      </c>
      <c r="H30" s="6" t="s">
        <v>938</v>
      </c>
      <c r="I30" s="6" t="s">
        <v>1877</v>
      </c>
      <c r="J30" s="6" t="s">
        <v>1878</v>
      </c>
      <c r="K30" s="6" t="s">
        <v>15</v>
      </c>
      <c r="L30" s="6" t="s">
        <v>21</v>
      </c>
      <c r="M30" s="6" t="s">
        <v>117</v>
      </c>
      <c r="N30" s="7" t="s">
        <v>18</v>
      </c>
      <c r="O30" s="23" t="s">
        <v>3611</v>
      </c>
      <c r="R30" s="23" t="s">
        <v>3612</v>
      </c>
      <c r="S30" s="2" t="s">
        <v>3613</v>
      </c>
      <c r="T30" s="2" t="s">
        <v>3614</v>
      </c>
      <c r="U30" s="2" t="s">
        <v>3615</v>
      </c>
      <c r="V30" s="23" t="s">
        <v>3616</v>
      </c>
      <c r="W30" s="24" t="s">
        <v>3617</v>
      </c>
      <c r="X30" s="23" t="s">
        <v>3618</v>
      </c>
      <c r="Y30" s="23" t="s">
        <v>3619</v>
      </c>
      <c r="Z30" s="23" t="s">
        <v>3620</v>
      </c>
      <c r="AA30" s="23" t="s">
        <v>3621</v>
      </c>
      <c r="AB30" s="8"/>
      <c r="AC30" s="8"/>
      <c r="AD30" s="8"/>
    </row>
    <row r="31" spans="1:30" ht="15.75" customHeight="1">
      <c r="A31" s="4" t="s">
        <v>773</v>
      </c>
      <c r="B31" s="5">
        <v>2402</v>
      </c>
      <c r="C31" s="6" t="s">
        <v>907</v>
      </c>
      <c r="D31" s="7">
        <v>2022004547</v>
      </c>
      <c r="E31" s="7">
        <v>2201010635</v>
      </c>
      <c r="F31" s="7" t="s">
        <v>1801</v>
      </c>
      <c r="G31" s="7" t="s">
        <v>13</v>
      </c>
      <c r="H31" s="6" t="s">
        <v>908</v>
      </c>
      <c r="I31" s="6" t="s">
        <v>1879</v>
      </c>
      <c r="J31" s="6" t="s">
        <v>1880</v>
      </c>
      <c r="K31" s="6" t="s">
        <v>15</v>
      </c>
      <c r="L31" s="6" t="s">
        <v>26</v>
      </c>
      <c r="M31" s="6" t="s">
        <v>21</v>
      </c>
      <c r="N31" s="7" t="s">
        <v>18</v>
      </c>
      <c r="O31" s="23" t="s">
        <v>3611</v>
      </c>
      <c r="R31" s="23" t="s">
        <v>3612</v>
      </c>
      <c r="S31" s="2" t="s">
        <v>3613</v>
      </c>
      <c r="T31" s="2" t="s">
        <v>3614</v>
      </c>
      <c r="U31" s="2" t="s">
        <v>3615</v>
      </c>
      <c r="V31" s="23" t="s">
        <v>3616</v>
      </c>
      <c r="W31" s="24" t="s">
        <v>3617</v>
      </c>
      <c r="X31" s="23" t="s">
        <v>3618</v>
      </c>
      <c r="Y31" s="23" t="s">
        <v>3619</v>
      </c>
      <c r="Z31" s="23" t="s">
        <v>3620</v>
      </c>
      <c r="AA31" s="23" t="s">
        <v>3621</v>
      </c>
      <c r="AB31" s="8"/>
      <c r="AC31" s="8"/>
      <c r="AD31" s="8"/>
    </row>
    <row r="32" spans="1:30" ht="15.75" customHeight="1">
      <c r="A32" s="4" t="s">
        <v>773</v>
      </c>
      <c r="B32" s="5">
        <v>2402</v>
      </c>
      <c r="C32" s="6" t="s">
        <v>949</v>
      </c>
      <c r="D32" s="7">
        <v>2022438521</v>
      </c>
      <c r="E32" s="7">
        <v>2201010646</v>
      </c>
      <c r="F32" s="7" t="s">
        <v>1801</v>
      </c>
      <c r="G32" s="7" t="s">
        <v>13</v>
      </c>
      <c r="H32" s="6" t="s">
        <v>950</v>
      </c>
      <c r="I32" s="6" t="s">
        <v>1881</v>
      </c>
      <c r="J32" s="6" t="s">
        <v>1882</v>
      </c>
      <c r="K32" s="6" t="s">
        <v>15</v>
      </c>
      <c r="L32" s="6" t="s">
        <v>21</v>
      </c>
      <c r="M32" s="6" t="s">
        <v>104</v>
      </c>
      <c r="N32" s="7" t="s">
        <v>18</v>
      </c>
      <c r="O32" s="23" t="s">
        <v>3611</v>
      </c>
      <c r="R32" s="23" t="s">
        <v>3612</v>
      </c>
      <c r="S32" s="2" t="s">
        <v>3613</v>
      </c>
      <c r="T32" s="2" t="s">
        <v>3614</v>
      </c>
      <c r="U32" s="2" t="s">
        <v>3615</v>
      </c>
      <c r="V32" s="23" t="s">
        <v>3616</v>
      </c>
      <c r="W32" s="24" t="s">
        <v>3617</v>
      </c>
      <c r="X32" s="23" t="s">
        <v>3618</v>
      </c>
      <c r="Y32" s="23" t="s">
        <v>3619</v>
      </c>
      <c r="Z32" s="23" t="s">
        <v>3620</v>
      </c>
      <c r="AA32" s="23" t="s">
        <v>3621</v>
      </c>
      <c r="AB32" s="8"/>
      <c r="AC32" s="8"/>
      <c r="AD32" s="8"/>
    </row>
    <row r="33" spans="1:30" ht="15.75" customHeight="1">
      <c r="A33" s="4" t="s">
        <v>773</v>
      </c>
      <c r="B33" s="5">
        <v>2402</v>
      </c>
      <c r="C33" s="6" t="s">
        <v>919</v>
      </c>
      <c r="D33" s="7">
        <v>2022006789</v>
      </c>
      <c r="E33" s="7">
        <v>2201010661</v>
      </c>
      <c r="F33" s="7" t="s">
        <v>1801</v>
      </c>
      <c r="G33" s="7" t="s">
        <v>13</v>
      </c>
      <c r="H33" s="6" t="s">
        <v>920</v>
      </c>
      <c r="I33" s="6" t="s">
        <v>1883</v>
      </c>
      <c r="J33" s="6" t="s">
        <v>1884</v>
      </c>
      <c r="K33" s="6" t="s">
        <v>15</v>
      </c>
      <c r="L33" s="6" t="s">
        <v>26</v>
      </c>
      <c r="M33" s="6" t="s">
        <v>17</v>
      </c>
      <c r="N33" s="7" t="s">
        <v>18</v>
      </c>
      <c r="O33" s="23" t="s">
        <v>3611</v>
      </c>
      <c r="R33" s="23" t="s">
        <v>3612</v>
      </c>
      <c r="S33" s="2" t="s">
        <v>3613</v>
      </c>
      <c r="T33" s="2" t="s">
        <v>3614</v>
      </c>
      <c r="U33" s="2" t="s">
        <v>3615</v>
      </c>
      <c r="V33" s="23" t="s">
        <v>3616</v>
      </c>
      <c r="W33" s="24" t="s">
        <v>3617</v>
      </c>
      <c r="X33" s="23" t="s">
        <v>3618</v>
      </c>
      <c r="Y33" s="23" t="s">
        <v>3619</v>
      </c>
      <c r="Z33" s="23" t="s">
        <v>3620</v>
      </c>
      <c r="AA33" s="23" t="s">
        <v>3621</v>
      </c>
      <c r="AB33" s="8"/>
      <c r="AC33" s="8"/>
      <c r="AD33" s="8"/>
    </row>
    <row r="34" spans="1:30" ht="15.75" customHeight="1">
      <c r="A34" s="4" t="s">
        <v>773</v>
      </c>
      <c r="B34" s="5">
        <v>2402</v>
      </c>
      <c r="C34" s="6" t="s">
        <v>955</v>
      </c>
      <c r="D34" s="7">
        <v>2022472720</v>
      </c>
      <c r="E34" s="7">
        <v>2201010668</v>
      </c>
      <c r="F34" s="7" t="s">
        <v>1801</v>
      </c>
      <c r="G34" s="7" t="s">
        <v>13</v>
      </c>
      <c r="H34" s="6" t="s">
        <v>956</v>
      </c>
      <c r="I34" s="6" t="s">
        <v>1885</v>
      </c>
      <c r="J34" s="6" t="s">
        <v>1886</v>
      </c>
      <c r="K34" s="6" t="s">
        <v>15</v>
      </c>
      <c r="L34" s="6" t="s">
        <v>16</v>
      </c>
      <c r="M34" s="6" t="s">
        <v>21</v>
      </c>
      <c r="N34" s="7" t="s">
        <v>18</v>
      </c>
      <c r="O34" s="23" t="s">
        <v>3611</v>
      </c>
      <c r="R34" s="23" t="s">
        <v>3612</v>
      </c>
      <c r="S34" s="2" t="s">
        <v>3613</v>
      </c>
      <c r="T34" s="2" t="s">
        <v>3614</v>
      </c>
      <c r="U34" s="2" t="s">
        <v>3615</v>
      </c>
      <c r="V34" s="23" t="s">
        <v>3616</v>
      </c>
      <c r="W34" s="24" t="s">
        <v>3617</v>
      </c>
      <c r="X34" s="23" t="s">
        <v>3618</v>
      </c>
      <c r="Y34" s="23" t="s">
        <v>3619</v>
      </c>
      <c r="Z34" s="23" t="s">
        <v>3620</v>
      </c>
      <c r="AA34" s="23" t="s">
        <v>3621</v>
      </c>
      <c r="AB34" s="8"/>
      <c r="AC34" s="8"/>
      <c r="AD34" s="8"/>
    </row>
    <row r="35" spans="1:30" ht="15.75" customHeight="1">
      <c r="A35" s="4" t="s">
        <v>773</v>
      </c>
      <c r="B35" s="5">
        <v>2402</v>
      </c>
      <c r="C35" s="6" t="s">
        <v>259</v>
      </c>
      <c r="D35" s="7">
        <v>2022577110</v>
      </c>
      <c r="E35" s="7">
        <v>2201010671</v>
      </c>
      <c r="F35" s="7" t="s">
        <v>1801</v>
      </c>
      <c r="G35" s="7" t="s">
        <v>13</v>
      </c>
      <c r="H35" s="6" t="s">
        <v>997</v>
      </c>
      <c r="I35" s="6" t="s">
        <v>1887</v>
      </c>
      <c r="J35" s="6" t="s">
        <v>1888</v>
      </c>
      <c r="K35" s="6" t="s">
        <v>15</v>
      </c>
      <c r="L35" s="6" t="s">
        <v>21</v>
      </c>
      <c r="M35" s="6" t="s">
        <v>26</v>
      </c>
      <c r="N35" s="7" t="s">
        <v>18</v>
      </c>
      <c r="O35" s="23" t="s">
        <v>3611</v>
      </c>
      <c r="R35" s="23" t="s">
        <v>3612</v>
      </c>
      <c r="S35" s="2" t="s">
        <v>3613</v>
      </c>
      <c r="T35" s="2" t="s">
        <v>3614</v>
      </c>
      <c r="U35" s="2" t="s">
        <v>3615</v>
      </c>
      <c r="V35" s="23" t="s">
        <v>3616</v>
      </c>
      <c r="W35" s="24" t="s">
        <v>3617</v>
      </c>
      <c r="X35" s="23" t="s">
        <v>3618</v>
      </c>
      <c r="Y35" s="23" t="s">
        <v>3619</v>
      </c>
      <c r="Z35" s="23" t="s">
        <v>3620</v>
      </c>
      <c r="AA35" s="23" t="s">
        <v>3621</v>
      </c>
      <c r="AB35" s="8"/>
      <c r="AC35" s="8"/>
      <c r="AD35" s="8"/>
    </row>
    <row r="36" spans="1:30" ht="15.75" customHeight="1">
      <c r="A36" s="4" t="s">
        <v>773</v>
      </c>
      <c r="B36" s="5">
        <v>2402</v>
      </c>
      <c r="C36" s="6" t="s">
        <v>945</v>
      </c>
      <c r="D36" s="7">
        <v>2022432518</v>
      </c>
      <c r="E36" s="7">
        <v>2201010676</v>
      </c>
      <c r="F36" s="7" t="s">
        <v>1801</v>
      </c>
      <c r="G36" s="7" t="s">
        <v>13</v>
      </c>
      <c r="H36" s="6" t="s">
        <v>946</v>
      </c>
      <c r="I36" s="6" t="s">
        <v>1889</v>
      </c>
      <c r="J36" s="6" t="s">
        <v>1890</v>
      </c>
      <c r="K36" s="6" t="s">
        <v>15</v>
      </c>
      <c r="L36" s="6" t="s">
        <v>21</v>
      </c>
      <c r="M36" s="6" t="s">
        <v>16</v>
      </c>
      <c r="N36" s="7" t="s">
        <v>18</v>
      </c>
      <c r="O36" s="23" t="s">
        <v>3611</v>
      </c>
      <c r="R36" s="23" t="s">
        <v>3612</v>
      </c>
      <c r="S36" s="2" t="s">
        <v>3613</v>
      </c>
      <c r="T36" s="2" t="s">
        <v>3614</v>
      </c>
      <c r="U36" s="2" t="s">
        <v>3615</v>
      </c>
      <c r="V36" s="23" t="s">
        <v>3616</v>
      </c>
      <c r="W36" s="24" t="s">
        <v>3617</v>
      </c>
      <c r="X36" s="23" t="s">
        <v>3618</v>
      </c>
      <c r="Y36" s="23" t="s">
        <v>3619</v>
      </c>
      <c r="Z36" s="23" t="s">
        <v>3620</v>
      </c>
      <c r="AA36" s="23" t="s">
        <v>3621</v>
      </c>
      <c r="AB36" s="8"/>
      <c r="AC36" s="8"/>
      <c r="AD36" s="8"/>
    </row>
    <row r="37" spans="1:30" ht="15.75" customHeight="1">
      <c r="A37" s="4" t="s">
        <v>773</v>
      </c>
      <c r="B37" s="5">
        <v>2402</v>
      </c>
      <c r="C37" s="6" t="s">
        <v>971</v>
      </c>
      <c r="D37" s="7">
        <v>2022512360</v>
      </c>
      <c r="E37" s="7">
        <v>2201010681</v>
      </c>
      <c r="F37" s="7" t="s">
        <v>1801</v>
      </c>
      <c r="G37" s="7" t="s">
        <v>13</v>
      </c>
      <c r="H37" s="6" t="s">
        <v>972</v>
      </c>
      <c r="I37" s="6" t="s">
        <v>1891</v>
      </c>
      <c r="J37" s="6" t="s">
        <v>1892</v>
      </c>
      <c r="K37" s="6" t="s">
        <v>15</v>
      </c>
      <c r="L37" s="6" t="s">
        <v>104</v>
      </c>
      <c r="M37" s="6" t="s">
        <v>21</v>
      </c>
      <c r="N37" s="7" t="s">
        <v>18</v>
      </c>
      <c r="O37" s="23" t="s">
        <v>3611</v>
      </c>
      <c r="R37" s="23" t="s">
        <v>3612</v>
      </c>
      <c r="S37" s="2" t="s">
        <v>3613</v>
      </c>
      <c r="T37" s="2" t="s">
        <v>3614</v>
      </c>
      <c r="U37" s="2" t="s">
        <v>3615</v>
      </c>
      <c r="V37" s="23" t="s">
        <v>3616</v>
      </c>
      <c r="W37" s="24" t="s">
        <v>3617</v>
      </c>
      <c r="X37" s="23" t="s">
        <v>3618</v>
      </c>
      <c r="Y37" s="23" t="s">
        <v>3619</v>
      </c>
      <c r="Z37" s="23" t="s">
        <v>3620</v>
      </c>
      <c r="AA37" s="23" t="s">
        <v>3621</v>
      </c>
      <c r="AB37" s="8"/>
      <c r="AC37" s="8"/>
      <c r="AD37" s="8"/>
    </row>
    <row r="38" spans="1:30" ht="15.75" customHeight="1">
      <c r="A38" s="4" t="s">
        <v>773</v>
      </c>
      <c r="B38" s="5">
        <v>2402</v>
      </c>
      <c r="C38" s="6" t="s">
        <v>909</v>
      </c>
      <c r="D38" s="7">
        <v>2022004756</v>
      </c>
      <c r="E38" s="7">
        <v>2201010684</v>
      </c>
      <c r="F38" s="7" t="s">
        <v>1801</v>
      </c>
      <c r="G38" s="7" t="s">
        <v>13</v>
      </c>
      <c r="H38" s="6" t="s">
        <v>910</v>
      </c>
      <c r="I38" s="6" t="s">
        <v>1893</v>
      </c>
      <c r="J38" s="6" t="s">
        <v>1894</v>
      </c>
      <c r="K38" s="6" t="s">
        <v>15</v>
      </c>
      <c r="L38" s="6" t="s">
        <v>21</v>
      </c>
      <c r="M38" s="6" t="s">
        <v>16</v>
      </c>
      <c r="N38" s="7" t="s">
        <v>18</v>
      </c>
      <c r="O38" s="23" t="s">
        <v>3611</v>
      </c>
      <c r="R38" s="23" t="s">
        <v>3612</v>
      </c>
      <c r="S38" s="2" t="s">
        <v>3613</v>
      </c>
      <c r="T38" s="2" t="s">
        <v>3614</v>
      </c>
      <c r="U38" s="2" t="s">
        <v>3615</v>
      </c>
      <c r="V38" s="23" t="s">
        <v>3616</v>
      </c>
      <c r="W38" s="24" t="s">
        <v>3617</v>
      </c>
      <c r="X38" s="23" t="s">
        <v>3618</v>
      </c>
      <c r="Y38" s="23" t="s">
        <v>3619</v>
      </c>
      <c r="Z38" s="23" t="s">
        <v>3620</v>
      </c>
      <c r="AA38" s="23" t="s">
        <v>3621</v>
      </c>
      <c r="AB38" s="8"/>
      <c r="AC38" s="8"/>
      <c r="AD38" s="8"/>
    </row>
    <row r="39" spans="1:30" ht="15.75" customHeight="1">
      <c r="A39" s="4" t="s">
        <v>773</v>
      </c>
      <c r="B39" s="5">
        <v>2402</v>
      </c>
      <c r="C39" s="6" t="s">
        <v>981</v>
      </c>
      <c r="D39" s="7">
        <v>2022520978</v>
      </c>
      <c r="E39" s="7">
        <v>2201010693</v>
      </c>
      <c r="F39" s="7" t="s">
        <v>1801</v>
      </c>
      <c r="G39" s="7" t="s">
        <v>13</v>
      </c>
      <c r="H39" s="6" t="s">
        <v>982</v>
      </c>
      <c r="I39" s="6" t="s">
        <v>1895</v>
      </c>
      <c r="J39" s="6" t="s">
        <v>1896</v>
      </c>
      <c r="K39" s="6" t="s">
        <v>15</v>
      </c>
      <c r="L39" s="6" t="s">
        <v>21</v>
      </c>
      <c r="M39" s="6" t="s">
        <v>26</v>
      </c>
      <c r="N39" s="7" t="s">
        <v>18</v>
      </c>
      <c r="O39" s="23" t="s">
        <v>3611</v>
      </c>
      <c r="R39" s="23" t="s">
        <v>3612</v>
      </c>
      <c r="S39" s="2" t="s">
        <v>3613</v>
      </c>
      <c r="T39" s="2" t="s">
        <v>3614</v>
      </c>
      <c r="U39" s="2" t="s">
        <v>3615</v>
      </c>
      <c r="V39" s="23" t="s">
        <v>3616</v>
      </c>
      <c r="W39" s="24" t="s">
        <v>3617</v>
      </c>
      <c r="X39" s="23" t="s">
        <v>3618</v>
      </c>
      <c r="Y39" s="23" t="s">
        <v>3619</v>
      </c>
      <c r="Z39" s="23" t="s">
        <v>3620</v>
      </c>
      <c r="AA39" s="23" t="s">
        <v>3621</v>
      </c>
      <c r="AB39" s="8"/>
      <c r="AC39" s="8"/>
      <c r="AD39" s="8"/>
    </row>
    <row r="40" spans="1:30" ht="15.75" customHeight="1">
      <c r="A40" s="4" t="s">
        <v>773</v>
      </c>
      <c r="B40" s="5">
        <v>2402</v>
      </c>
      <c r="C40" s="6" t="s">
        <v>905</v>
      </c>
      <c r="D40" s="7">
        <v>2022003913</v>
      </c>
      <c r="E40" s="7">
        <v>2201010718</v>
      </c>
      <c r="F40" s="7" t="s">
        <v>1801</v>
      </c>
      <c r="G40" s="7" t="s">
        <v>13</v>
      </c>
      <c r="H40" s="6" t="s">
        <v>906</v>
      </c>
      <c r="I40" s="6" t="s">
        <v>1897</v>
      </c>
      <c r="J40" s="6" t="s">
        <v>1898</v>
      </c>
      <c r="K40" s="6" t="s">
        <v>15</v>
      </c>
      <c r="L40" s="6" t="s">
        <v>49</v>
      </c>
      <c r="M40" s="6" t="s">
        <v>104</v>
      </c>
      <c r="N40" s="7" t="s">
        <v>18</v>
      </c>
      <c r="O40" s="23" t="s">
        <v>3611</v>
      </c>
      <c r="R40" s="23" t="s">
        <v>3612</v>
      </c>
      <c r="S40" s="2" t="s">
        <v>3613</v>
      </c>
      <c r="T40" s="2" t="s">
        <v>3614</v>
      </c>
      <c r="U40" s="2" t="s">
        <v>3615</v>
      </c>
      <c r="V40" s="23" t="s">
        <v>3616</v>
      </c>
      <c r="W40" s="24" t="s">
        <v>3617</v>
      </c>
      <c r="X40" s="23" t="s">
        <v>3618</v>
      </c>
      <c r="Y40" s="23" t="s">
        <v>3619</v>
      </c>
      <c r="Z40" s="23" t="s">
        <v>3620</v>
      </c>
      <c r="AA40" s="23" t="s">
        <v>3621</v>
      </c>
      <c r="AB40" s="8"/>
      <c r="AC40" s="8"/>
      <c r="AD40" s="8"/>
    </row>
    <row r="41" spans="1:30" ht="15.75" customHeight="1">
      <c r="A41" s="4" t="s">
        <v>773</v>
      </c>
      <c r="B41" s="5">
        <v>2402</v>
      </c>
      <c r="C41" s="6" t="s">
        <v>921</v>
      </c>
      <c r="D41" s="7">
        <v>2022006898</v>
      </c>
      <c r="E41" s="7">
        <v>2201010729</v>
      </c>
      <c r="F41" s="7" t="s">
        <v>1801</v>
      </c>
      <c r="G41" s="7" t="s">
        <v>13</v>
      </c>
      <c r="H41" s="6" t="s">
        <v>922</v>
      </c>
      <c r="I41" s="6" t="s">
        <v>1899</v>
      </c>
      <c r="J41" s="6" t="s">
        <v>1900</v>
      </c>
      <c r="K41" s="6" t="s">
        <v>15</v>
      </c>
      <c r="L41" s="6" t="s">
        <v>16</v>
      </c>
      <c r="M41" s="6" t="s">
        <v>21</v>
      </c>
      <c r="N41" s="7" t="s">
        <v>18</v>
      </c>
      <c r="O41" s="23" t="s">
        <v>3611</v>
      </c>
      <c r="R41" s="23" t="s">
        <v>3612</v>
      </c>
      <c r="S41" s="2" t="s">
        <v>3613</v>
      </c>
      <c r="T41" s="2" t="s">
        <v>3614</v>
      </c>
      <c r="U41" s="2" t="s">
        <v>3615</v>
      </c>
      <c r="V41" s="23" t="s">
        <v>3616</v>
      </c>
      <c r="W41" s="24" t="s">
        <v>3617</v>
      </c>
      <c r="X41" s="23" t="s">
        <v>3618</v>
      </c>
      <c r="Y41" s="23" t="s">
        <v>3619</v>
      </c>
      <c r="Z41" s="23" t="s">
        <v>3620</v>
      </c>
      <c r="AA41" s="23" t="s">
        <v>3621</v>
      </c>
      <c r="AB41" s="8"/>
      <c r="AC41" s="8"/>
      <c r="AD41" s="8"/>
    </row>
    <row r="42" spans="1:30" ht="15.75" customHeight="1">
      <c r="A42" s="4" t="s">
        <v>773</v>
      </c>
      <c r="B42" s="5">
        <v>2402</v>
      </c>
      <c r="C42" s="6" t="s">
        <v>975</v>
      </c>
      <c r="D42" s="7">
        <v>2022517301</v>
      </c>
      <c r="E42" s="7">
        <v>2201010730</v>
      </c>
      <c r="F42" s="7" t="s">
        <v>1801</v>
      </c>
      <c r="G42" s="7" t="s">
        <v>13</v>
      </c>
      <c r="H42" s="6" t="s">
        <v>976</v>
      </c>
      <c r="I42" s="6" t="s">
        <v>1901</v>
      </c>
      <c r="J42" s="6" t="s">
        <v>1902</v>
      </c>
      <c r="K42" s="6" t="s">
        <v>15</v>
      </c>
      <c r="L42" s="6" t="s">
        <v>104</v>
      </c>
      <c r="M42" s="6" t="s">
        <v>104</v>
      </c>
      <c r="N42" s="7" t="s">
        <v>18</v>
      </c>
      <c r="O42" s="23" t="s">
        <v>3611</v>
      </c>
      <c r="R42" s="23" t="s">
        <v>3612</v>
      </c>
      <c r="S42" s="2" t="s">
        <v>3613</v>
      </c>
      <c r="T42" s="2" t="s">
        <v>3614</v>
      </c>
      <c r="U42" s="2" t="s">
        <v>3615</v>
      </c>
      <c r="V42" s="23" t="s">
        <v>3616</v>
      </c>
      <c r="W42" s="24" t="s">
        <v>3617</v>
      </c>
      <c r="X42" s="23" t="s">
        <v>3618</v>
      </c>
      <c r="Y42" s="23" t="s">
        <v>3619</v>
      </c>
      <c r="Z42" s="23" t="s">
        <v>3620</v>
      </c>
      <c r="AA42" s="23" t="s">
        <v>3621</v>
      </c>
      <c r="AB42" s="8"/>
      <c r="AC42" s="8"/>
      <c r="AD42" s="8"/>
    </row>
    <row r="43" spans="1:30" ht="15.75" customHeight="1">
      <c r="A43" s="4" t="s">
        <v>773</v>
      </c>
      <c r="B43" s="5">
        <v>2402</v>
      </c>
      <c r="C43" s="6" t="s">
        <v>987</v>
      </c>
      <c r="D43" s="7">
        <v>2022534653</v>
      </c>
      <c r="E43" s="7">
        <v>2201010751</v>
      </c>
      <c r="F43" s="7" t="s">
        <v>1801</v>
      </c>
      <c r="G43" s="7" t="s">
        <v>13</v>
      </c>
      <c r="H43" s="6" t="s">
        <v>988</v>
      </c>
      <c r="I43" s="6" t="s">
        <v>1903</v>
      </c>
      <c r="J43" s="6" t="s">
        <v>1904</v>
      </c>
      <c r="K43" s="6" t="s">
        <v>15</v>
      </c>
      <c r="L43" s="6" t="s">
        <v>26</v>
      </c>
      <c r="M43" s="6" t="s">
        <v>104</v>
      </c>
      <c r="N43" s="7" t="s">
        <v>18</v>
      </c>
      <c r="O43" s="23" t="s">
        <v>3611</v>
      </c>
      <c r="R43" s="23" t="s">
        <v>3612</v>
      </c>
      <c r="S43" s="2" t="s">
        <v>3613</v>
      </c>
      <c r="T43" s="2" t="s">
        <v>3614</v>
      </c>
      <c r="U43" s="2" t="s">
        <v>3615</v>
      </c>
      <c r="V43" s="23" t="s">
        <v>3616</v>
      </c>
      <c r="W43" s="24" t="s">
        <v>3617</v>
      </c>
      <c r="X43" s="23" t="s">
        <v>3618</v>
      </c>
      <c r="Y43" s="23" t="s">
        <v>3619</v>
      </c>
      <c r="Z43" s="23" t="s">
        <v>3620</v>
      </c>
      <c r="AA43" s="23" t="s">
        <v>3621</v>
      </c>
      <c r="AB43" s="8"/>
      <c r="AC43" s="8"/>
      <c r="AD43" s="8"/>
    </row>
    <row r="44" spans="1:30" ht="15.75" customHeight="1">
      <c r="A44" s="4" t="s">
        <v>773</v>
      </c>
      <c r="B44" s="5">
        <v>2402</v>
      </c>
      <c r="C44" s="6" t="s">
        <v>953</v>
      </c>
      <c r="D44" s="7">
        <v>2022452189</v>
      </c>
      <c r="E44" s="7">
        <v>2201010787</v>
      </c>
      <c r="F44" s="7" t="s">
        <v>1801</v>
      </c>
      <c r="G44" s="7" t="s">
        <v>13</v>
      </c>
      <c r="H44" s="6" t="s">
        <v>954</v>
      </c>
      <c r="I44" s="6" t="s">
        <v>1905</v>
      </c>
      <c r="J44" s="6" t="s">
        <v>1906</v>
      </c>
      <c r="K44" s="6" t="s">
        <v>15</v>
      </c>
      <c r="L44" s="6" t="s">
        <v>104</v>
      </c>
      <c r="M44" s="6" t="s">
        <v>26</v>
      </c>
      <c r="N44" s="7" t="s">
        <v>18</v>
      </c>
      <c r="O44" s="23" t="s">
        <v>3611</v>
      </c>
      <c r="R44" s="23" t="s">
        <v>3612</v>
      </c>
      <c r="S44" s="2" t="s">
        <v>3613</v>
      </c>
      <c r="T44" s="2" t="s">
        <v>3614</v>
      </c>
      <c r="U44" s="2" t="s">
        <v>3615</v>
      </c>
      <c r="V44" s="23" t="s">
        <v>3616</v>
      </c>
      <c r="W44" s="24" t="s">
        <v>3617</v>
      </c>
      <c r="X44" s="23" t="s">
        <v>3618</v>
      </c>
      <c r="Y44" s="23" t="s">
        <v>3619</v>
      </c>
      <c r="Z44" s="23" t="s">
        <v>3620</v>
      </c>
      <c r="AA44" s="23" t="s">
        <v>3621</v>
      </c>
      <c r="AB44" s="8"/>
      <c r="AC44" s="8"/>
      <c r="AD44" s="8"/>
    </row>
    <row r="45" spans="1:30" ht="15.75" customHeight="1">
      <c r="A45" s="4" t="s">
        <v>773</v>
      </c>
      <c r="B45" s="5">
        <v>2402</v>
      </c>
      <c r="C45" s="6" t="s">
        <v>913</v>
      </c>
      <c r="D45" s="7">
        <v>2022006072</v>
      </c>
      <c r="E45" s="7">
        <v>2201010815</v>
      </c>
      <c r="F45" s="7" t="s">
        <v>1801</v>
      </c>
      <c r="G45" s="7" t="s">
        <v>13</v>
      </c>
      <c r="H45" s="6" t="s">
        <v>914</v>
      </c>
      <c r="I45" s="6" t="s">
        <v>1907</v>
      </c>
      <c r="J45" s="6" t="s">
        <v>1908</v>
      </c>
      <c r="K45" s="6" t="s">
        <v>15</v>
      </c>
      <c r="L45" s="6" t="s">
        <v>21</v>
      </c>
      <c r="M45" s="6" t="s">
        <v>26</v>
      </c>
      <c r="N45" s="7" t="s">
        <v>18</v>
      </c>
      <c r="O45" s="23" t="s">
        <v>3611</v>
      </c>
      <c r="R45" s="23" t="s">
        <v>3612</v>
      </c>
      <c r="S45" s="2" t="s">
        <v>3613</v>
      </c>
      <c r="T45" s="2" t="s">
        <v>3614</v>
      </c>
      <c r="U45" s="2" t="s">
        <v>3615</v>
      </c>
      <c r="V45" s="23" t="s">
        <v>3616</v>
      </c>
      <c r="W45" s="24" t="s">
        <v>3617</v>
      </c>
      <c r="X45" s="23" t="s">
        <v>3618</v>
      </c>
      <c r="Y45" s="23" t="s">
        <v>3619</v>
      </c>
      <c r="Z45" s="23" t="s">
        <v>3620</v>
      </c>
      <c r="AA45" s="23" t="s">
        <v>3621</v>
      </c>
      <c r="AB45" s="8"/>
      <c r="AC45" s="8"/>
      <c r="AD45" s="8"/>
    </row>
    <row r="46" spans="1:30" ht="15.75" customHeight="1">
      <c r="A46" s="4" t="s">
        <v>773</v>
      </c>
      <c r="B46" s="5">
        <v>2402</v>
      </c>
      <c r="C46" s="6" t="s">
        <v>979</v>
      </c>
      <c r="D46" s="7">
        <v>2022518505</v>
      </c>
      <c r="E46" s="7">
        <v>2201010821</v>
      </c>
      <c r="F46" s="7" t="s">
        <v>1801</v>
      </c>
      <c r="G46" s="7" t="s">
        <v>13</v>
      </c>
      <c r="H46" s="6" t="s">
        <v>980</v>
      </c>
      <c r="I46" s="6" t="s">
        <v>1909</v>
      </c>
      <c r="J46" s="6" t="s">
        <v>1910</v>
      </c>
      <c r="K46" s="6" t="s">
        <v>15</v>
      </c>
      <c r="L46" s="6" t="s">
        <v>26</v>
      </c>
      <c r="M46" s="6" t="s">
        <v>49</v>
      </c>
      <c r="N46" s="7" t="s">
        <v>18</v>
      </c>
      <c r="O46" s="23" t="s">
        <v>3611</v>
      </c>
      <c r="R46" s="23" t="s">
        <v>3612</v>
      </c>
      <c r="S46" s="2" t="s">
        <v>3613</v>
      </c>
      <c r="T46" s="2" t="s">
        <v>3614</v>
      </c>
      <c r="U46" s="2" t="s">
        <v>3615</v>
      </c>
      <c r="V46" s="23" t="s">
        <v>3616</v>
      </c>
      <c r="W46" s="24" t="s">
        <v>3617</v>
      </c>
      <c r="X46" s="23" t="s">
        <v>3618</v>
      </c>
      <c r="Y46" s="23" t="s">
        <v>3619</v>
      </c>
      <c r="Z46" s="23" t="s">
        <v>3620</v>
      </c>
      <c r="AA46" s="23" t="s">
        <v>3621</v>
      </c>
      <c r="AB46" s="8"/>
      <c r="AC46" s="8"/>
      <c r="AD46" s="8"/>
    </row>
    <row r="47" spans="1:30" ht="15.75" customHeight="1">
      <c r="A47" s="4" t="s">
        <v>773</v>
      </c>
      <c r="B47" s="5">
        <v>2402</v>
      </c>
      <c r="C47" s="6" t="s">
        <v>917</v>
      </c>
      <c r="D47" s="7">
        <v>2022006613</v>
      </c>
      <c r="E47" s="7">
        <v>2201010831</v>
      </c>
      <c r="F47" s="7" t="s">
        <v>1801</v>
      </c>
      <c r="G47" s="7" t="s">
        <v>13</v>
      </c>
      <c r="H47" s="6" t="s">
        <v>918</v>
      </c>
      <c r="I47" s="6" t="s">
        <v>1911</v>
      </c>
      <c r="J47" s="6" t="s">
        <v>1912</v>
      </c>
      <c r="K47" s="6" t="s">
        <v>15</v>
      </c>
      <c r="L47" s="6" t="s">
        <v>21</v>
      </c>
      <c r="M47" s="6" t="s">
        <v>49</v>
      </c>
      <c r="N47" s="7" t="s">
        <v>18</v>
      </c>
      <c r="O47" s="23" t="s">
        <v>3611</v>
      </c>
      <c r="R47" s="23" t="s">
        <v>3612</v>
      </c>
      <c r="S47" s="2" t="s">
        <v>3613</v>
      </c>
      <c r="T47" s="2" t="s">
        <v>3614</v>
      </c>
      <c r="U47" s="2" t="s">
        <v>3615</v>
      </c>
      <c r="V47" s="23" t="s">
        <v>3616</v>
      </c>
      <c r="W47" s="24" t="s">
        <v>3617</v>
      </c>
      <c r="X47" s="23" t="s">
        <v>3618</v>
      </c>
      <c r="Y47" s="23" t="s">
        <v>3619</v>
      </c>
      <c r="Z47" s="23" t="s">
        <v>3620</v>
      </c>
      <c r="AA47" s="23" t="s">
        <v>3621</v>
      </c>
      <c r="AB47" s="8"/>
      <c r="AC47" s="8"/>
      <c r="AD47" s="8"/>
    </row>
    <row r="48" spans="1:30" ht="15.75" customHeight="1">
      <c r="A48" s="4" t="s">
        <v>773</v>
      </c>
      <c r="B48" s="5">
        <v>2402</v>
      </c>
      <c r="C48" s="6" t="s">
        <v>923</v>
      </c>
      <c r="D48" s="7">
        <v>2022007518</v>
      </c>
      <c r="E48" s="7">
        <v>2201010850</v>
      </c>
      <c r="F48" s="7" t="s">
        <v>1801</v>
      </c>
      <c r="G48" s="7" t="s">
        <v>13</v>
      </c>
      <c r="H48" s="6" t="s">
        <v>924</v>
      </c>
      <c r="I48" s="6" t="s">
        <v>1913</v>
      </c>
      <c r="J48" s="6" t="s">
        <v>1914</v>
      </c>
      <c r="K48" s="6" t="s">
        <v>15</v>
      </c>
      <c r="L48" s="6" t="s">
        <v>104</v>
      </c>
      <c r="M48" s="6" t="s">
        <v>49</v>
      </c>
      <c r="N48" s="7" t="s">
        <v>18</v>
      </c>
      <c r="O48" s="23" t="s">
        <v>3611</v>
      </c>
      <c r="R48" s="23" t="s">
        <v>3612</v>
      </c>
      <c r="S48" s="2" t="s">
        <v>3613</v>
      </c>
      <c r="T48" s="2" t="s">
        <v>3614</v>
      </c>
      <c r="U48" s="2" t="s">
        <v>3615</v>
      </c>
      <c r="V48" s="23" t="s">
        <v>3616</v>
      </c>
      <c r="W48" s="24" t="s">
        <v>3617</v>
      </c>
      <c r="X48" s="23" t="s">
        <v>3618</v>
      </c>
      <c r="Y48" s="23" t="s">
        <v>3619</v>
      </c>
      <c r="Z48" s="23" t="s">
        <v>3620</v>
      </c>
      <c r="AA48" s="23" t="s">
        <v>3621</v>
      </c>
      <c r="AB48" s="8"/>
      <c r="AC48" s="8"/>
      <c r="AD48" s="8"/>
    </row>
    <row r="49" spans="1:30" ht="15.75" customHeight="1">
      <c r="A49" s="4" t="s">
        <v>773</v>
      </c>
      <c r="B49" s="5">
        <v>2402</v>
      </c>
      <c r="C49" s="6" t="s">
        <v>925</v>
      </c>
      <c r="D49" s="7">
        <v>2022007615</v>
      </c>
      <c r="E49" s="7">
        <v>2201010852</v>
      </c>
      <c r="F49" s="7" t="s">
        <v>1801</v>
      </c>
      <c r="G49" s="7" t="s">
        <v>13</v>
      </c>
      <c r="H49" s="6" t="s">
        <v>926</v>
      </c>
      <c r="I49" s="6" t="s">
        <v>1915</v>
      </c>
      <c r="J49" s="6" t="s">
        <v>1916</v>
      </c>
      <c r="K49" s="6" t="s">
        <v>15</v>
      </c>
      <c r="L49" s="6" t="s">
        <v>104</v>
      </c>
      <c r="M49" s="6" t="s">
        <v>26</v>
      </c>
      <c r="N49" s="7" t="s">
        <v>18</v>
      </c>
      <c r="O49" s="23" t="s">
        <v>3611</v>
      </c>
      <c r="R49" s="23" t="s">
        <v>3612</v>
      </c>
      <c r="S49" s="2" t="s">
        <v>3613</v>
      </c>
      <c r="T49" s="2" t="s">
        <v>3614</v>
      </c>
      <c r="U49" s="2" t="s">
        <v>3615</v>
      </c>
      <c r="V49" s="23" t="s">
        <v>3616</v>
      </c>
      <c r="W49" s="24" t="s">
        <v>3617</v>
      </c>
      <c r="X49" s="23" t="s">
        <v>3618</v>
      </c>
      <c r="Y49" s="23" t="s">
        <v>3619</v>
      </c>
      <c r="Z49" s="23" t="s">
        <v>3620</v>
      </c>
      <c r="AA49" s="23" t="s">
        <v>3621</v>
      </c>
      <c r="AB49" s="8"/>
      <c r="AC49" s="8"/>
      <c r="AD49" s="8"/>
    </row>
    <row r="50" spans="1:30" ht="15.75" customHeight="1">
      <c r="A50" s="4" t="s">
        <v>773</v>
      </c>
      <c r="B50" s="5">
        <v>2402</v>
      </c>
      <c r="C50" s="6" t="s">
        <v>927</v>
      </c>
      <c r="D50" s="7">
        <v>2022007629</v>
      </c>
      <c r="E50" s="7">
        <v>2201010853</v>
      </c>
      <c r="F50" s="7" t="s">
        <v>1801</v>
      </c>
      <c r="G50" s="7" t="s">
        <v>13</v>
      </c>
      <c r="H50" s="6" t="s">
        <v>928</v>
      </c>
      <c r="I50" s="6" t="s">
        <v>1917</v>
      </c>
      <c r="J50" s="6" t="s">
        <v>1918</v>
      </c>
      <c r="K50" s="6" t="s">
        <v>15</v>
      </c>
      <c r="L50" s="6" t="s">
        <v>104</v>
      </c>
      <c r="M50" s="6" t="s">
        <v>26</v>
      </c>
      <c r="N50" s="7" t="s">
        <v>18</v>
      </c>
      <c r="O50" s="23" t="s">
        <v>3611</v>
      </c>
      <c r="R50" s="23" t="s">
        <v>3612</v>
      </c>
      <c r="S50" s="2" t="s">
        <v>3613</v>
      </c>
      <c r="T50" s="2" t="s">
        <v>3614</v>
      </c>
      <c r="U50" s="2" t="s">
        <v>3615</v>
      </c>
      <c r="V50" s="23" t="s">
        <v>3616</v>
      </c>
      <c r="W50" s="24" t="s">
        <v>3617</v>
      </c>
      <c r="X50" s="23" t="s">
        <v>3618</v>
      </c>
      <c r="Y50" s="23" t="s">
        <v>3619</v>
      </c>
      <c r="Z50" s="23" t="s">
        <v>3620</v>
      </c>
      <c r="AA50" s="23" t="s">
        <v>3621</v>
      </c>
      <c r="AB50" s="8"/>
      <c r="AC50" s="8"/>
      <c r="AD50" s="8"/>
    </row>
    <row r="51" spans="1:30" ht="15.75" customHeight="1">
      <c r="A51" s="4" t="s">
        <v>773</v>
      </c>
      <c r="B51" s="5">
        <v>2402</v>
      </c>
      <c r="C51" s="6" t="s">
        <v>929</v>
      </c>
      <c r="D51" s="7">
        <v>2022007684</v>
      </c>
      <c r="E51" s="7">
        <v>2201010859</v>
      </c>
      <c r="F51" s="7" t="s">
        <v>1801</v>
      </c>
      <c r="G51" s="7" t="s">
        <v>13</v>
      </c>
      <c r="H51" s="6" t="s">
        <v>930</v>
      </c>
      <c r="I51" s="6" t="s">
        <v>1919</v>
      </c>
      <c r="J51" s="6" t="s">
        <v>1920</v>
      </c>
      <c r="K51" s="6" t="s">
        <v>15</v>
      </c>
      <c r="L51" s="6" t="s">
        <v>21</v>
      </c>
      <c r="M51" s="6" t="s">
        <v>149</v>
      </c>
      <c r="N51" s="7" t="s">
        <v>18</v>
      </c>
      <c r="O51" s="23" t="s">
        <v>3611</v>
      </c>
      <c r="R51" s="23" t="s">
        <v>3612</v>
      </c>
      <c r="S51" s="2" t="s">
        <v>3613</v>
      </c>
      <c r="T51" s="2" t="s">
        <v>3614</v>
      </c>
      <c r="U51" s="2" t="s">
        <v>3615</v>
      </c>
      <c r="V51" s="23" t="s">
        <v>3616</v>
      </c>
      <c r="W51" s="24" t="s">
        <v>3617</v>
      </c>
      <c r="X51" s="23" t="s">
        <v>3618</v>
      </c>
      <c r="Y51" s="23" t="s">
        <v>3619</v>
      </c>
      <c r="Z51" s="23" t="s">
        <v>3620</v>
      </c>
      <c r="AA51" s="23" t="s">
        <v>3621</v>
      </c>
      <c r="AB51" s="8"/>
      <c r="AC51" s="8"/>
      <c r="AD51" s="8"/>
    </row>
    <row r="52" spans="1:30" ht="15.75" customHeight="1">
      <c r="A52" s="4" t="s">
        <v>773</v>
      </c>
      <c r="B52" s="5">
        <v>2402</v>
      </c>
      <c r="C52" s="6" t="s">
        <v>931</v>
      </c>
      <c r="D52" s="7">
        <v>2022007720</v>
      </c>
      <c r="E52" s="7">
        <v>2201010861</v>
      </c>
      <c r="F52" s="7" t="s">
        <v>1801</v>
      </c>
      <c r="G52" s="7" t="s">
        <v>13</v>
      </c>
      <c r="H52" s="6" t="s">
        <v>932</v>
      </c>
      <c r="I52" s="6" t="s">
        <v>1921</v>
      </c>
      <c r="J52" s="6" t="s">
        <v>1922</v>
      </c>
      <c r="K52" s="6" t="s">
        <v>15</v>
      </c>
      <c r="L52" s="6" t="s">
        <v>26</v>
      </c>
      <c r="M52" s="6" t="s">
        <v>117</v>
      </c>
      <c r="N52" s="7" t="s">
        <v>18</v>
      </c>
      <c r="O52" s="23" t="s">
        <v>3611</v>
      </c>
      <c r="R52" s="23" t="s">
        <v>3612</v>
      </c>
      <c r="S52" s="2" t="s">
        <v>3613</v>
      </c>
      <c r="T52" s="2" t="s">
        <v>3614</v>
      </c>
      <c r="U52" s="2" t="s">
        <v>3615</v>
      </c>
      <c r="V52" s="23" t="s">
        <v>3616</v>
      </c>
      <c r="W52" s="24" t="s">
        <v>3617</v>
      </c>
      <c r="X52" s="23" t="s">
        <v>3618</v>
      </c>
      <c r="Y52" s="23" t="s">
        <v>3619</v>
      </c>
      <c r="Z52" s="23" t="s">
        <v>3620</v>
      </c>
      <c r="AA52" s="23" t="s">
        <v>3621</v>
      </c>
      <c r="AB52" s="8"/>
      <c r="AC52" s="8"/>
      <c r="AD52" s="8"/>
    </row>
    <row r="53" spans="1:30" ht="15.75" customHeight="1">
      <c r="A53" s="4" t="s">
        <v>773</v>
      </c>
      <c r="B53" s="5">
        <v>2402</v>
      </c>
      <c r="C53" s="6" t="s">
        <v>991</v>
      </c>
      <c r="D53" s="7">
        <v>2022545040</v>
      </c>
      <c r="E53" s="7">
        <v>2201010880</v>
      </c>
      <c r="F53" s="7" t="s">
        <v>1801</v>
      </c>
      <c r="G53" s="7" t="s">
        <v>13</v>
      </c>
      <c r="H53" s="6" t="s">
        <v>992</v>
      </c>
      <c r="I53" s="6" t="s">
        <v>1923</v>
      </c>
      <c r="J53" s="6" t="s">
        <v>1924</v>
      </c>
      <c r="K53" s="6" t="s">
        <v>15</v>
      </c>
      <c r="L53" s="6" t="s">
        <v>21</v>
      </c>
      <c r="M53" s="6" t="s">
        <v>26</v>
      </c>
      <c r="N53" s="7" t="s">
        <v>18</v>
      </c>
      <c r="O53" s="23" t="s">
        <v>3611</v>
      </c>
      <c r="R53" s="23" t="s">
        <v>3612</v>
      </c>
      <c r="S53" s="2" t="s">
        <v>3613</v>
      </c>
      <c r="T53" s="2" t="s">
        <v>3614</v>
      </c>
      <c r="U53" s="2" t="s">
        <v>3615</v>
      </c>
      <c r="V53" s="23" t="s">
        <v>3616</v>
      </c>
      <c r="W53" s="24" t="s">
        <v>3617</v>
      </c>
      <c r="X53" s="23" t="s">
        <v>3618</v>
      </c>
      <c r="Y53" s="23" t="s">
        <v>3619</v>
      </c>
      <c r="Z53" s="23" t="s">
        <v>3620</v>
      </c>
      <c r="AA53" s="23" t="s">
        <v>3621</v>
      </c>
      <c r="AB53" s="8"/>
      <c r="AC53" s="8"/>
      <c r="AD53" s="8"/>
    </row>
    <row r="54" spans="1:30" ht="15.75" customHeight="1">
      <c r="A54" s="4" t="s">
        <v>773</v>
      </c>
      <c r="B54" s="5">
        <v>2402</v>
      </c>
      <c r="C54" s="6" t="s">
        <v>995</v>
      </c>
      <c r="D54" s="7">
        <v>2022565552</v>
      </c>
      <c r="E54" s="7">
        <v>2201010883</v>
      </c>
      <c r="F54" s="7" t="s">
        <v>1801</v>
      </c>
      <c r="G54" s="7" t="s">
        <v>13</v>
      </c>
      <c r="H54" s="6" t="s">
        <v>996</v>
      </c>
      <c r="I54" s="6" t="s">
        <v>1925</v>
      </c>
      <c r="J54" s="6" t="s">
        <v>1926</v>
      </c>
      <c r="K54" s="6" t="s">
        <v>15</v>
      </c>
      <c r="L54" s="6" t="s">
        <v>21</v>
      </c>
      <c r="M54" s="6" t="s">
        <v>149</v>
      </c>
      <c r="N54" s="7" t="s">
        <v>18</v>
      </c>
      <c r="O54" s="23" t="s">
        <v>3611</v>
      </c>
      <c r="R54" s="23" t="s">
        <v>3612</v>
      </c>
      <c r="S54" s="2" t="s">
        <v>3613</v>
      </c>
      <c r="T54" s="2" t="s">
        <v>3614</v>
      </c>
      <c r="U54" s="2" t="s">
        <v>3615</v>
      </c>
      <c r="V54" s="23" t="s">
        <v>3616</v>
      </c>
      <c r="W54" s="24" t="s">
        <v>3617</v>
      </c>
      <c r="X54" s="23" t="s">
        <v>3618</v>
      </c>
      <c r="Y54" s="23" t="s">
        <v>3619</v>
      </c>
      <c r="Z54" s="23" t="s">
        <v>3620</v>
      </c>
      <c r="AA54" s="23" t="s">
        <v>3621</v>
      </c>
      <c r="AB54" s="8"/>
      <c r="AC54" s="8"/>
      <c r="AD54" s="8"/>
    </row>
    <row r="55" spans="1:30" ht="15.75" customHeight="1">
      <c r="A55" s="4" t="s">
        <v>773</v>
      </c>
      <c r="B55" s="5">
        <v>2402</v>
      </c>
      <c r="C55" s="6" t="s">
        <v>1000</v>
      </c>
      <c r="D55" s="7">
        <v>2022583301</v>
      </c>
      <c r="E55" s="7">
        <v>2201010885</v>
      </c>
      <c r="F55" s="7" t="s">
        <v>1801</v>
      </c>
      <c r="G55" s="7" t="s">
        <v>13</v>
      </c>
      <c r="H55" s="6" t="s">
        <v>1001</v>
      </c>
      <c r="I55" s="6" t="s">
        <v>1927</v>
      </c>
      <c r="J55" s="6" t="s">
        <v>1928</v>
      </c>
      <c r="K55" s="6" t="s">
        <v>15</v>
      </c>
      <c r="L55" s="6" t="s">
        <v>26</v>
      </c>
      <c r="M55" s="6" t="s">
        <v>16</v>
      </c>
      <c r="N55" s="7" t="s">
        <v>18</v>
      </c>
      <c r="O55" s="23" t="s">
        <v>3611</v>
      </c>
      <c r="R55" s="23" t="s">
        <v>3612</v>
      </c>
      <c r="S55" s="2" t="s">
        <v>3613</v>
      </c>
      <c r="T55" s="2" t="s">
        <v>3614</v>
      </c>
      <c r="U55" s="2" t="s">
        <v>3615</v>
      </c>
      <c r="V55" s="23" t="s">
        <v>3616</v>
      </c>
      <c r="W55" s="24" t="s">
        <v>3617</v>
      </c>
      <c r="X55" s="23" t="s">
        <v>3618</v>
      </c>
      <c r="Y55" s="23" t="s">
        <v>3619</v>
      </c>
      <c r="Z55" s="23" t="s">
        <v>3620</v>
      </c>
      <c r="AA55" s="23" t="s">
        <v>3621</v>
      </c>
      <c r="AB55" s="8"/>
      <c r="AC55" s="8"/>
      <c r="AD55" s="8"/>
    </row>
    <row r="56" spans="1:30" ht="15.75" customHeight="1">
      <c r="A56" s="4" t="s">
        <v>773</v>
      </c>
      <c r="B56" s="5">
        <v>2402</v>
      </c>
      <c r="C56" s="6" t="s">
        <v>1002</v>
      </c>
      <c r="D56" s="7">
        <v>2022592906</v>
      </c>
      <c r="E56" s="7">
        <v>2201010889</v>
      </c>
      <c r="F56" s="7" t="s">
        <v>1801</v>
      </c>
      <c r="G56" s="7" t="s">
        <v>13</v>
      </c>
      <c r="H56" s="6" t="s">
        <v>1003</v>
      </c>
      <c r="I56" s="6" t="s">
        <v>1929</v>
      </c>
      <c r="J56" s="6" t="s">
        <v>1930</v>
      </c>
      <c r="K56" s="6" t="s">
        <v>15</v>
      </c>
      <c r="L56" s="6" t="s">
        <v>26</v>
      </c>
      <c r="M56" s="6" t="s">
        <v>117</v>
      </c>
      <c r="N56" s="7" t="s">
        <v>18</v>
      </c>
      <c r="O56" s="23" t="s">
        <v>3611</v>
      </c>
      <c r="R56" s="23" t="s">
        <v>3612</v>
      </c>
      <c r="S56" s="2" t="s">
        <v>3613</v>
      </c>
      <c r="T56" s="2" t="s">
        <v>3614</v>
      </c>
      <c r="U56" s="2" t="s">
        <v>3615</v>
      </c>
      <c r="V56" s="23" t="s">
        <v>3616</v>
      </c>
      <c r="W56" s="24" t="s">
        <v>3617</v>
      </c>
      <c r="X56" s="23" t="s">
        <v>3618</v>
      </c>
      <c r="Y56" s="23" t="s">
        <v>3619</v>
      </c>
      <c r="Z56" s="23" t="s">
        <v>3620</v>
      </c>
      <c r="AA56" s="23" t="s">
        <v>3621</v>
      </c>
      <c r="AB56" s="9"/>
      <c r="AC56" s="9"/>
      <c r="AD56" s="9"/>
    </row>
    <row r="57" spans="1:30" ht="15.75" customHeight="1">
      <c r="A57" s="4" t="s">
        <v>773</v>
      </c>
      <c r="B57" s="5">
        <v>2402</v>
      </c>
      <c r="C57" s="6" t="s">
        <v>1004</v>
      </c>
      <c r="D57" s="7">
        <v>2022596015</v>
      </c>
      <c r="E57" s="7">
        <v>2201010893</v>
      </c>
      <c r="F57" s="7" t="s">
        <v>1801</v>
      </c>
      <c r="G57" s="7" t="s">
        <v>13</v>
      </c>
      <c r="H57" s="6" t="s">
        <v>1005</v>
      </c>
      <c r="I57" s="6" t="s">
        <v>1931</v>
      </c>
      <c r="J57" s="6" t="s">
        <v>1932</v>
      </c>
      <c r="K57" s="6" t="s">
        <v>15</v>
      </c>
      <c r="L57" s="6" t="s">
        <v>21</v>
      </c>
      <c r="M57" s="6" t="s">
        <v>149</v>
      </c>
      <c r="N57" s="7" t="s">
        <v>18</v>
      </c>
      <c r="O57" s="23" t="s">
        <v>3611</v>
      </c>
      <c r="R57" s="23" t="s">
        <v>3612</v>
      </c>
      <c r="S57" s="2" t="s">
        <v>3613</v>
      </c>
      <c r="T57" s="2" t="s">
        <v>3614</v>
      </c>
      <c r="U57" s="2" t="s">
        <v>3615</v>
      </c>
      <c r="V57" s="23" t="s">
        <v>3616</v>
      </c>
      <c r="W57" s="24" t="s">
        <v>3617</v>
      </c>
      <c r="X57" s="23" t="s">
        <v>3618</v>
      </c>
      <c r="Y57" s="23" t="s">
        <v>3619</v>
      </c>
      <c r="Z57" s="23" t="s">
        <v>3620</v>
      </c>
      <c r="AA57" s="23" t="s">
        <v>3621</v>
      </c>
      <c r="AB57" s="9"/>
      <c r="AC57" s="9"/>
      <c r="AD57" s="9"/>
    </row>
    <row r="58" spans="1:30" ht="15.75" customHeight="1">
      <c r="A58" s="4" t="s">
        <v>773</v>
      </c>
      <c r="B58" s="5">
        <v>2402</v>
      </c>
      <c r="C58" s="6" t="s">
        <v>1264</v>
      </c>
      <c r="D58" s="7">
        <v>2022609610</v>
      </c>
      <c r="E58" s="7">
        <v>2201010899</v>
      </c>
      <c r="F58" s="7" t="s">
        <v>1801</v>
      </c>
      <c r="G58" s="7" t="s">
        <v>13</v>
      </c>
      <c r="H58" s="6" t="s">
        <v>1265</v>
      </c>
      <c r="I58" s="6" t="s">
        <v>1933</v>
      </c>
      <c r="J58" s="6" t="s">
        <v>1934</v>
      </c>
      <c r="K58" s="6" t="s">
        <v>15</v>
      </c>
      <c r="L58" s="6" t="s">
        <v>139</v>
      </c>
      <c r="M58" s="6" t="s">
        <v>17</v>
      </c>
      <c r="N58" s="7" t="s">
        <v>174</v>
      </c>
      <c r="O58" s="23" t="s">
        <v>3611</v>
      </c>
      <c r="R58" s="23" t="s">
        <v>3612</v>
      </c>
      <c r="S58" s="2" t="s">
        <v>3613</v>
      </c>
      <c r="T58" s="2" t="s">
        <v>3614</v>
      </c>
      <c r="U58" s="2" t="s">
        <v>3615</v>
      </c>
      <c r="V58" s="23" t="s">
        <v>3616</v>
      </c>
      <c r="W58" s="24" t="s">
        <v>3617</v>
      </c>
      <c r="X58" s="23" t="s">
        <v>3618</v>
      </c>
      <c r="Y58" s="23" t="s">
        <v>3619</v>
      </c>
      <c r="Z58" s="23" t="s">
        <v>3620</v>
      </c>
      <c r="AA58" s="23" t="s">
        <v>3621</v>
      </c>
      <c r="AB58" s="9"/>
      <c r="AC58" s="9"/>
      <c r="AD58" s="9"/>
    </row>
    <row r="59" spans="1:30" ht="15.75" customHeight="1">
      <c r="A59" s="10" t="s">
        <v>773</v>
      </c>
      <c r="B59" s="5">
        <v>2402</v>
      </c>
      <c r="C59" s="6" t="s">
        <v>774</v>
      </c>
      <c r="D59" s="7">
        <v>2022837427</v>
      </c>
      <c r="E59" s="7">
        <v>2201010913</v>
      </c>
      <c r="F59" s="7" t="s">
        <v>1801</v>
      </c>
      <c r="G59" s="7" t="s">
        <v>13</v>
      </c>
      <c r="H59" s="6" t="s">
        <v>775</v>
      </c>
      <c r="I59" s="6" t="s">
        <v>1935</v>
      </c>
      <c r="J59" s="6" t="s">
        <v>1936</v>
      </c>
      <c r="K59" s="6" t="s">
        <v>15</v>
      </c>
      <c r="L59" s="6" t="s">
        <v>21</v>
      </c>
      <c r="M59" s="6" t="s">
        <v>104</v>
      </c>
      <c r="N59" s="7" t="s">
        <v>18</v>
      </c>
      <c r="O59" s="23" t="s">
        <v>3611</v>
      </c>
      <c r="R59" s="23" t="s">
        <v>3612</v>
      </c>
      <c r="S59" s="2" t="s">
        <v>3613</v>
      </c>
      <c r="T59" s="2" t="s">
        <v>3614</v>
      </c>
      <c r="U59" s="2" t="s">
        <v>3615</v>
      </c>
      <c r="V59" s="23" t="s">
        <v>3616</v>
      </c>
      <c r="W59" s="24" t="s">
        <v>3617</v>
      </c>
      <c r="X59" s="23" t="s">
        <v>3618</v>
      </c>
      <c r="Y59" s="23" t="s">
        <v>3619</v>
      </c>
      <c r="Z59" s="23" t="s">
        <v>3620</v>
      </c>
      <c r="AA59" s="23" t="s">
        <v>3621</v>
      </c>
      <c r="AB59" s="8"/>
      <c r="AC59" s="8"/>
      <c r="AD59" s="8"/>
    </row>
    <row r="60" spans="1:30" ht="15.75" customHeight="1">
      <c r="A60" s="10" t="s">
        <v>773</v>
      </c>
      <c r="B60" s="5">
        <v>2402</v>
      </c>
      <c r="C60" s="6" t="s">
        <v>778</v>
      </c>
      <c r="D60" s="7">
        <v>2023248088</v>
      </c>
      <c r="E60" s="7">
        <v>2301017003</v>
      </c>
      <c r="F60" s="7" t="s">
        <v>1801</v>
      </c>
      <c r="G60" s="7" t="s">
        <v>13</v>
      </c>
      <c r="H60" s="6" t="s">
        <v>779</v>
      </c>
      <c r="I60" s="6" t="s">
        <v>1937</v>
      </c>
      <c r="J60" s="6" t="s">
        <v>1938</v>
      </c>
      <c r="K60" s="6" t="s">
        <v>15</v>
      </c>
      <c r="L60" s="6" t="s">
        <v>21</v>
      </c>
      <c r="M60" s="6" t="s">
        <v>26</v>
      </c>
      <c r="N60" s="7" t="s">
        <v>18</v>
      </c>
      <c r="O60" s="23" t="s">
        <v>3611</v>
      </c>
      <c r="R60" s="23" t="s">
        <v>3612</v>
      </c>
      <c r="S60" s="2" t="s">
        <v>3613</v>
      </c>
      <c r="T60" s="2" t="s">
        <v>3614</v>
      </c>
      <c r="U60" s="2" t="s">
        <v>3615</v>
      </c>
      <c r="V60" s="23" t="s">
        <v>3616</v>
      </c>
      <c r="W60" s="24" t="s">
        <v>3617</v>
      </c>
      <c r="X60" s="23" t="s">
        <v>3618</v>
      </c>
      <c r="Y60" s="23" t="s">
        <v>3619</v>
      </c>
      <c r="Z60" s="23" t="s">
        <v>3620</v>
      </c>
      <c r="AA60" s="23" t="s">
        <v>3621</v>
      </c>
      <c r="AB60" s="8"/>
      <c r="AC60" s="8"/>
      <c r="AD60" s="8"/>
    </row>
    <row r="61" spans="1:30" ht="15.75" customHeight="1">
      <c r="A61" s="4" t="s">
        <v>773</v>
      </c>
      <c r="B61" s="5">
        <v>2402</v>
      </c>
      <c r="C61" s="6" t="s">
        <v>1010</v>
      </c>
      <c r="D61" s="7">
        <v>2023583466</v>
      </c>
      <c r="E61" s="7">
        <v>2301017012</v>
      </c>
      <c r="F61" s="7" t="s">
        <v>1801</v>
      </c>
      <c r="G61" s="7" t="s">
        <v>13</v>
      </c>
      <c r="H61" s="6" t="s">
        <v>1011</v>
      </c>
      <c r="I61" s="6" t="s">
        <v>1939</v>
      </c>
      <c r="J61" s="6" t="s">
        <v>1940</v>
      </c>
      <c r="K61" s="6" t="s">
        <v>15</v>
      </c>
      <c r="L61" s="6" t="s">
        <v>17</v>
      </c>
      <c r="M61" s="6" t="s">
        <v>104</v>
      </c>
      <c r="N61" s="7" t="s">
        <v>18</v>
      </c>
      <c r="O61" s="23" t="s">
        <v>3611</v>
      </c>
      <c r="R61" s="23" t="s">
        <v>3612</v>
      </c>
      <c r="S61" s="2" t="s">
        <v>3613</v>
      </c>
      <c r="T61" s="2" t="s">
        <v>3614</v>
      </c>
      <c r="U61" s="2" t="s">
        <v>3615</v>
      </c>
      <c r="V61" s="23" t="s">
        <v>3616</v>
      </c>
      <c r="W61" s="24" t="s">
        <v>3617</v>
      </c>
      <c r="X61" s="23" t="s">
        <v>3618</v>
      </c>
      <c r="Y61" s="23" t="s">
        <v>3619</v>
      </c>
      <c r="Z61" s="23" t="s">
        <v>3620</v>
      </c>
      <c r="AA61" s="23" t="s">
        <v>3621</v>
      </c>
      <c r="AB61" s="8"/>
      <c r="AC61" s="8"/>
      <c r="AD61" s="8"/>
    </row>
    <row r="62" spans="1:30" ht="15.75" customHeight="1">
      <c r="A62" s="4" t="s">
        <v>773</v>
      </c>
      <c r="B62" s="5">
        <v>2402</v>
      </c>
      <c r="C62" s="6" t="s">
        <v>1008</v>
      </c>
      <c r="D62" s="7">
        <v>2023524672</v>
      </c>
      <c r="E62" s="7">
        <v>2301017018</v>
      </c>
      <c r="F62" s="7" t="s">
        <v>1801</v>
      </c>
      <c r="G62" s="7" t="s">
        <v>13</v>
      </c>
      <c r="H62" s="6" t="s">
        <v>1009</v>
      </c>
      <c r="I62" s="6" t="s">
        <v>1941</v>
      </c>
      <c r="J62" s="6" t="s">
        <v>1942</v>
      </c>
      <c r="K62" s="6" t="s">
        <v>15</v>
      </c>
      <c r="L62" s="6" t="s">
        <v>104</v>
      </c>
      <c r="M62" s="6" t="s">
        <v>49</v>
      </c>
      <c r="N62" s="7" t="s">
        <v>18</v>
      </c>
      <c r="O62" s="23" t="s">
        <v>3611</v>
      </c>
      <c r="R62" s="23" t="s">
        <v>3612</v>
      </c>
      <c r="S62" s="2" t="s">
        <v>3613</v>
      </c>
      <c r="T62" s="2" t="s">
        <v>3614</v>
      </c>
      <c r="U62" s="2" t="s">
        <v>3615</v>
      </c>
      <c r="V62" s="23" t="s">
        <v>3616</v>
      </c>
      <c r="W62" s="24" t="s">
        <v>3617</v>
      </c>
      <c r="X62" s="23" t="s">
        <v>3618</v>
      </c>
      <c r="Y62" s="23" t="s">
        <v>3619</v>
      </c>
      <c r="Z62" s="23" t="s">
        <v>3620</v>
      </c>
      <c r="AA62" s="23" t="s">
        <v>3621</v>
      </c>
      <c r="AB62" s="8"/>
      <c r="AC62" s="8"/>
      <c r="AD62" s="8"/>
    </row>
    <row r="63" spans="1:30" ht="15.75" customHeight="1">
      <c r="A63" s="4" t="s">
        <v>773</v>
      </c>
      <c r="B63" s="5">
        <v>2402</v>
      </c>
      <c r="C63" s="6" t="s">
        <v>1006</v>
      </c>
      <c r="D63" s="7">
        <v>2023500162</v>
      </c>
      <c r="E63" s="7">
        <v>2301017020</v>
      </c>
      <c r="F63" s="7" t="s">
        <v>1801</v>
      </c>
      <c r="G63" s="7" t="s">
        <v>13</v>
      </c>
      <c r="H63" s="6" t="s">
        <v>1007</v>
      </c>
      <c r="I63" s="6" t="s">
        <v>1943</v>
      </c>
      <c r="J63" s="6" t="s">
        <v>1944</v>
      </c>
      <c r="K63" s="6" t="s">
        <v>15</v>
      </c>
      <c r="L63" s="6" t="s">
        <v>149</v>
      </c>
      <c r="M63" s="6" t="s">
        <v>17</v>
      </c>
      <c r="N63" s="7" t="s">
        <v>18</v>
      </c>
      <c r="O63" s="23" t="s">
        <v>3611</v>
      </c>
      <c r="R63" s="23" t="s">
        <v>3612</v>
      </c>
      <c r="S63" s="2" t="s">
        <v>3613</v>
      </c>
      <c r="T63" s="2" t="s">
        <v>3614</v>
      </c>
      <c r="U63" s="2" t="s">
        <v>3615</v>
      </c>
      <c r="V63" s="23" t="s">
        <v>3616</v>
      </c>
      <c r="W63" s="24" t="s">
        <v>3617</v>
      </c>
      <c r="X63" s="23" t="s">
        <v>3618</v>
      </c>
      <c r="Y63" s="23" t="s">
        <v>3619</v>
      </c>
      <c r="Z63" s="23" t="s">
        <v>3620</v>
      </c>
      <c r="AA63" s="23" t="s">
        <v>3621</v>
      </c>
    </row>
    <row r="64" spans="1:30" s="21" customFormat="1" ht="15.75" customHeight="1">
      <c r="A64" s="18" t="s">
        <v>773</v>
      </c>
      <c r="B64" s="5">
        <v>2402</v>
      </c>
      <c r="C64" s="19" t="s">
        <v>1815</v>
      </c>
      <c r="D64" s="20">
        <v>2021479763</v>
      </c>
      <c r="E64" s="20">
        <v>210101025</v>
      </c>
      <c r="F64" s="20" t="s">
        <v>1801</v>
      </c>
      <c r="G64" s="20" t="s">
        <v>13</v>
      </c>
      <c r="H64" s="6" t="s">
        <v>1816</v>
      </c>
      <c r="I64" s="6" t="s">
        <v>1945</v>
      </c>
      <c r="J64" s="6">
        <v>9140907009</v>
      </c>
      <c r="K64" s="19" t="s">
        <v>15</v>
      </c>
      <c r="L64" s="19"/>
      <c r="M64" s="19"/>
      <c r="N64" s="20"/>
      <c r="O64" s="23" t="s">
        <v>3611</v>
      </c>
      <c r="R64" s="23" t="s">
        <v>3612</v>
      </c>
      <c r="S64" s="2" t="s">
        <v>3613</v>
      </c>
      <c r="T64" s="2" t="s">
        <v>3614</v>
      </c>
      <c r="U64" s="2" t="s">
        <v>3615</v>
      </c>
      <c r="V64" s="23" t="s">
        <v>3616</v>
      </c>
      <c r="W64" s="24" t="s">
        <v>3617</v>
      </c>
      <c r="X64" s="23" t="s">
        <v>3618</v>
      </c>
      <c r="Y64" s="23" t="s">
        <v>3619</v>
      </c>
      <c r="Z64" s="23" t="s">
        <v>3620</v>
      </c>
      <c r="AA64" s="23" t="s">
        <v>3621</v>
      </c>
    </row>
    <row r="65" spans="1:30" s="21" customFormat="1" ht="15.75" customHeight="1">
      <c r="A65" s="18" t="s">
        <v>773</v>
      </c>
      <c r="B65" s="5">
        <v>2402</v>
      </c>
      <c r="C65" s="22" t="s">
        <v>1818</v>
      </c>
      <c r="D65" s="20">
        <v>2024389953</v>
      </c>
      <c r="E65" s="20"/>
      <c r="F65" s="20" t="s">
        <v>1801</v>
      </c>
      <c r="G65" s="20" t="s">
        <v>13</v>
      </c>
      <c r="H65" s="6">
        <v>0</v>
      </c>
      <c r="I65" s="6">
        <v>0</v>
      </c>
      <c r="J65" s="6">
        <v>9693101494</v>
      </c>
      <c r="K65" s="19" t="s">
        <v>15</v>
      </c>
      <c r="L65" s="19"/>
      <c r="M65" s="19"/>
      <c r="N65" s="20"/>
      <c r="O65" s="23" t="s">
        <v>3611</v>
      </c>
      <c r="R65" s="23" t="s">
        <v>3612</v>
      </c>
      <c r="S65" s="2" t="s">
        <v>3613</v>
      </c>
      <c r="T65" s="2" t="s">
        <v>3614</v>
      </c>
      <c r="U65" s="2" t="s">
        <v>3615</v>
      </c>
      <c r="V65" s="23" t="s">
        <v>3616</v>
      </c>
      <c r="W65" s="24" t="s">
        <v>3617</v>
      </c>
      <c r="X65" s="23" t="s">
        <v>3618</v>
      </c>
      <c r="Y65" s="23" t="s">
        <v>3619</v>
      </c>
      <c r="Z65" s="23" t="s">
        <v>3620</v>
      </c>
      <c r="AA65" s="23" t="s">
        <v>3621</v>
      </c>
    </row>
    <row r="66" spans="1:30" ht="15.75" customHeight="1">
      <c r="A66" s="15" t="s">
        <v>770</v>
      </c>
      <c r="B66" s="5">
        <v>2402</v>
      </c>
      <c r="C66" s="16" t="s">
        <v>1797</v>
      </c>
      <c r="D66">
        <v>2019005675</v>
      </c>
      <c r="E66" s="7">
        <v>190101319</v>
      </c>
      <c r="F66" s="7" t="s">
        <v>1803</v>
      </c>
      <c r="G66" s="7" t="s">
        <v>13</v>
      </c>
      <c r="H66" s="16"/>
      <c r="I66" s="6">
        <v>0</v>
      </c>
      <c r="J66" s="6">
        <v>0</v>
      </c>
      <c r="K66" s="6" t="s">
        <v>15</v>
      </c>
      <c r="L66" s="16"/>
      <c r="M66" s="16"/>
      <c r="N66" s="16"/>
      <c r="O66" s="23" t="s">
        <v>3611</v>
      </c>
      <c r="R66" s="23" t="s">
        <v>3612</v>
      </c>
      <c r="S66" s="2" t="s">
        <v>3613</v>
      </c>
      <c r="T66" s="2" t="s">
        <v>3614</v>
      </c>
      <c r="U66" s="2" t="s">
        <v>3615</v>
      </c>
      <c r="V66" s="23" t="s">
        <v>3616</v>
      </c>
      <c r="W66" s="24" t="s">
        <v>3617</v>
      </c>
      <c r="X66" s="23" t="s">
        <v>3618</v>
      </c>
      <c r="Y66" s="23" t="s">
        <v>3619</v>
      </c>
      <c r="Z66" s="23" t="s">
        <v>3620</v>
      </c>
      <c r="AA66" s="23" t="s">
        <v>3621</v>
      </c>
      <c r="AB66" s="8"/>
      <c r="AC66" s="8"/>
      <c r="AD66" s="8"/>
    </row>
    <row r="67" spans="1:30" ht="15.75" customHeight="1">
      <c r="A67" s="15" t="s">
        <v>770</v>
      </c>
      <c r="B67" s="5">
        <v>2402</v>
      </c>
      <c r="C67" s="16" t="s">
        <v>1798</v>
      </c>
      <c r="D67" s="16">
        <v>2020516582</v>
      </c>
      <c r="E67" s="7">
        <v>200101181</v>
      </c>
      <c r="F67" s="7" t="s">
        <v>1803</v>
      </c>
      <c r="G67" s="7" t="s">
        <v>13</v>
      </c>
      <c r="H67" s="16"/>
      <c r="I67" s="6">
        <v>0</v>
      </c>
      <c r="J67" s="6">
        <v>9319072044</v>
      </c>
      <c r="K67" s="6" t="s">
        <v>15</v>
      </c>
      <c r="L67" s="16"/>
      <c r="M67" s="16"/>
      <c r="N67" s="16"/>
      <c r="O67" s="23" t="s">
        <v>3611</v>
      </c>
      <c r="R67" s="23" t="s">
        <v>3612</v>
      </c>
      <c r="S67" s="2" t="s">
        <v>3613</v>
      </c>
      <c r="T67" s="2" t="s">
        <v>3614</v>
      </c>
      <c r="U67" s="2" t="s">
        <v>3615</v>
      </c>
      <c r="V67" s="23" t="s">
        <v>3616</v>
      </c>
      <c r="W67" s="24" t="s">
        <v>3617</v>
      </c>
      <c r="X67" s="23" t="s">
        <v>3618</v>
      </c>
      <c r="Y67" s="23" t="s">
        <v>3619</v>
      </c>
      <c r="Z67" s="23" t="s">
        <v>3620</v>
      </c>
      <c r="AA67" s="23" t="s">
        <v>3621</v>
      </c>
      <c r="AB67" s="8"/>
      <c r="AC67" s="8"/>
      <c r="AD67" s="8"/>
    </row>
    <row r="68" spans="1:30" ht="15.75" customHeight="1">
      <c r="A68" s="15" t="s">
        <v>770</v>
      </c>
      <c r="B68" s="5">
        <v>2402</v>
      </c>
      <c r="C68" s="16" t="s">
        <v>1799</v>
      </c>
      <c r="D68" s="16">
        <v>2021378869</v>
      </c>
      <c r="E68" s="7">
        <v>210101036</v>
      </c>
      <c r="F68" s="7" t="s">
        <v>1803</v>
      </c>
      <c r="G68" s="7" t="s">
        <v>13</v>
      </c>
      <c r="H68" s="16"/>
      <c r="I68" s="6" t="s">
        <v>1946</v>
      </c>
      <c r="J68" s="6" t="s">
        <v>1947</v>
      </c>
      <c r="K68" s="6" t="s">
        <v>15</v>
      </c>
      <c r="L68" s="16"/>
      <c r="M68" s="16"/>
      <c r="N68" s="16"/>
      <c r="O68" s="23" t="s">
        <v>3611</v>
      </c>
      <c r="R68" s="23" t="s">
        <v>3612</v>
      </c>
      <c r="S68" s="2" t="s">
        <v>3613</v>
      </c>
      <c r="T68" s="2" t="s">
        <v>3614</v>
      </c>
      <c r="U68" s="2" t="s">
        <v>3615</v>
      </c>
      <c r="V68" s="23" t="s">
        <v>3616</v>
      </c>
      <c r="W68" s="24" t="s">
        <v>3617</v>
      </c>
      <c r="X68" s="23" t="s">
        <v>3618</v>
      </c>
      <c r="Y68" s="23" t="s">
        <v>3619</v>
      </c>
      <c r="Z68" s="23" t="s">
        <v>3620</v>
      </c>
      <c r="AA68" s="23" t="s">
        <v>3621</v>
      </c>
      <c r="AB68" s="8"/>
      <c r="AC68" s="8"/>
      <c r="AD68" s="8"/>
    </row>
    <row r="69" spans="1:30" ht="15.75" customHeight="1">
      <c r="A69" s="4" t="s">
        <v>770</v>
      </c>
      <c r="B69" s="5">
        <v>2402</v>
      </c>
      <c r="C69" s="6" t="s">
        <v>1024</v>
      </c>
      <c r="D69" s="7">
        <v>2021420120</v>
      </c>
      <c r="E69" s="7">
        <v>210101143</v>
      </c>
      <c r="F69" s="7" t="s">
        <v>1803</v>
      </c>
      <c r="G69" s="7" t="s">
        <v>13</v>
      </c>
      <c r="H69" s="11" t="s">
        <v>1025</v>
      </c>
      <c r="I69" s="6" t="s">
        <v>1948</v>
      </c>
      <c r="J69" s="6" t="s">
        <v>1949</v>
      </c>
      <c r="K69" s="6" t="s">
        <v>15</v>
      </c>
      <c r="L69" s="6" t="e">
        <v>#N/A</v>
      </c>
      <c r="M69" s="6" t="e">
        <v>#N/A</v>
      </c>
      <c r="N69" s="7" t="e">
        <v>#N/A</v>
      </c>
      <c r="O69" s="23" t="s">
        <v>3611</v>
      </c>
      <c r="R69" s="23" t="s">
        <v>3612</v>
      </c>
      <c r="S69" s="2" t="s">
        <v>3613</v>
      </c>
      <c r="T69" s="2" t="s">
        <v>3614</v>
      </c>
      <c r="U69" s="2" t="s">
        <v>3615</v>
      </c>
      <c r="V69" s="23" t="s">
        <v>3616</v>
      </c>
      <c r="W69" s="24" t="s">
        <v>3617</v>
      </c>
      <c r="X69" s="23" t="s">
        <v>3618</v>
      </c>
      <c r="Y69" s="23" t="s">
        <v>3619</v>
      </c>
      <c r="Z69" s="23" t="s">
        <v>3620</v>
      </c>
      <c r="AA69" s="23" t="s">
        <v>3621</v>
      </c>
      <c r="AB69" s="8"/>
      <c r="AC69" s="8"/>
      <c r="AD69" s="8"/>
    </row>
    <row r="70" spans="1:30" ht="15.75" customHeight="1">
      <c r="A70" s="4" t="s">
        <v>770</v>
      </c>
      <c r="B70" s="5">
        <v>2402</v>
      </c>
      <c r="C70" s="6" t="s">
        <v>1022</v>
      </c>
      <c r="D70" s="7">
        <v>2021003785</v>
      </c>
      <c r="E70" s="7">
        <v>210101586</v>
      </c>
      <c r="F70" s="7" t="s">
        <v>1803</v>
      </c>
      <c r="G70" s="7" t="s">
        <v>13</v>
      </c>
      <c r="H70" s="6" t="s">
        <v>1023</v>
      </c>
      <c r="I70" s="6" t="s">
        <v>1950</v>
      </c>
      <c r="J70" s="6" t="s">
        <v>1951</v>
      </c>
      <c r="K70" s="6" t="s">
        <v>15</v>
      </c>
      <c r="L70" s="6" t="e">
        <v>#N/A</v>
      </c>
      <c r="M70" s="6" t="e">
        <v>#N/A</v>
      </c>
      <c r="N70" s="7" t="e">
        <v>#N/A</v>
      </c>
      <c r="O70" s="23" t="s">
        <v>3611</v>
      </c>
      <c r="R70" s="23" t="s">
        <v>3612</v>
      </c>
      <c r="S70" s="2" t="s">
        <v>3613</v>
      </c>
      <c r="T70" s="2" t="s">
        <v>3614</v>
      </c>
      <c r="U70" s="2" t="s">
        <v>3615</v>
      </c>
      <c r="V70" s="23" t="s">
        <v>3616</v>
      </c>
      <c r="W70" s="24" t="s">
        <v>3617</v>
      </c>
      <c r="X70" s="23" t="s">
        <v>3618</v>
      </c>
      <c r="Y70" s="23" t="s">
        <v>3619</v>
      </c>
      <c r="Z70" s="23" t="s">
        <v>3620</v>
      </c>
      <c r="AA70" s="23" t="s">
        <v>3621</v>
      </c>
      <c r="AB70" s="8"/>
      <c r="AC70" s="8"/>
      <c r="AD70" s="8"/>
    </row>
    <row r="71" spans="1:30" ht="15.75" customHeight="1">
      <c r="A71" s="4" t="s">
        <v>770</v>
      </c>
      <c r="B71" s="5">
        <v>2402</v>
      </c>
      <c r="C71" s="6" t="s">
        <v>1042</v>
      </c>
      <c r="D71" s="7">
        <v>2022003574</v>
      </c>
      <c r="E71" s="7">
        <v>2201010001</v>
      </c>
      <c r="F71" s="7" t="s">
        <v>1803</v>
      </c>
      <c r="G71" s="7" t="s">
        <v>13</v>
      </c>
      <c r="H71" s="6" t="s">
        <v>1043</v>
      </c>
      <c r="I71" s="6" t="s">
        <v>1952</v>
      </c>
      <c r="J71" s="6" t="s">
        <v>1953</v>
      </c>
      <c r="K71" s="6" t="s">
        <v>15</v>
      </c>
      <c r="L71" s="6" t="s">
        <v>21</v>
      </c>
      <c r="M71" s="6" t="s">
        <v>21</v>
      </c>
      <c r="N71" s="7" t="s">
        <v>18</v>
      </c>
      <c r="O71" s="23" t="s">
        <v>3611</v>
      </c>
      <c r="R71" s="23" t="s">
        <v>3612</v>
      </c>
      <c r="S71" s="2" t="s">
        <v>3613</v>
      </c>
      <c r="T71" s="2" t="s">
        <v>3614</v>
      </c>
      <c r="U71" s="2" t="s">
        <v>3615</v>
      </c>
      <c r="V71" s="23" t="s">
        <v>3616</v>
      </c>
      <c r="W71" s="24" t="s">
        <v>3617</v>
      </c>
      <c r="X71" s="23" t="s">
        <v>3618</v>
      </c>
      <c r="Y71" s="23" t="s">
        <v>3619</v>
      </c>
      <c r="Z71" s="23" t="s">
        <v>3620</v>
      </c>
      <c r="AA71" s="23" t="s">
        <v>3621</v>
      </c>
      <c r="AB71" s="9"/>
      <c r="AC71" s="9"/>
      <c r="AD71" s="9"/>
    </row>
    <row r="72" spans="1:30" ht="15.75" customHeight="1">
      <c r="A72" s="4" t="s">
        <v>770</v>
      </c>
      <c r="B72" s="5">
        <v>2402</v>
      </c>
      <c r="C72" s="6" t="s">
        <v>1070</v>
      </c>
      <c r="D72" s="7">
        <v>2022360529</v>
      </c>
      <c r="E72" s="7">
        <v>2201010022</v>
      </c>
      <c r="F72" s="7" t="s">
        <v>1803</v>
      </c>
      <c r="G72" s="7" t="s">
        <v>13</v>
      </c>
      <c r="H72" s="6" t="s">
        <v>1071</v>
      </c>
      <c r="I72" s="6" t="s">
        <v>1954</v>
      </c>
      <c r="J72" s="6" t="s">
        <v>1955</v>
      </c>
      <c r="K72" s="6" t="s">
        <v>15</v>
      </c>
      <c r="L72" s="6" t="s">
        <v>117</v>
      </c>
      <c r="M72" s="6" t="s">
        <v>17</v>
      </c>
      <c r="N72" s="7" t="s">
        <v>18</v>
      </c>
      <c r="O72" s="23" t="s">
        <v>3611</v>
      </c>
      <c r="R72" s="23" t="s">
        <v>3612</v>
      </c>
      <c r="S72" s="2" t="s">
        <v>3613</v>
      </c>
      <c r="T72" s="2" t="s">
        <v>3614</v>
      </c>
      <c r="U72" s="2" t="s">
        <v>3615</v>
      </c>
      <c r="V72" s="23" t="s">
        <v>3616</v>
      </c>
      <c r="W72" s="24" t="s">
        <v>3617</v>
      </c>
      <c r="X72" s="23" t="s">
        <v>3618</v>
      </c>
      <c r="Y72" s="23" t="s">
        <v>3619</v>
      </c>
      <c r="Z72" s="23" t="s">
        <v>3620</v>
      </c>
      <c r="AA72" s="23" t="s">
        <v>3621</v>
      </c>
      <c r="AB72" s="9"/>
      <c r="AC72" s="9"/>
      <c r="AD72" s="9"/>
    </row>
    <row r="73" spans="1:30" ht="15.75" customHeight="1">
      <c r="A73" s="4" t="s">
        <v>770</v>
      </c>
      <c r="B73" s="5">
        <v>2402</v>
      </c>
      <c r="C73" s="6" t="s">
        <v>1112</v>
      </c>
      <c r="D73" s="7">
        <v>2022538932</v>
      </c>
      <c r="E73" s="7">
        <v>2201010096</v>
      </c>
      <c r="F73" s="7" t="s">
        <v>1803</v>
      </c>
      <c r="G73" s="7" t="s">
        <v>13</v>
      </c>
      <c r="H73" s="6" t="s">
        <v>1113</v>
      </c>
      <c r="I73" s="6" t="s">
        <v>1956</v>
      </c>
      <c r="J73" s="6" t="s">
        <v>1957</v>
      </c>
      <c r="K73" s="6" t="s">
        <v>15</v>
      </c>
      <c r="L73" s="6" t="s">
        <v>117</v>
      </c>
      <c r="M73" s="6" t="s">
        <v>104</v>
      </c>
      <c r="N73" s="7" t="s">
        <v>174</v>
      </c>
      <c r="O73" s="23" t="s">
        <v>3611</v>
      </c>
      <c r="R73" s="23" t="s">
        <v>3612</v>
      </c>
      <c r="S73" s="2" t="s">
        <v>3613</v>
      </c>
      <c r="T73" s="2" t="s">
        <v>3614</v>
      </c>
      <c r="U73" s="2" t="s">
        <v>3615</v>
      </c>
      <c r="V73" s="23" t="s">
        <v>3616</v>
      </c>
      <c r="W73" s="24" t="s">
        <v>3617</v>
      </c>
      <c r="X73" s="23" t="s">
        <v>3618</v>
      </c>
      <c r="Y73" s="23" t="s">
        <v>3619</v>
      </c>
      <c r="Z73" s="23" t="s">
        <v>3620</v>
      </c>
      <c r="AA73" s="23" t="s">
        <v>3621</v>
      </c>
      <c r="AB73" s="8"/>
      <c r="AC73" s="8"/>
      <c r="AD73" s="8"/>
    </row>
    <row r="74" spans="1:30" ht="15.75" customHeight="1">
      <c r="A74" s="4" t="s">
        <v>770</v>
      </c>
      <c r="B74" s="5">
        <v>2402</v>
      </c>
      <c r="C74" s="6" t="s">
        <v>1038</v>
      </c>
      <c r="D74" s="7">
        <v>2022002787</v>
      </c>
      <c r="E74" s="7">
        <v>2201010105</v>
      </c>
      <c r="F74" s="7" t="s">
        <v>1803</v>
      </c>
      <c r="G74" s="7" t="s">
        <v>13</v>
      </c>
      <c r="H74" s="6" t="s">
        <v>1039</v>
      </c>
      <c r="I74" s="6" t="s">
        <v>1958</v>
      </c>
      <c r="J74" s="6" t="s">
        <v>1959</v>
      </c>
      <c r="K74" s="6" t="s">
        <v>15</v>
      </c>
      <c r="L74" s="6" t="s">
        <v>21</v>
      </c>
      <c r="M74" s="6" t="s">
        <v>149</v>
      </c>
      <c r="N74" s="7" t="s">
        <v>174</v>
      </c>
      <c r="O74" s="23" t="s">
        <v>3611</v>
      </c>
      <c r="R74" s="23" t="s">
        <v>3612</v>
      </c>
      <c r="S74" s="2" t="s">
        <v>3613</v>
      </c>
      <c r="T74" s="2" t="s">
        <v>3614</v>
      </c>
      <c r="U74" s="2" t="s">
        <v>3615</v>
      </c>
      <c r="V74" s="23" t="s">
        <v>3616</v>
      </c>
      <c r="W74" s="24" t="s">
        <v>3617</v>
      </c>
      <c r="X74" s="23" t="s">
        <v>3618</v>
      </c>
      <c r="Y74" s="23" t="s">
        <v>3619</v>
      </c>
      <c r="Z74" s="23" t="s">
        <v>3620</v>
      </c>
      <c r="AA74" s="23" t="s">
        <v>3621</v>
      </c>
      <c r="AB74" s="8"/>
      <c r="AC74" s="8"/>
      <c r="AD74" s="8"/>
    </row>
    <row r="75" spans="1:30" ht="15.75" customHeight="1">
      <c r="A75" s="4" t="s">
        <v>770</v>
      </c>
      <c r="B75" s="5">
        <v>2402</v>
      </c>
      <c r="C75" s="6" t="s">
        <v>1052</v>
      </c>
      <c r="D75" s="7">
        <v>2022005229</v>
      </c>
      <c r="E75" s="7">
        <v>2201010115</v>
      </c>
      <c r="F75" s="7" t="s">
        <v>1803</v>
      </c>
      <c r="G75" s="7" t="s">
        <v>13</v>
      </c>
      <c r="H75" s="6" t="s">
        <v>1053</v>
      </c>
      <c r="I75" s="6" t="s">
        <v>1960</v>
      </c>
      <c r="J75" s="6" t="s">
        <v>1961</v>
      </c>
      <c r="K75" s="6" t="s">
        <v>15</v>
      </c>
      <c r="L75" s="6" t="s">
        <v>117</v>
      </c>
      <c r="M75" s="6" t="s">
        <v>16</v>
      </c>
      <c r="N75" s="7" t="s">
        <v>18</v>
      </c>
      <c r="O75" s="23" t="s">
        <v>3611</v>
      </c>
      <c r="R75" s="23" t="s">
        <v>3612</v>
      </c>
      <c r="S75" s="2" t="s">
        <v>3613</v>
      </c>
      <c r="T75" s="2" t="s">
        <v>3614</v>
      </c>
      <c r="U75" s="2" t="s">
        <v>3615</v>
      </c>
      <c r="V75" s="23" t="s">
        <v>3616</v>
      </c>
      <c r="W75" s="24" t="s">
        <v>3617</v>
      </c>
      <c r="X75" s="23" t="s">
        <v>3618</v>
      </c>
      <c r="Y75" s="23" t="s">
        <v>3619</v>
      </c>
      <c r="Z75" s="23" t="s">
        <v>3620</v>
      </c>
      <c r="AA75" s="23" t="s">
        <v>3621</v>
      </c>
      <c r="AB75" s="8"/>
      <c r="AC75" s="8"/>
      <c r="AD75" s="8"/>
    </row>
    <row r="76" spans="1:30" ht="15.75" customHeight="1">
      <c r="A76" s="4" t="s">
        <v>770</v>
      </c>
      <c r="B76" s="5">
        <v>2402</v>
      </c>
      <c r="C76" s="6" t="s">
        <v>1014</v>
      </c>
      <c r="D76" s="7">
        <v>2022419571</v>
      </c>
      <c r="E76" s="7">
        <v>2201010146</v>
      </c>
      <c r="F76" s="7" t="s">
        <v>1803</v>
      </c>
      <c r="G76" s="7" t="s">
        <v>13</v>
      </c>
      <c r="H76" s="6" t="s">
        <v>1015</v>
      </c>
      <c r="I76" s="6" t="s">
        <v>1962</v>
      </c>
      <c r="J76" s="6" t="s">
        <v>1963</v>
      </c>
      <c r="K76" s="6" t="s">
        <v>15</v>
      </c>
      <c r="L76" s="6" t="s">
        <v>21</v>
      </c>
      <c r="M76" s="6" t="s">
        <v>16</v>
      </c>
      <c r="N76" s="7" t="s">
        <v>18</v>
      </c>
      <c r="O76" s="23" t="s">
        <v>3611</v>
      </c>
      <c r="R76" s="23" t="s">
        <v>3612</v>
      </c>
      <c r="S76" s="2" t="s">
        <v>3613</v>
      </c>
      <c r="T76" s="2" t="s">
        <v>3614</v>
      </c>
      <c r="U76" s="2" t="s">
        <v>3615</v>
      </c>
      <c r="V76" s="23" t="s">
        <v>3616</v>
      </c>
      <c r="W76" s="24" t="s">
        <v>3617</v>
      </c>
      <c r="X76" s="23" t="s">
        <v>3618</v>
      </c>
      <c r="Y76" s="23" t="s">
        <v>3619</v>
      </c>
      <c r="Z76" s="23" t="s">
        <v>3620</v>
      </c>
      <c r="AA76" s="23" t="s">
        <v>3621</v>
      </c>
      <c r="AB76" s="8"/>
      <c r="AC76" s="8"/>
      <c r="AD76" s="8"/>
    </row>
    <row r="77" spans="1:30" ht="15.75" customHeight="1">
      <c r="A77" s="4" t="s">
        <v>770</v>
      </c>
      <c r="B77" s="5">
        <v>2402</v>
      </c>
      <c r="C77" s="6" t="s">
        <v>1084</v>
      </c>
      <c r="D77" s="7">
        <v>2022433389</v>
      </c>
      <c r="E77" s="7">
        <v>2201010183</v>
      </c>
      <c r="F77" s="7" t="s">
        <v>1803</v>
      </c>
      <c r="G77" s="7" t="s">
        <v>13</v>
      </c>
      <c r="H77" s="6" t="s">
        <v>1085</v>
      </c>
      <c r="I77" s="6" t="s">
        <v>1964</v>
      </c>
      <c r="J77" s="6" t="s">
        <v>1965</v>
      </c>
      <c r="K77" s="6" t="s">
        <v>15</v>
      </c>
      <c r="L77" s="6" t="e">
        <v>#N/A</v>
      </c>
      <c r="M77" s="6" t="e">
        <v>#N/A</v>
      </c>
      <c r="N77" s="7" t="e">
        <v>#N/A</v>
      </c>
      <c r="O77" s="23" t="s">
        <v>3611</v>
      </c>
      <c r="R77" s="23" t="s">
        <v>3612</v>
      </c>
      <c r="S77" s="2" t="s">
        <v>3613</v>
      </c>
      <c r="T77" s="2" t="s">
        <v>3614</v>
      </c>
      <c r="U77" s="2" t="s">
        <v>3615</v>
      </c>
      <c r="V77" s="23" t="s">
        <v>3616</v>
      </c>
      <c r="W77" s="24" t="s">
        <v>3617</v>
      </c>
      <c r="X77" s="23" t="s">
        <v>3618</v>
      </c>
      <c r="Y77" s="23" t="s">
        <v>3619</v>
      </c>
      <c r="Z77" s="23" t="s">
        <v>3620</v>
      </c>
      <c r="AA77" s="23" t="s">
        <v>3621</v>
      </c>
      <c r="AB77" s="8"/>
      <c r="AC77" s="8"/>
      <c r="AD77" s="8"/>
    </row>
    <row r="78" spans="1:30" ht="15.75" customHeight="1">
      <c r="A78" s="4" t="s">
        <v>770</v>
      </c>
      <c r="B78" s="5">
        <v>2402</v>
      </c>
      <c r="C78" s="6" t="s">
        <v>1032</v>
      </c>
      <c r="D78" s="7">
        <v>2022002578</v>
      </c>
      <c r="E78" s="7">
        <v>2201010184</v>
      </c>
      <c r="F78" s="7" t="s">
        <v>1803</v>
      </c>
      <c r="G78" s="7" t="s">
        <v>13</v>
      </c>
      <c r="H78" s="6" t="s">
        <v>1033</v>
      </c>
      <c r="I78" s="6" t="s">
        <v>1966</v>
      </c>
      <c r="J78" s="6" t="s">
        <v>1967</v>
      </c>
      <c r="K78" s="6" t="s">
        <v>15</v>
      </c>
      <c r="L78" s="6" t="s">
        <v>21</v>
      </c>
      <c r="M78" s="6" t="s">
        <v>149</v>
      </c>
      <c r="N78" s="7" t="s">
        <v>174</v>
      </c>
      <c r="O78" s="23" t="s">
        <v>3611</v>
      </c>
      <c r="R78" s="23" t="s">
        <v>3612</v>
      </c>
      <c r="S78" s="2" t="s">
        <v>3613</v>
      </c>
      <c r="T78" s="2" t="s">
        <v>3614</v>
      </c>
      <c r="U78" s="2" t="s">
        <v>3615</v>
      </c>
      <c r="V78" s="23" t="s">
        <v>3616</v>
      </c>
      <c r="W78" s="24" t="s">
        <v>3617</v>
      </c>
      <c r="X78" s="23" t="s">
        <v>3618</v>
      </c>
      <c r="Y78" s="23" t="s">
        <v>3619</v>
      </c>
      <c r="Z78" s="23" t="s">
        <v>3620</v>
      </c>
      <c r="AA78" s="23" t="s">
        <v>3621</v>
      </c>
      <c r="AB78" s="8"/>
      <c r="AC78" s="8"/>
      <c r="AD78" s="8"/>
    </row>
    <row r="79" spans="1:30" ht="15.75" customHeight="1">
      <c r="A79" s="4" t="s">
        <v>770</v>
      </c>
      <c r="B79" s="5">
        <v>2402</v>
      </c>
      <c r="C79" s="6" t="s">
        <v>1050</v>
      </c>
      <c r="D79" s="7">
        <v>2022005228</v>
      </c>
      <c r="E79" s="7">
        <v>2201010194</v>
      </c>
      <c r="F79" s="7" t="s">
        <v>1803</v>
      </c>
      <c r="G79" s="7" t="s">
        <v>13</v>
      </c>
      <c r="H79" s="6" t="s">
        <v>1051</v>
      </c>
      <c r="I79" s="6" t="s">
        <v>1968</v>
      </c>
      <c r="J79" s="6" t="s">
        <v>1969</v>
      </c>
      <c r="K79" s="6" t="s">
        <v>15</v>
      </c>
      <c r="L79" s="6" t="s">
        <v>117</v>
      </c>
      <c r="M79" s="6" t="s">
        <v>16</v>
      </c>
      <c r="N79" s="7" t="s">
        <v>18</v>
      </c>
      <c r="O79" s="23" t="s">
        <v>3611</v>
      </c>
      <c r="R79" s="23" t="s">
        <v>3612</v>
      </c>
      <c r="S79" s="2" t="s">
        <v>3613</v>
      </c>
      <c r="T79" s="2" t="s">
        <v>3614</v>
      </c>
      <c r="U79" s="2" t="s">
        <v>3615</v>
      </c>
      <c r="V79" s="23" t="s">
        <v>3616</v>
      </c>
      <c r="W79" s="24" t="s">
        <v>3617</v>
      </c>
      <c r="X79" s="23" t="s">
        <v>3618</v>
      </c>
      <c r="Y79" s="23" t="s">
        <v>3619</v>
      </c>
      <c r="Z79" s="23" t="s">
        <v>3620</v>
      </c>
      <c r="AA79" s="23" t="s">
        <v>3621</v>
      </c>
      <c r="AB79" s="8"/>
      <c r="AC79" s="8"/>
      <c r="AD79" s="8"/>
    </row>
    <row r="80" spans="1:30" ht="15.75" customHeight="1">
      <c r="A80" s="4" t="s">
        <v>770</v>
      </c>
      <c r="B80" s="5">
        <v>2402</v>
      </c>
      <c r="C80" s="6" t="s">
        <v>1066</v>
      </c>
      <c r="D80" s="7">
        <v>2022349970</v>
      </c>
      <c r="E80" s="7">
        <v>2201010201</v>
      </c>
      <c r="F80" s="7" t="s">
        <v>1803</v>
      </c>
      <c r="G80" s="7" t="s">
        <v>13</v>
      </c>
      <c r="H80" s="6" t="s">
        <v>1067</v>
      </c>
      <c r="I80" s="6" t="s">
        <v>1970</v>
      </c>
      <c r="J80" s="6" t="s">
        <v>1971</v>
      </c>
      <c r="K80" s="6" t="s">
        <v>15</v>
      </c>
      <c r="L80" s="6" t="s">
        <v>117</v>
      </c>
      <c r="M80" s="6" t="s">
        <v>21</v>
      </c>
      <c r="N80" s="7" t="s">
        <v>18</v>
      </c>
      <c r="O80" s="23" t="s">
        <v>3611</v>
      </c>
      <c r="R80" s="23" t="s">
        <v>3612</v>
      </c>
      <c r="S80" s="2" t="s">
        <v>3613</v>
      </c>
      <c r="T80" s="2" t="s">
        <v>3614</v>
      </c>
      <c r="U80" s="2" t="s">
        <v>3615</v>
      </c>
      <c r="V80" s="23" t="s">
        <v>3616</v>
      </c>
      <c r="W80" s="24" t="s">
        <v>3617</v>
      </c>
      <c r="X80" s="23" t="s">
        <v>3618</v>
      </c>
      <c r="Y80" s="23" t="s">
        <v>3619</v>
      </c>
      <c r="Z80" s="23" t="s">
        <v>3620</v>
      </c>
      <c r="AA80" s="23" t="s">
        <v>3621</v>
      </c>
      <c r="AB80" s="8"/>
      <c r="AC80" s="8"/>
      <c r="AD80" s="8"/>
    </row>
    <row r="81" spans="1:30" ht="15.75" customHeight="1">
      <c r="A81" s="4" t="s">
        <v>770</v>
      </c>
      <c r="B81" s="5">
        <v>2402</v>
      </c>
      <c r="C81" s="6" t="s">
        <v>1018</v>
      </c>
      <c r="D81" s="7">
        <v>2022565603</v>
      </c>
      <c r="E81" s="7">
        <v>2201010257</v>
      </c>
      <c r="F81" s="7" t="s">
        <v>1803</v>
      </c>
      <c r="G81" s="7" t="s">
        <v>13</v>
      </c>
      <c r="H81" s="6" t="s">
        <v>1019</v>
      </c>
      <c r="I81" s="6" t="s">
        <v>1972</v>
      </c>
      <c r="J81" s="6" t="s">
        <v>1973</v>
      </c>
      <c r="K81" s="6" t="s">
        <v>15</v>
      </c>
      <c r="L81" s="6" t="s">
        <v>21</v>
      </c>
      <c r="M81" s="6" t="s">
        <v>16</v>
      </c>
      <c r="N81" s="7" t="s">
        <v>18</v>
      </c>
      <c r="O81" s="23" t="s">
        <v>3611</v>
      </c>
      <c r="R81" s="23" t="s">
        <v>3612</v>
      </c>
      <c r="S81" s="2" t="s">
        <v>3613</v>
      </c>
      <c r="T81" s="2" t="s">
        <v>3614</v>
      </c>
      <c r="U81" s="2" t="s">
        <v>3615</v>
      </c>
      <c r="V81" s="23" t="s">
        <v>3616</v>
      </c>
      <c r="W81" s="24" t="s">
        <v>3617</v>
      </c>
      <c r="X81" s="23" t="s">
        <v>3618</v>
      </c>
      <c r="Y81" s="23" t="s">
        <v>3619</v>
      </c>
      <c r="Z81" s="23" t="s">
        <v>3620</v>
      </c>
      <c r="AA81" s="23" t="s">
        <v>3621</v>
      </c>
      <c r="AB81" s="8"/>
      <c r="AC81" s="8"/>
      <c r="AD81" s="8"/>
    </row>
    <row r="82" spans="1:30" ht="15.75" customHeight="1">
      <c r="A82" s="4" t="s">
        <v>770</v>
      </c>
      <c r="B82" s="5">
        <v>2402</v>
      </c>
      <c r="C82" s="6" t="s">
        <v>1124</v>
      </c>
      <c r="D82" s="7">
        <v>2022804425</v>
      </c>
      <c r="E82" s="7">
        <v>2201010297</v>
      </c>
      <c r="F82" s="7" t="s">
        <v>1803</v>
      </c>
      <c r="G82" s="7" t="s">
        <v>13</v>
      </c>
      <c r="H82" s="6" t="s">
        <v>1125</v>
      </c>
      <c r="I82" s="6" t="s">
        <v>1974</v>
      </c>
      <c r="J82" s="6" t="s">
        <v>1975</v>
      </c>
      <c r="K82" s="6" t="s">
        <v>15</v>
      </c>
      <c r="L82" s="6" t="s">
        <v>117</v>
      </c>
      <c r="M82" s="6" t="s">
        <v>117</v>
      </c>
      <c r="N82" s="7" t="s">
        <v>174</v>
      </c>
      <c r="O82" s="23" t="s">
        <v>3611</v>
      </c>
      <c r="R82" s="23" t="s">
        <v>3612</v>
      </c>
      <c r="S82" s="2" t="s">
        <v>3613</v>
      </c>
      <c r="T82" s="2" t="s">
        <v>3614</v>
      </c>
      <c r="U82" s="2" t="s">
        <v>3615</v>
      </c>
      <c r="V82" s="23" t="s">
        <v>3616</v>
      </c>
      <c r="W82" s="24" t="s">
        <v>3617</v>
      </c>
      <c r="X82" s="23" t="s">
        <v>3618</v>
      </c>
      <c r="Y82" s="23" t="s">
        <v>3619</v>
      </c>
      <c r="Z82" s="23" t="s">
        <v>3620</v>
      </c>
      <c r="AA82" s="23" t="s">
        <v>3621</v>
      </c>
      <c r="AB82" s="8"/>
      <c r="AC82" s="8"/>
      <c r="AD82" s="8"/>
    </row>
    <row r="83" spans="1:30" ht="15.75" customHeight="1">
      <c r="A83" s="4" t="s">
        <v>770</v>
      </c>
      <c r="B83" s="5">
        <v>2402</v>
      </c>
      <c r="C83" s="6" t="s">
        <v>1040</v>
      </c>
      <c r="D83" s="7">
        <v>2022003231</v>
      </c>
      <c r="E83" s="7">
        <v>2201010312</v>
      </c>
      <c r="F83" s="7" t="s">
        <v>1803</v>
      </c>
      <c r="G83" s="7" t="s">
        <v>13</v>
      </c>
      <c r="H83" s="6" t="s">
        <v>1041</v>
      </c>
      <c r="I83" s="6" t="s">
        <v>1976</v>
      </c>
      <c r="J83" s="6" t="s">
        <v>1977</v>
      </c>
      <c r="K83" s="6" t="s">
        <v>15</v>
      </c>
      <c r="L83" s="6" t="s">
        <v>117</v>
      </c>
      <c r="M83" s="6" t="s">
        <v>149</v>
      </c>
      <c r="N83" s="7" t="s">
        <v>18</v>
      </c>
      <c r="O83" s="23" t="s">
        <v>3611</v>
      </c>
      <c r="R83" s="23" t="s">
        <v>3612</v>
      </c>
      <c r="S83" s="2" t="s">
        <v>3613</v>
      </c>
      <c r="T83" s="2" t="s">
        <v>3614</v>
      </c>
      <c r="U83" s="2" t="s">
        <v>3615</v>
      </c>
      <c r="V83" s="23" t="s">
        <v>3616</v>
      </c>
      <c r="W83" s="24" t="s">
        <v>3617</v>
      </c>
      <c r="X83" s="23" t="s">
        <v>3618</v>
      </c>
      <c r="Y83" s="23" t="s">
        <v>3619</v>
      </c>
      <c r="Z83" s="23" t="s">
        <v>3620</v>
      </c>
      <c r="AA83" s="23" t="s">
        <v>3621</v>
      </c>
      <c r="AB83" s="8"/>
      <c r="AC83" s="8"/>
      <c r="AD83" s="8"/>
    </row>
    <row r="84" spans="1:30" ht="15.75" customHeight="1">
      <c r="A84" s="4" t="s">
        <v>770</v>
      </c>
      <c r="B84" s="5">
        <v>2402</v>
      </c>
      <c r="C84" s="6" t="s">
        <v>1046</v>
      </c>
      <c r="D84" s="7">
        <v>2022004681</v>
      </c>
      <c r="E84" s="7">
        <v>2201010339</v>
      </c>
      <c r="F84" s="7" t="s">
        <v>1803</v>
      </c>
      <c r="G84" s="7" t="s">
        <v>13</v>
      </c>
      <c r="H84" s="6" t="s">
        <v>1047</v>
      </c>
      <c r="I84" s="6" t="s">
        <v>1978</v>
      </c>
      <c r="J84" s="6" t="s">
        <v>1979</v>
      </c>
      <c r="K84" s="6" t="s">
        <v>15</v>
      </c>
      <c r="L84" s="6" t="s">
        <v>117</v>
      </c>
      <c r="M84" s="6" t="s">
        <v>49</v>
      </c>
      <c r="N84" s="7" t="s">
        <v>18</v>
      </c>
      <c r="O84" s="23" t="s">
        <v>3611</v>
      </c>
      <c r="R84" s="23" t="s">
        <v>3612</v>
      </c>
      <c r="S84" s="2" t="s">
        <v>3613</v>
      </c>
      <c r="T84" s="2" t="s">
        <v>3614</v>
      </c>
      <c r="U84" s="2" t="s">
        <v>3615</v>
      </c>
      <c r="V84" s="23" t="s">
        <v>3616</v>
      </c>
      <c r="W84" s="24" t="s">
        <v>3617</v>
      </c>
      <c r="X84" s="23" t="s">
        <v>3618</v>
      </c>
      <c r="Y84" s="23" t="s">
        <v>3619</v>
      </c>
      <c r="Z84" s="23" t="s">
        <v>3620</v>
      </c>
      <c r="AA84" s="23" t="s">
        <v>3621</v>
      </c>
      <c r="AB84" s="8"/>
      <c r="AC84" s="8"/>
      <c r="AD84" s="8"/>
    </row>
    <row r="85" spans="1:30" ht="15.75" customHeight="1">
      <c r="A85" s="4" t="s">
        <v>770</v>
      </c>
      <c r="B85" s="5">
        <v>2402</v>
      </c>
      <c r="C85" s="6" t="s">
        <v>1090</v>
      </c>
      <c r="D85" s="7">
        <v>2022455169</v>
      </c>
      <c r="E85" s="7">
        <v>2201010348</v>
      </c>
      <c r="F85" s="7" t="s">
        <v>1803</v>
      </c>
      <c r="G85" s="7" t="s">
        <v>13</v>
      </c>
      <c r="H85" s="6" t="s">
        <v>1091</v>
      </c>
      <c r="I85" s="6" t="s">
        <v>1980</v>
      </c>
      <c r="J85" s="6" t="s">
        <v>1981</v>
      </c>
      <c r="K85" s="6" t="s">
        <v>15</v>
      </c>
      <c r="L85" s="6" t="s">
        <v>117</v>
      </c>
      <c r="M85" s="6" t="s">
        <v>16</v>
      </c>
      <c r="N85" s="7" t="s">
        <v>18</v>
      </c>
      <c r="O85" s="23" t="s">
        <v>3611</v>
      </c>
      <c r="R85" s="23" t="s">
        <v>3612</v>
      </c>
      <c r="S85" s="2" t="s">
        <v>3613</v>
      </c>
      <c r="T85" s="2" t="s">
        <v>3614</v>
      </c>
      <c r="U85" s="2" t="s">
        <v>3615</v>
      </c>
      <c r="V85" s="23" t="s">
        <v>3616</v>
      </c>
      <c r="W85" s="24" t="s">
        <v>3617</v>
      </c>
      <c r="X85" s="23" t="s">
        <v>3618</v>
      </c>
      <c r="Y85" s="23" t="s">
        <v>3619</v>
      </c>
      <c r="Z85" s="23" t="s">
        <v>3620</v>
      </c>
      <c r="AA85" s="23" t="s">
        <v>3621</v>
      </c>
      <c r="AB85" s="8"/>
      <c r="AC85" s="8"/>
      <c r="AD85" s="8"/>
    </row>
    <row r="86" spans="1:30" ht="15.75" customHeight="1">
      <c r="A86" s="4" t="s">
        <v>770</v>
      </c>
      <c r="B86" s="5">
        <v>2402</v>
      </c>
      <c r="C86" s="6" t="s">
        <v>1106</v>
      </c>
      <c r="D86" s="7">
        <v>2022507647</v>
      </c>
      <c r="E86" s="7">
        <v>2201010353</v>
      </c>
      <c r="F86" s="7" t="s">
        <v>1803</v>
      </c>
      <c r="G86" s="7" t="s">
        <v>13</v>
      </c>
      <c r="H86" s="6" t="s">
        <v>1107</v>
      </c>
      <c r="I86" s="6" t="s">
        <v>1982</v>
      </c>
      <c r="J86" s="6" t="s">
        <v>1983</v>
      </c>
      <c r="K86" s="6" t="s">
        <v>15</v>
      </c>
      <c r="L86" s="6" t="s">
        <v>117</v>
      </c>
      <c r="M86" s="6" t="s">
        <v>21</v>
      </c>
      <c r="N86" s="7" t="s">
        <v>18</v>
      </c>
      <c r="O86" s="23" t="s">
        <v>3611</v>
      </c>
      <c r="R86" s="23" t="s">
        <v>3612</v>
      </c>
      <c r="S86" s="2" t="s">
        <v>3613</v>
      </c>
      <c r="T86" s="2" t="s">
        <v>3614</v>
      </c>
      <c r="U86" s="2" t="s">
        <v>3615</v>
      </c>
      <c r="V86" s="23" t="s">
        <v>3616</v>
      </c>
      <c r="W86" s="24" t="s">
        <v>3617</v>
      </c>
      <c r="X86" s="23" t="s">
        <v>3618</v>
      </c>
      <c r="Y86" s="23" t="s">
        <v>3619</v>
      </c>
      <c r="Z86" s="23" t="s">
        <v>3620</v>
      </c>
      <c r="AA86" s="23" t="s">
        <v>3621</v>
      </c>
      <c r="AB86" s="8"/>
      <c r="AC86" s="8"/>
      <c r="AD86" s="8"/>
    </row>
    <row r="87" spans="1:30" ht="15.75" customHeight="1">
      <c r="A87" s="4" t="s">
        <v>770</v>
      </c>
      <c r="B87" s="5">
        <v>2402</v>
      </c>
      <c r="C87" s="6" t="s">
        <v>1074</v>
      </c>
      <c r="D87" s="7">
        <v>2022384000</v>
      </c>
      <c r="E87" s="7">
        <v>2201010357</v>
      </c>
      <c r="F87" s="7" t="s">
        <v>1803</v>
      </c>
      <c r="G87" s="7" t="s">
        <v>13</v>
      </c>
      <c r="H87" s="6" t="s">
        <v>1075</v>
      </c>
      <c r="I87" s="6" t="s">
        <v>1984</v>
      </c>
      <c r="J87" s="6" t="s">
        <v>1985</v>
      </c>
      <c r="K87" s="6" t="s">
        <v>15</v>
      </c>
      <c r="L87" s="6" t="s">
        <v>117</v>
      </c>
      <c r="M87" s="6" t="s">
        <v>117</v>
      </c>
      <c r="N87" s="7" t="s">
        <v>18</v>
      </c>
      <c r="O87" s="23" t="s">
        <v>3611</v>
      </c>
      <c r="R87" s="23" t="s">
        <v>3612</v>
      </c>
      <c r="S87" s="2" t="s">
        <v>3613</v>
      </c>
      <c r="T87" s="2" t="s">
        <v>3614</v>
      </c>
      <c r="U87" s="2" t="s">
        <v>3615</v>
      </c>
      <c r="V87" s="23" t="s">
        <v>3616</v>
      </c>
      <c r="W87" s="24" t="s">
        <v>3617</v>
      </c>
      <c r="X87" s="23" t="s">
        <v>3618</v>
      </c>
      <c r="Y87" s="23" t="s">
        <v>3619</v>
      </c>
      <c r="Z87" s="23" t="s">
        <v>3620</v>
      </c>
      <c r="AA87" s="23" t="s">
        <v>3621</v>
      </c>
      <c r="AB87" s="8"/>
      <c r="AC87" s="8"/>
      <c r="AD87" s="8"/>
    </row>
    <row r="88" spans="1:30" ht="15.75" customHeight="1">
      <c r="A88" s="4" t="s">
        <v>770</v>
      </c>
      <c r="B88" s="5">
        <v>2402</v>
      </c>
      <c r="C88" s="6" t="s">
        <v>1094</v>
      </c>
      <c r="D88" s="7">
        <v>2022462273</v>
      </c>
      <c r="E88" s="7">
        <v>2201010360</v>
      </c>
      <c r="F88" s="7" t="s">
        <v>1803</v>
      </c>
      <c r="G88" s="7" t="s">
        <v>13</v>
      </c>
      <c r="H88" s="6" t="s">
        <v>1095</v>
      </c>
      <c r="I88" s="6" t="s">
        <v>1986</v>
      </c>
      <c r="J88" s="6" t="s">
        <v>1987</v>
      </c>
      <c r="K88" s="6" t="s">
        <v>15</v>
      </c>
      <c r="L88" s="6" t="s">
        <v>16</v>
      </c>
      <c r="M88" s="6" t="s">
        <v>26</v>
      </c>
      <c r="N88" s="7" t="s">
        <v>18</v>
      </c>
      <c r="O88" s="23" t="s">
        <v>3611</v>
      </c>
      <c r="R88" s="23" t="s">
        <v>3612</v>
      </c>
      <c r="S88" s="2" t="s">
        <v>3613</v>
      </c>
      <c r="T88" s="2" t="s">
        <v>3614</v>
      </c>
      <c r="U88" s="2" t="s">
        <v>3615</v>
      </c>
      <c r="V88" s="23" t="s">
        <v>3616</v>
      </c>
      <c r="W88" s="24" t="s">
        <v>3617</v>
      </c>
      <c r="X88" s="23" t="s">
        <v>3618</v>
      </c>
      <c r="Y88" s="23" t="s">
        <v>3619</v>
      </c>
      <c r="Z88" s="23" t="s">
        <v>3620</v>
      </c>
      <c r="AA88" s="23" t="s">
        <v>3621</v>
      </c>
      <c r="AB88" s="8"/>
      <c r="AC88" s="8"/>
      <c r="AD88" s="8"/>
    </row>
    <row r="89" spans="1:30" ht="15.75" customHeight="1">
      <c r="A89" s="4" t="s">
        <v>770</v>
      </c>
      <c r="B89" s="5">
        <v>2402</v>
      </c>
      <c r="C89" s="6" t="s">
        <v>1062</v>
      </c>
      <c r="D89" s="7">
        <v>2022308623</v>
      </c>
      <c r="E89" s="7">
        <v>2201010372</v>
      </c>
      <c r="F89" s="7" t="s">
        <v>1803</v>
      </c>
      <c r="G89" s="7" t="s">
        <v>13</v>
      </c>
      <c r="H89" s="6" t="s">
        <v>1063</v>
      </c>
      <c r="I89" s="6" t="s">
        <v>1988</v>
      </c>
      <c r="J89" s="6" t="s">
        <v>1989</v>
      </c>
      <c r="K89" s="6" t="s">
        <v>15</v>
      </c>
      <c r="L89" s="6" t="s">
        <v>117</v>
      </c>
      <c r="M89" s="6" t="s">
        <v>21</v>
      </c>
      <c r="N89" s="7" t="s">
        <v>18</v>
      </c>
      <c r="O89" s="23" t="s">
        <v>3611</v>
      </c>
      <c r="R89" s="23" t="s">
        <v>3612</v>
      </c>
      <c r="S89" s="2" t="s">
        <v>3613</v>
      </c>
      <c r="T89" s="2" t="s">
        <v>3614</v>
      </c>
      <c r="U89" s="2" t="s">
        <v>3615</v>
      </c>
      <c r="V89" s="23" t="s">
        <v>3616</v>
      </c>
      <c r="W89" s="24" t="s">
        <v>3617</v>
      </c>
      <c r="X89" s="23" t="s">
        <v>3618</v>
      </c>
      <c r="Y89" s="23" t="s">
        <v>3619</v>
      </c>
      <c r="Z89" s="23" t="s">
        <v>3620</v>
      </c>
      <c r="AA89" s="23" t="s">
        <v>3621</v>
      </c>
      <c r="AB89" s="8"/>
      <c r="AC89" s="8"/>
      <c r="AD89" s="8"/>
    </row>
    <row r="90" spans="1:30" ht="15.75" customHeight="1">
      <c r="A90" s="4" t="s">
        <v>770</v>
      </c>
      <c r="B90" s="5">
        <v>2402</v>
      </c>
      <c r="C90" s="6" t="s">
        <v>1064</v>
      </c>
      <c r="D90" s="7">
        <v>2022310930</v>
      </c>
      <c r="E90" s="7">
        <v>2201010376</v>
      </c>
      <c r="F90" s="7" t="s">
        <v>1803</v>
      </c>
      <c r="G90" s="7" t="s">
        <v>13</v>
      </c>
      <c r="H90" s="6" t="s">
        <v>1065</v>
      </c>
      <c r="I90" s="6" t="s">
        <v>1990</v>
      </c>
      <c r="J90" s="6" t="s">
        <v>1991</v>
      </c>
      <c r="K90" s="6" t="s">
        <v>15</v>
      </c>
      <c r="L90" s="6" t="s">
        <v>104</v>
      </c>
      <c r="M90" s="6" t="s">
        <v>21</v>
      </c>
      <c r="N90" s="7" t="s">
        <v>18</v>
      </c>
      <c r="O90" s="23" t="s">
        <v>3611</v>
      </c>
      <c r="R90" s="23" t="s">
        <v>3612</v>
      </c>
      <c r="S90" s="2" t="s">
        <v>3613</v>
      </c>
      <c r="T90" s="2" t="s">
        <v>3614</v>
      </c>
      <c r="U90" s="2" t="s">
        <v>3615</v>
      </c>
      <c r="V90" s="23" t="s">
        <v>3616</v>
      </c>
      <c r="W90" s="24" t="s">
        <v>3617</v>
      </c>
      <c r="X90" s="23" t="s">
        <v>3618</v>
      </c>
      <c r="Y90" s="23" t="s">
        <v>3619</v>
      </c>
      <c r="Z90" s="23" t="s">
        <v>3620</v>
      </c>
      <c r="AA90" s="23" t="s">
        <v>3621</v>
      </c>
      <c r="AB90" s="9"/>
      <c r="AC90" s="9"/>
      <c r="AD90" s="9"/>
    </row>
    <row r="91" spans="1:30" ht="15.75" customHeight="1">
      <c r="A91" s="4" t="s">
        <v>770</v>
      </c>
      <c r="B91" s="5">
        <v>2402</v>
      </c>
      <c r="C91" s="6" t="s">
        <v>1108</v>
      </c>
      <c r="D91" s="7">
        <v>2022532088</v>
      </c>
      <c r="E91" s="7">
        <v>2201010378</v>
      </c>
      <c r="F91" s="7" t="s">
        <v>1803</v>
      </c>
      <c r="G91" s="7" t="s">
        <v>13</v>
      </c>
      <c r="H91" s="6" t="s">
        <v>1109</v>
      </c>
      <c r="I91" s="6" t="s">
        <v>1992</v>
      </c>
      <c r="J91" s="6" t="s">
        <v>1993</v>
      </c>
      <c r="K91" s="6" t="s">
        <v>15</v>
      </c>
      <c r="L91" s="6" t="s">
        <v>117</v>
      </c>
      <c r="M91" s="6" t="s">
        <v>21</v>
      </c>
      <c r="N91" s="7" t="s">
        <v>18</v>
      </c>
      <c r="O91" s="23" t="s">
        <v>3611</v>
      </c>
      <c r="R91" s="23" t="s">
        <v>3612</v>
      </c>
      <c r="S91" s="2" t="s">
        <v>3613</v>
      </c>
      <c r="T91" s="2" t="s">
        <v>3614</v>
      </c>
      <c r="U91" s="2" t="s">
        <v>3615</v>
      </c>
      <c r="V91" s="23" t="s">
        <v>3616</v>
      </c>
      <c r="W91" s="24" t="s">
        <v>3617</v>
      </c>
      <c r="X91" s="23" t="s">
        <v>3618</v>
      </c>
      <c r="Y91" s="23" t="s">
        <v>3619</v>
      </c>
      <c r="Z91" s="23" t="s">
        <v>3620</v>
      </c>
      <c r="AA91" s="23" t="s">
        <v>3621</v>
      </c>
      <c r="AB91" s="8"/>
      <c r="AC91" s="8"/>
      <c r="AD91" s="8"/>
    </row>
    <row r="92" spans="1:30" ht="15.75" customHeight="1">
      <c r="A92" s="4" t="s">
        <v>770</v>
      </c>
      <c r="B92" s="5">
        <v>2402</v>
      </c>
      <c r="C92" s="6" t="s">
        <v>1068</v>
      </c>
      <c r="D92" s="7">
        <v>2022355780</v>
      </c>
      <c r="E92" s="7">
        <v>2201010419</v>
      </c>
      <c r="F92" s="7" t="s">
        <v>1803</v>
      </c>
      <c r="G92" s="7" t="s">
        <v>13</v>
      </c>
      <c r="H92" s="6" t="s">
        <v>1069</v>
      </c>
      <c r="I92" s="6" t="s">
        <v>1994</v>
      </c>
      <c r="J92" s="6" t="s">
        <v>1995</v>
      </c>
      <c r="K92" s="6" t="s">
        <v>15</v>
      </c>
      <c r="L92" s="6" t="s">
        <v>117</v>
      </c>
      <c r="M92" s="6" t="s">
        <v>49</v>
      </c>
      <c r="N92" s="7" t="s">
        <v>18</v>
      </c>
      <c r="O92" s="23" t="s">
        <v>3611</v>
      </c>
      <c r="R92" s="23" t="s">
        <v>3612</v>
      </c>
      <c r="S92" s="2" t="s">
        <v>3613</v>
      </c>
      <c r="T92" s="2" t="s">
        <v>3614</v>
      </c>
      <c r="U92" s="2" t="s">
        <v>3615</v>
      </c>
      <c r="V92" s="23" t="s">
        <v>3616</v>
      </c>
      <c r="W92" s="24" t="s">
        <v>3617</v>
      </c>
      <c r="X92" s="23" t="s">
        <v>3618</v>
      </c>
      <c r="Y92" s="23" t="s">
        <v>3619</v>
      </c>
      <c r="Z92" s="23" t="s">
        <v>3620</v>
      </c>
      <c r="AA92" s="23" t="s">
        <v>3621</v>
      </c>
      <c r="AB92" s="8"/>
      <c r="AC92" s="8"/>
      <c r="AD92" s="8"/>
    </row>
    <row r="93" spans="1:30" ht="15.75" customHeight="1">
      <c r="A93" s="4" t="s">
        <v>770</v>
      </c>
      <c r="B93" s="5">
        <v>2402</v>
      </c>
      <c r="C93" s="6" t="s">
        <v>1078</v>
      </c>
      <c r="D93" s="7">
        <v>2022408542</v>
      </c>
      <c r="E93" s="7">
        <v>2201010422</v>
      </c>
      <c r="F93" s="7" t="s">
        <v>1803</v>
      </c>
      <c r="G93" s="7" t="s">
        <v>13</v>
      </c>
      <c r="H93" s="6" t="s">
        <v>1079</v>
      </c>
      <c r="I93" s="6" t="s">
        <v>1996</v>
      </c>
      <c r="J93" s="6" t="s">
        <v>1997</v>
      </c>
      <c r="K93" s="6" t="s">
        <v>15</v>
      </c>
      <c r="L93" s="6" t="s">
        <v>117</v>
      </c>
      <c r="M93" s="6" t="s">
        <v>117</v>
      </c>
      <c r="N93" s="7" t="s">
        <v>174</v>
      </c>
      <c r="O93" s="23" t="s">
        <v>3611</v>
      </c>
      <c r="R93" s="23" t="s">
        <v>3612</v>
      </c>
      <c r="S93" s="2" t="s">
        <v>3613</v>
      </c>
      <c r="T93" s="2" t="s">
        <v>3614</v>
      </c>
      <c r="U93" s="2" t="s">
        <v>3615</v>
      </c>
      <c r="V93" s="23" t="s">
        <v>3616</v>
      </c>
      <c r="W93" s="24" t="s">
        <v>3617</v>
      </c>
      <c r="X93" s="23" t="s">
        <v>3618</v>
      </c>
      <c r="Y93" s="23" t="s">
        <v>3619</v>
      </c>
      <c r="Z93" s="23" t="s">
        <v>3620</v>
      </c>
      <c r="AA93" s="23" t="s">
        <v>3621</v>
      </c>
      <c r="AB93" s="8"/>
      <c r="AC93" s="8"/>
      <c r="AD93" s="8"/>
    </row>
    <row r="94" spans="1:30" ht="15.75" customHeight="1">
      <c r="A94" s="4" t="s">
        <v>770</v>
      </c>
      <c r="B94" s="5">
        <v>2402</v>
      </c>
      <c r="C94" s="6" t="s">
        <v>1100</v>
      </c>
      <c r="D94" s="7">
        <v>2022486143</v>
      </c>
      <c r="E94" s="7">
        <v>2201010427</v>
      </c>
      <c r="F94" s="7" t="s">
        <v>1803</v>
      </c>
      <c r="G94" s="7" t="s">
        <v>13</v>
      </c>
      <c r="H94" s="6" t="s">
        <v>1101</v>
      </c>
      <c r="I94" s="6" t="s">
        <v>1998</v>
      </c>
      <c r="J94" s="6" t="s">
        <v>1999</v>
      </c>
      <c r="K94" s="6" t="s">
        <v>15</v>
      </c>
      <c r="L94" s="6" t="s">
        <v>16</v>
      </c>
      <c r="M94" s="6" t="s">
        <v>21</v>
      </c>
      <c r="N94" s="7" t="s">
        <v>18</v>
      </c>
      <c r="O94" s="23" t="s">
        <v>3611</v>
      </c>
      <c r="R94" s="23" t="s">
        <v>3612</v>
      </c>
      <c r="S94" s="2" t="s">
        <v>3613</v>
      </c>
      <c r="T94" s="2" t="s">
        <v>3614</v>
      </c>
      <c r="U94" s="2" t="s">
        <v>3615</v>
      </c>
      <c r="V94" s="23" t="s">
        <v>3616</v>
      </c>
      <c r="W94" s="24" t="s">
        <v>3617</v>
      </c>
      <c r="X94" s="23" t="s">
        <v>3618</v>
      </c>
      <c r="Y94" s="23" t="s">
        <v>3619</v>
      </c>
      <c r="Z94" s="23" t="s">
        <v>3620</v>
      </c>
      <c r="AA94" s="23" t="s">
        <v>3621</v>
      </c>
      <c r="AB94" s="8"/>
      <c r="AC94" s="8"/>
      <c r="AD94" s="8"/>
    </row>
    <row r="95" spans="1:30" ht="15.75" customHeight="1">
      <c r="A95" s="4" t="s">
        <v>770</v>
      </c>
      <c r="B95" s="5">
        <v>2402</v>
      </c>
      <c r="C95" s="6" t="s">
        <v>1026</v>
      </c>
      <c r="D95" s="7">
        <v>2022001475</v>
      </c>
      <c r="E95" s="7">
        <v>2201010429</v>
      </c>
      <c r="F95" s="7" t="s">
        <v>1803</v>
      </c>
      <c r="G95" s="7" t="s">
        <v>13</v>
      </c>
      <c r="H95" s="6" t="s">
        <v>1027</v>
      </c>
      <c r="I95" s="6" t="s">
        <v>2000</v>
      </c>
      <c r="J95" s="6" t="s">
        <v>2001</v>
      </c>
      <c r="K95" s="6" t="s">
        <v>15</v>
      </c>
      <c r="L95" s="6" t="s">
        <v>117</v>
      </c>
      <c r="M95" s="6" t="s">
        <v>49</v>
      </c>
      <c r="N95" s="7" t="s">
        <v>18</v>
      </c>
      <c r="O95" s="23" t="s">
        <v>3611</v>
      </c>
      <c r="R95" s="23" t="s">
        <v>3612</v>
      </c>
      <c r="S95" s="2" t="s">
        <v>3613</v>
      </c>
      <c r="T95" s="2" t="s">
        <v>3614</v>
      </c>
      <c r="U95" s="2" t="s">
        <v>3615</v>
      </c>
      <c r="V95" s="23" t="s">
        <v>3616</v>
      </c>
      <c r="W95" s="24" t="s">
        <v>3617</v>
      </c>
      <c r="X95" s="23" t="s">
        <v>3618</v>
      </c>
      <c r="Y95" s="23" t="s">
        <v>3619</v>
      </c>
      <c r="Z95" s="23" t="s">
        <v>3620</v>
      </c>
      <c r="AA95" s="23" t="s">
        <v>3621</v>
      </c>
      <c r="AB95" s="8"/>
      <c r="AC95" s="8"/>
      <c r="AD95" s="8"/>
    </row>
    <row r="96" spans="1:30" ht="15.75" customHeight="1">
      <c r="A96" s="4" t="s">
        <v>770</v>
      </c>
      <c r="B96" s="5">
        <v>2402</v>
      </c>
      <c r="C96" s="6" t="s">
        <v>1072</v>
      </c>
      <c r="D96" s="7">
        <v>2022368285</v>
      </c>
      <c r="E96" s="7">
        <v>2201010454</v>
      </c>
      <c r="F96" s="7" t="s">
        <v>1803</v>
      </c>
      <c r="G96" s="7" t="s">
        <v>13</v>
      </c>
      <c r="H96" s="6" t="s">
        <v>1073</v>
      </c>
      <c r="I96" s="6" t="s">
        <v>2002</v>
      </c>
      <c r="J96" s="6" t="s">
        <v>2003</v>
      </c>
      <c r="K96" s="6" t="s">
        <v>15</v>
      </c>
      <c r="L96" s="6" t="s">
        <v>149</v>
      </c>
      <c r="M96" s="6" t="s">
        <v>16</v>
      </c>
      <c r="N96" s="7" t="s">
        <v>18</v>
      </c>
      <c r="O96" s="23" t="s">
        <v>3611</v>
      </c>
      <c r="R96" s="23" t="s">
        <v>3612</v>
      </c>
      <c r="S96" s="2" t="s">
        <v>3613</v>
      </c>
      <c r="T96" s="2" t="s">
        <v>3614</v>
      </c>
      <c r="U96" s="2" t="s">
        <v>3615</v>
      </c>
      <c r="V96" s="23" t="s">
        <v>3616</v>
      </c>
      <c r="W96" s="24" t="s">
        <v>3617</v>
      </c>
      <c r="X96" s="23" t="s">
        <v>3618</v>
      </c>
      <c r="Y96" s="23" t="s">
        <v>3619</v>
      </c>
      <c r="Z96" s="23" t="s">
        <v>3620</v>
      </c>
      <c r="AA96" s="23" t="s">
        <v>3621</v>
      </c>
      <c r="AB96" s="8"/>
      <c r="AC96" s="8"/>
      <c r="AD96" s="8"/>
    </row>
    <row r="97" spans="1:30" ht="15.75" customHeight="1">
      <c r="A97" s="4" t="s">
        <v>770</v>
      </c>
      <c r="B97" s="5">
        <v>2402</v>
      </c>
      <c r="C97" s="6" t="s">
        <v>1054</v>
      </c>
      <c r="D97" s="7">
        <v>2022005715</v>
      </c>
      <c r="E97" s="7">
        <v>2201010458</v>
      </c>
      <c r="F97" s="7" t="s">
        <v>1803</v>
      </c>
      <c r="G97" s="7" t="s">
        <v>13</v>
      </c>
      <c r="H97" s="6" t="s">
        <v>1055</v>
      </c>
      <c r="I97" s="6" t="s">
        <v>2004</v>
      </c>
      <c r="J97" s="6" t="s">
        <v>2005</v>
      </c>
      <c r="K97" s="6" t="s">
        <v>15</v>
      </c>
      <c r="L97" s="6" t="s">
        <v>117</v>
      </c>
      <c r="M97" s="6" t="s">
        <v>16</v>
      </c>
      <c r="N97" s="7" t="s">
        <v>18</v>
      </c>
      <c r="O97" s="23" t="s">
        <v>3611</v>
      </c>
      <c r="R97" s="23" t="s">
        <v>3612</v>
      </c>
      <c r="S97" s="2" t="s">
        <v>3613</v>
      </c>
      <c r="T97" s="2" t="s">
        <v>3614</v>
      </c>
      <c r="U97" s="2" t="s">
        <v>3615</v>
      </c>
      <c r="V97" s="23" t="s">
        <v>3616</v>
      </c>
      <c r="W97" s="24" t="s">
        <v>3617</v>
      </c>
      <c r="X97" s="23" t="s">
        <v>3618</v>
      </c>
      <c r="Y97" s="23" t="s">
        <v>3619</v>
      </c>
      <c r="Z97" s="23" t="s">
        <v>3620</v>
      </c>
      <c r="AA97" s="23" t="s">
        <v>3621</v>
      </c>
      <c r="AB97" s="8"/>
      <c r="AC97" s="8"/>
      <c r="AD97" s="8"/>
    </row>
    <row r="98" spans="1:30" ht="15.75" customHeight="1">
      <c r="A98" s="4" t="s">
        <v>770</v>
      </c>
      <c r="B98" s="5">
        <v>2402</v>
      </c>
      <c r="C98" s="6" t="s">
        <v>1104</v>
      </c>
      <c r="D98" s="7">
        <v>2022504837</v>
      </c>
      <c r="E98" s="7">
        <v>2201010464</v>
      </c>
      <c r="F98" s="7" t="s">
        <v>1803</v>
      </c>
      <c r="G98" s="7" t="s">
        <v>13</v>
      </c>
      <c r="H98" s="6" t="s">
        <v>1105</v>
      </c>
      <c r="I98" s="6" t="s">
        <v>2006</v>
      </c>
      <c r="J98" s="6" t="s">
        <v>2007</v>
      </c>
      <c r="K98" s="6" t="s">
        <v>15</v>
      </c>
      <c r="L98" s="6" t="s">
        <v>117</v>
      </c>
      <c r="M98" s="6" t="s">
        <v>49</v>
      </c>
      <c r="N98" s="7" t="s">
        <v>18</v>
      </c>
      <c r="O98" s="23" t="s">
        <v>3611</v>
      </c>
      <c r="R98" s="23" t="s">
        <v>3612</v>
      </c>
      <c r="S98" s="2" t="s">
        <v>3613</v>
      </c>
      <c r="T98" s="2" t="s">
        <v>3614</v>
      </c>
      <c r="U98" s="2" t="s">
        <v>3615</v>
      </c>
      <c r="V98" s="23" t="s">
        <v>3616</v>
      </c>
      <c r="W98" s="24" t="s">
        <v>3617</v>
      </c>
      <c r="X98" s="23" t="s">
        <v>3618</v>
      </c>
      <c r="Y98" s="23" t="s">
        <v>3619</v>
      </c>
      <c r="Z98" s="23" t="s">
        <v>3620</v>
      </c>
      <c r="AA98" s="23" t="s">
        <v>3621</v>
      </c>
      <c r="AB98" s="8"/>
      <c r="AC98" s="8"/>
      <c r="AD98" s="8"/>
    </row>
    <row r="99" spans="1:30" ht="15.75" customHeight="1">
      <c r="A99" s="4" t="s">
        <v>770</v>
      </c>
      <c r="B99" s="5">
        <v>2402</v>
      </c>
      <c r="C99" s="6" t="s">
        <v>1080</v>
      </c>
      <c r="D99" s="7">
        <v>2022413491</v>
      </c>
      <c r="E99" s="7">
        <v>2201010480</v>
      </c>
      <c r="F99" s="7" t="s">
        <v>1803</v>
      </c>
      <c r="G99" s="7" t="s">
        <v>13</v>
      </c>
      <c r="H99" s="6" t="s">
        <v>1081</v>
      </c>
      <c r="I99" s="6" t="s">
        <v>2008</v>
      </c>
      <c r="J99" s="6" t="s">
        <v>2009</v>
      </c>
      <c r="K99" s="6" t="s">
        <v>15</v>
      </c>
      <c r="L99" s="6" t="s">
        <v>16</v>
      </c>
      <c r="M99" s="6" t="s">
        <v>21</v>
      </c>
      <c r="N99" s="7" t="s">
        <v>18</v>
      </c>
      <c r="O99" s="23" t="s">
        <v>3611</v>
      </c>
      <c r="R99" s="23" t="s">
        <v>3612</v>
      </c>
      <c r="S99" s="2" t="s">
        <v>3613</v>
      </c>
      <c r="T99" s="2" t="s">
        <v>3614</v>
      </c>
      <c r="U99" s="2" t="s">
        <v>3615</v>
      </c>
      <c r="V99" s="23" t="s">
        <v>3616</v>
      </c>
      <c r="W99" s="24" t="s">
        <v>3617</v>
      </c>
      <c r="X99" s="23" t="s">
        <v>3618</v>
      </c>
      <c r="Y99" s="23" t="s">
        <v>3619</v>
      </c>
      <c r="Z99" s="23" t="s">
        <v>3620</v>
      </c>
      <c r="AA99" s="23" t="s">
        <v>3621</v>
      </c>
      <c r="AB99" s="8"/>
      <c r="AC99" s="8"/>
      <c r="AD99" s="8"/>
    </row>
    <row r="100" spans="1:30" ht="15.75" customHeight="1">
      <c r="A100" s="4" t="s">
        <v>770</v>
      </c>
      <c r="B100" s="5">
        <v>2402</v>
      </c>
      <c r="C100" s="6" t="s">
        <v>1116</v>
      </c>
      <c r="D100" s="7">
        <v>2022550696</v>
      </c>
      <c r="E100" s="7">
        <v>2201010483</v>
      </c>
      <c r="F100" s="7" t="s">
        <v>1803</v>
      </c>
      <c r="G100" s="7" t="s">
        <v>13</v>
      </c>
      <c r="H100" s="6" t="s">
        <v>1117</v>
      </c>
      <c r="I100" s="6" t="s">
        <v>2010</v>
      </c>
      <c r="J100" s="6" t="s">
        <v>2011</v>
      </c>
      <c r="K100" s="6" t="s">
        <v>15</v>
      </c>
      <c r="L100" s="6" t="s">
        <v>17</v>
      </c>
      <c r="M100" s="6" t="s">
        <v>21</v>
      </c>
      <c r="N100" s="7" t="s">
        <v>18</v>
      </c>
      <c r="O100" s="23" t="s">
        <v>3611</v>
      </c>
      <c r="R100" s="23" t="s">
        <v>3612</v>
      </c>
      <c r="S100" s="2" t="s">
        <v>3613</v>
      </c>
      <c r="T100" s="2" t="s">
        <v>3614</v>
      </c>
      <c r="U100" s="2" t="s">
        <v>3615</v>
      </c>
      <c r="V100" s="23" t="s">
        <v>3616</v>
      </c>
      <c r="W100" s="24" t="s">
        <v>3617</v>
      </c>
      <c r="X100" s="23" t="s">
        <v>3618</v>
      </c>
      <c r="Y100" s="23" t="s">
        <v>3619</v>
      </c>
      <c r="Z100" s="23" t="s">
        <v>3620</v>
      </c>
      <c r="AA100" s="23" t="s">
        <v>3621</v>
      </c>
      <c r="AB100" s="8"/>
      <c r="AC100" s="8"/>
      <c r="AD100" s="8"/>
    </row>
    <row r="101" spans="1:30" ht="15.75" customHeight="1">
      <c r="A101" s="4" t="s">
        <v>770</v>
      </c>
      <c r="B101" s="5">
        <v>2402</v>
      </c>
      <c r="C101" s="6" t="s">
        <v>1102</v>
      </c>
      <c r="D101" s="7">
        <v>2022492018</v>
      </c>
      <c r="E101" s="7">
        <v>2201010489</v>
      </c>
      <c r="F101" s="7" t="s">
        <v>1803</v>
      </c>
      <c r="G101" s="7" t="s">
        <v>13</v>
      </c>
      <c r="H101" s="6" t="s">
        <v>1103</v>
      </c>
      <c r="I101" s="6" t="s">
        <v>2012</v>
      </c>
      <c r="J101" s="6" t="s">
        <v>2013</v>
      </c>
      <c r="K101" s="6" t="s">
        <v>15</v>
      </c>
      <c r="L101" s="6" t="s">
        <v>117</v>
      </c>
      <c r="M101" s="6" t="s">
        <v>49</v>
      </c>
      <c r="N101" s="7" t="s">
        <v>18</v>
      </c>
      <c r="O101" s="23" t="s">
        <v>3611</v>
      </c>
      <c r="R101" s="23" t="s">
        <v>3612</v>
      </c>
      <c r="S101" s="2" t="s">
        <v>3613</v>
      </c>
      <c r="T101" s="2" t="s">
        <v>3614</v>
      </c>
      <c r="U101" s="2" t="s">
        <v>3615</v>
      </c>
      <c r="V101" s="23" t="s">
        <v>3616</v>
      </c>
      <c r="W101" s="24" t="s">
        <v>3617</v>
      </c>
      <c r="X101" s="23" t="s">
        <v>3618</v>
      </c>
      <c r="Y101" s="23" t="s">
        <v>3619</v>
      </c>
      <c r="Z101" s="23" t="s">
        <v>3620</v>
      </c>
      <c r="AA101" s="23" t="s">
        <v>3621</v>
      </c>
      <c r="AB101" s="8"/>
      <c r="AC101" s="8"/>
      <c r="AD101" s="8"/>
    </row>
    <row r="102" spans="1:30" ht="15.75" customHeight="1">
      <c r="A102" s="4" t="s">
        <v>770</v>
      </c>
      <c r="B102" s="5">
        <v>2402</v>
      </c>
      <c r="C102" s="6" t="s">
        <v>1020</v>
      </c>
      <c r="D102" s="7">
        <v>2022520753</v>
      </c>
      <c r="E102" s="7">
        <v>2201010502</v>
      </c>
      <c r="F102" s="7" t="s">
        <v>1803</v>
      </c>
      <c r="G102" s="7" t="s">
        <v>13</v>
      </c>
      <c r="H102" s="6" t="s">
        <v>1021</v>
      </c>
      <c r="I102" s="6" t="s">
        <v>2014</v>
      </c>
      <c r="J102" s="6" t="s">
        <v>2015</v>
      </c>
      <c r="K102" s="6" t="s">
        <v>15</v>
      </c>
      <c r="L102" s="6" t="s">
        <v>21</v>
      </c>
      <c r="M102" s="6" t="s">
        <v>117</v>
      </c>
      <c r="N102" s="7" t="s">
        <v>18</v>
      </c>
      <c r="O102" s="23" t="s">
        <v>3611</v>
      </c>
      <c r="R102" s="23" t="s">
        <v>3612</v>
      </c>
      <c r="S102" s="2" t="s">
        <v>3613</v>
      </c>
      <c r="T102" s="2" t="s">
        <v>3614</v>
      </c>
      <c r="U102" s="2" t="s">
        <v>3615</v>
      </c>
      <c r="V102" s="23" t="s">
        <v>3616</v>
      </c>
      <c r="W102" s="24" t="s">
        <v>3617</v>
      </c>
      <c r="X102" s="23" t="s">
        <v>3618</v>
      </c>
      <c r="Y102" s="23" t="s">
        <v>3619</v>
      </c>
      <c r="Z102" s="23" t="s">
        <v>3620</v>
      </c>
      <c r="AA102" s="23" t="s">
        <v>3621</v>
      </c>
      <c r="AB102" s="8"/>
      <c r="AC102" s="8"/>
      <c r="AD102" s="8"/>
    </row>
    <row r="103" spans="1:30" ht="15.75" customHeight="1">
      <c r="A103" s="4" t="s">
        <v>770</v>
      </c>
      <c r="B103" s="5">
        <v>2402</v>
      </c>
      <c r="C103" s="6" t="s">
        <v>1110</v>
      </c>
      <c r="D103" s="7">
        <v>2022536903</v>
      </c>
      <c r="E103" s="7">
        <v>2201010506</v>
      </c>
      <c r="F103" s="7" t="s">
        <v>1803</v>
      </c>
      <c r="G103" s="7" t="s">
        <v>13</v>
      </c>
      <c r="H103" s="6" t="s">
        <v>1111</v>
      </c>
      <c r="I103" s="6" t="s">
        <v>2016</v>
      </c>
      <c r="J103" s="6" t="s">
        <v>2017</v>
      </c>
      <c r="K103" s="6" t="s">
        <v>15</v>
      </c>
      <c r="L103" s="6" t="s">
        <v>104</v>
      </c>
      <c r="M103" s="6" t="s">
        <v>49</v>
      </c>
      <c r="N103" s="7" t="s">
        <v>18</v>
      </c>
      <c r="O103" s="23" t="s">
        <v>3611</v>
      </c>
      <c r="R103" s="23" t="s">
        <v>3612</v>
      </c>
      <c r="S103" s="2" t="s">
        <v>3613</v>
      </c>
      <c r="T103" s="2" t="s">
        <v>3614</v>
      </c>
      <c r="U103" s="2" t="s">
        <v>3615</v>
      </c>
      <c r="V103" s="23" t="s">
        <v>3616</v>
      </c>
      <c r="W103" s="24" t="s">
        <v>3617</v>
      </c>
      <c r="X103" s="23" t="s">
        <v>3618</v>
      </c>
      <c r="Y103" s="23" t="s">
        <v>3619</v>
      </c>
      <c r="Z103" s="23" t="s">
        <v>3620</v>
      </c>
      <c r="AA103" s="23" t="s">
        <v>3621</v>
      </c>
      <c r="AB103" s="8"/>
      <c r="AC103" s="8"/>
      <c r="AD103" s="8"/>
    </row>
    <row r="104" spans="1:30" ht="15.75" customHeight="1">
      <c r="A104" s="4" t="s">
        <v>770</v>
      </c>
      <c r="B104" s="5">
        <v>2402</v>
      </c>
      <c r="C104" s="6" t="s">
        <v>1016</v>
      </c>
      <c r="D104" s="7">
        <v>2022472521</v>
      </c>
      <c r="E104" s="7">
        <v>2201010526</v>
      </c>
      <c r="F104" s="7" t="s">
        <v>1803</v>
      </c>
      <c r="G104" s="7" t="s">
        <v>13</v>
      </c>
      <c r="H104" s="6" t="s">
        <v>1017</v>
      </c>
      <c r="I104" s="6" t="s">
        <v>2018</v>
      </c>
      <c r="J104" s="6" t="s">
        <v>2019</v>
      </c>
      <c r="K104" s="6" t="s">
        <v>15</v>
      </c>
      <c r="L104" s="6" t="s">
        <v>21</v>
      </c>
      <c r="M104" s="6" t="s">
        <v>16</v>
      </c>
      <c r="N104" s="7" t="s">
        <v>18</v>
      </c>
      <c r="O104" s="23" t="s">
        <v>3611</v>
      </c>
      <c r="R104" s="23" t="s">
        <v>3612</v>
      </c>
      <c r="S104" s="2" t="s">
        <v>3613</v>
      </c>
      <c r="T104" s="2" t="s">
        <v>3614</v>
      </c>
      <c r="U104" s="2" t="s">
        <v>3615</v>
      </c>
      <c r="V104" s="23" t="s">
        <v>3616</v>
      </c>
      <c r="W104" s="24" t="s">
        <v>3617</v>
      </c>
      <c r="X104" s="23" t="s">
        <v>3618</v>
      </c>
      <c r="Y104" s="23" t="s">
        <v>3619</v>
      </c>
      <c r="Z104" s="23" t="s">
        <v>3620</v>
      </c>
      <c r="AA104" s="23" t="s">
        <v>3621</v>
      </c>
      <c r="AB104" s="8"/>
      <c r="AC104" s="8"/>
      <c r="AD104" s="8"/>
    </row>
    <row r="105" spans="1:30" ht="15.75" customHeight="1">
      <c r="A105" s="4" t="s">
        <v>770</v>
      </c>
      <c r="B105" s="5">
        <v>2402</v>
      </c>
      <c r="C105" s="6" t="s">
        <v>1088</v>
      </c>
      <c r="D105" s="7">
        <v>2022441764</v>
      </c>
      <c r="E105" s="7">
        <v>2201010529</v>
      </c>
      <c r="F105" s="7" t="s">
        <v>1803</v>
      </c>
      <c r="G105" s="7" t="s">
        <v>13</v>
      </c>
      <c r="H105" s="6" t="s">
        <v>1089</v>
      </c>
      <c r="I105" s="6" t="s">
        <v>2020</v>
      </c>
      <c r="J105" s="6" t="s">
        <v>2021</v>
      </c>
      <c r="K105" s="6" t="s">
        <v>15</v>
      </c>
      <c r="L105" s="6" t="s">
        <v>21</v>
      </c>
      <c r="M105" s="6" t="s">
        <v>117</v>
      </c>
      <c r="N105" s="7" t="s">
        <v>18</v>
      </c>
      <c r="O105" s="23" t="s">
        <v>3611</v>
      </c>
      <c r="R105" s="23" t="s">
        <v>3612</v>
      </c>
      <c r="S105" s="2" t="s">
        <v>3613</v>
      </c>
      <c r="T105" s="2" t="s">
        <v>3614</v>
      </c>
      <c r="U105" s="2" t="s">
        <v>3615</v>
      </c>
      <c r="V105" s="23" t="s">
        <v>3616</v>
      </c>
      <c r="W105" s="24" t="s">
        <v>3617</v>
      </c>
      <c r="X105" s="23" t="s">
        <v>3618</v>
      </c>
      <c r="Y105" s="23" t="s">
        <v>3619</v>
      </c>
      <c r="Z105" s="23" t="s">
        <v>3620</v>
      </c>
      <c r="AA105" s="23" t="s">
        <v>3621</v>
      </c>
      <c r="AB105" s="8"/>
      <c r="AC105" s="8"/>
      <c r="AD105" s="8"/>
    </row>
    <row r="106" spans="1:30" ht="15.75" customHeight="1">
      <c r="A106" s="4" t="s">
        <v>770</v>
      </c>
      <c r="B106" s="5">
        <v>2402</v>
      </c>
      <c r="C106" s="6" t="s">
        <v>1048</v>
      </c>
      <c r="D106" s="7">
        <v>2022004682</v>
      </c>
      <c r="E106" s="7">
        <v>2201010630</v>
      </c>
      <c r="F106" s="7" t="s">
        <v>1803</v>
      </c>
      <c r="G106" s="7" t="s">
        <v>13</v>
      </c>
      <c r="H106" s="6" t="s">
        <v>1049</v>
      </c>
      <c r="I106" s="6" t="s">
        <v>2022</v>
      </c>
      <c r="J106" s="6" t="s">
        <v>2023</v>
      </c>
      <c r="K106" s="6" t="s">
        <v>15</v>
      </c>
      <c r="L106" s="6" t="s">
        <v>16</v>
      </c>
      <c r="M106" s="6" t="s">
        <v>21</v>
      </c>
      <c r="N106" s="7" t="s">
        <v>18</v>
      </c>
      <c r="O106" s="23" t="s">
        <v>3611</v>
      </c>
      <c r="R106" s="23" t="s">
        <v>3612</v>
      </c>
      <c r="S106" s="2" t="s">
        <v>3613</v>
      </c>
      <c r="T106" s="2" t="s">
        <v>3614</v>
      </c>
      <c r="U106" s="2" t="s">
        <v>3615</v>
      </c>
      <c r="V106" s="23" t="s">
        <v>3616</v>
      </c>
      <c r="W106" s="24" t="s">
        <v>3617</v>
      </c>
      <c r="X106" s="23" t="s">
        <v>3618</v>
      </c>
      <c r="Y106" s="23" t="s">
        <v>3619</v>
      </c>
      <c r="Z106" s="23" t="s">
        <v>3620</v>
      </c>
      <c r="AA106" s="23" t="s">
        <v>3621</v>
      </c>
      <c r="AB106" s="8"/>
      <c r="AC106" s="8"/>
      <c r="AD106" s="8"/>
    </row>
    <row r="107" spans="1:30" ht="15.75" customHeight="1">
      <c r="A107" s="4" t="s">
        <v>770</v>
      </c>
      <c r="B107" s="5">
        <v>2402</v>
      </c>
      <c r="C107" s="6" t="s">
        <v>1034</v>
      </c>
      <c r="D107" s="7">
        <v>2022002703</v>
      </c>
      <c r="E107" s="7">
        <v>2201010631</v>
      </c>
      <c r="F107" s="7" t="s">
        <v>1803</v>
      </c>
      <c r="G107" s="7" t="s">
        <v>13</v>
      </c>
      <c r="H107" s="6" t="s">
        <v>1035</v>
      </c>
      <c r="I107" s="6" t="s">
        <v>2024</v>
      </c>
      <c r="J107" s="6" t="s">
        <v>2025</v>
      </c>
      <c r="K107" s="6" t="s">
        <v>15</v>
      </c>
      <c r="L107" s="6" t="s">
        <v>117</v>
      </c>
      <c r="M107" s="6" t="s">
        <v>49</v>
      </c>
      <c r="N107" s="7" t="s">
        <v>18</v>
      </c>
      <c r="O107" s="23" t="s">
        <v>3611</v>
      </c>
      <c r="R107" s="23" t="s">
        <v>3612</v>
      </c>
      <c r="S107" s="2" t="s">
        <v>3613</v>
      </c>
      <c r="T107" s="2" t="s">
        <v>3614</v>
      </c>
      <c r="U107" s="2" t="s">
        <v>3615</v>
      </c>
      <c r="V107" s="23" t="s">
        <v>3616</v>
      </c>
      <c r="W107" s="24" t="s">
        <v>3617</v>
      </c>
      <c r="X107" s="23" t="s">
        <v>3618</v>
      </c>
      <c r="Y107" s="23" t="s">
        <v>3619</v>
      </c>
      <c r="Z107" s="23" t="s">
        <v>3620</v>
      </c>
      <c r="AA107" s="23" t="s">
        <v>3621</v>
      </c>
      <c r="AB107" s="8"/>
      <c r="AC107" s="8"/>
      <c r="AD107" s="8"/>
    </row>
    <row r="108" spans="1:30" ht="15.75" customHeight="1">
      <c r="A108" s="4" t="s">
        <v>770</v>
      </c>
      <c r="B108" s="5">
        <v>2402</v>
      </c>
      <c r="C108" s="6" t="s">
        <v>1028</v>
      </c>
      <c r="D108" s="7">
        <v>2022001659</v>
      </c>
      <c r="E108" s="7">
        <v>2201010643</v>
      </c>
      <c r="F108" s="7" t="s">
        <v>1803</v>
      </c>
      <c r="G108" s="7" t="s">
        <v>13</v>
      </c>
      <c r="H108" s="6" t="s">
        <v>1029</v>
      </c>
      <c r="I108" s="6" t="s">
        <v>2026</v>
      </c>
      <c r="J108" s="6" t="s">
        <v>2027</v>
      </c>
      <c r="K108" s="6" t="s">
        <v>15</v>
      </c>
      <c r="L108" s="6" t="s">
        <v>21</v>
      </c>
      <c r="M108" s="6" t="s">
        <v>104</v>
      </c>
      <c r="N108" s="7" t="s">
        <v>18</v>
      </c>
      <c r="O108" s="23" t="s">
        <v>3611</v>
      </c>
      <c r="R108" s="23" t="s">
        <v>3612</v>
      </c>
      <c r="S108" s="2" t="s">
        <v>3613</v>
      </c>
      <c r="T108" s="2" t="s">
        <v>3614</v>
      </c>
      <c r="U108" s="2" t="s">
        <v>3615</v>
      </c>
      <c r="V108" s="23" t="s">
        <v>3616</v>
      </c>
      <c r="W108" s="24" t="s">
        <v>3617</v>
      </c>
      <c r="X108" s="23" t="s">
        <v>3618</v>
      </c>
      <c r="Y108" s="23" t="s">
        <v>3619</v>
      </c>
      <c r="Z108" s="23" t="s">
        <v>3620</v>
      </c>
      <c r="AA108" s="23" t="s">
        <v>3621</v>
      </c>
      <c r="AB108" s="8"/>
      <c r="AC108" s="8"/>
      <c r="AD108" s="8"/>
    </row>
    <row r="109" spans="1:30" ht="15.75" customHeight="1">
      <c r="A109" s="4" t="s">
        <v>770</v>
      </c>
      <c r="B109" s="5">
        <v>2402</v>
      </c>
      <c r="C109" s="6" t="s">
        <v>1036</v>
      </c>
      <c r="D109" s="7">
        <v>2022002786</v>
      </c>
      <c r="E109" s="7">
        <v>2201010667</v>
      </c>
      <c r="F109" s="7" t="s">
        <v>1803</v>
      </c>
      <c r="G109" s="7" t="s">
        <v>13</v>
      </c>
      <c r="H109" s="6" t="s">
        <v>1037</v>
      </c>
      <c r="I109" s="6" t="s">
        <v>2028</v>
      </c>
      <c r="J109" s="6" t="s">
        <v>2029</v>
      </c>
      <c r="K109" s="6" t="s">
        <v>15</v>
      </c>
      <c r="L109" s="6" t="s">
        <v>21</v>
      </c>
      <c r="M109" s="6" t="s">
        <v>149</v>
      </c>
      <c r="N109" s="7" t="s">
        <v>174</v>
      </c>
      <c r="O109" s="23" t="s">
        <v>3611</v>
      </c>
      <c r="R109" s="23" t="s">
        <v>3612</v>
      </c>
      <c r="S109" s="2" t="s">
        <v>3613</v>
      </c>
      <c r="T109" s="2" t="s">
        <v>3614</v>
      </c>
      <c r="U109" s="2" t="s">
        <v>3615</v>
      </c>
      <c r="V109" s="23" t="s">
        <v>3616</v>
      </c>
      <c r="W109" s="24" t="s">
        <v>3617</v>
      </c>
      <c r="X109" s="23" t="s">
        <v>3618</v>
      </c>
      <c r="Y109" s="23" t="s">
        <v>3619</v>
      </c>
      <c r="Z109" s="23" t="s">
        <v>3620</v>
      </c>
      <c r="AA109" s="23" t="s">
        <v>3621</v>
      </c>
      <c r="AB109" s="8"/>
      <c r="AC109" s="8"/>
      <c r="AD109" s="8"/>
    </row>
    <row r="110" spans="1:30" ht="15.75" customHeight="1">
      <c r="A110" s="4" t="s">
        <v>770</v>
      </c>
      <c r="B110" s="5">
        <v>2402</v>
      </c>
      <c r="C110" s="6" t="s">
        <v>1086</v>
      </c>
      <c r="D110" s="7">
        <v>2022437700</v>
      </c>
      <c r="E110" s="7">
        <v>2201010706</v>
      </c>
      <c r="F110" s="7" t="s">
        <v>1803</v>
      </c>
      <c r="G110" s="7" t="s">
        <v>13</v>
      </c>
      <c r="H110" s="6" t="s">
        <v>1087</v>
      </c>
      <c r="I110" s="6" t="s">
        <v>2030</v>
      </c>
      <c r="J110" s="6" t="s">
        <v>2031</v>
      </c>
      <c r="K110" s="6" t="s">
        <v>15</v>
      </c>
      <c r="L110" s="6" t="s">
        <v>117</v>
      </c>
      <c r="M110" s="6" t="s">
        <v>17</v>
      </c>
      <c r="N110" s="7" t="s">
        <v>18</v>
      </c>
      <c r="O110" s="23" t="s">
        <v>3611</v>
      </c>
      <c r="R110" s="23" t="s">
        <v>3612</v>
      </c>
      <c r="S110" s="2" t="s">
        <v>3613</v>
      </c>
      <c r="T110" s="2" t="s">
        <v>3614</v>
      </c>
      <c r="U110" s="2" t="s">
        <v>3615</v>
      </c>
      <c r="V110" s="23" t="s">
        <v>3616</v>
      </c>
      <c r="W110" s="24" t="s">
        <v>3617</v>
      </c>
      <c r="X110" s="23" t="s">
        <v>3618</v>
      </c>
      <c r="Y110" s="23" t="s">
        <v>3619</v>
      </c>
      <c r="Z110" s="23" t="s">
        <v>3620</v>
      </c>
      <c r="AA110" s="23" t="s">
        <v>3621</v>
      </c>
      <c r="AB110" s="8"/>
      <c r="AC110" s="8"/>
      <c r="AD110" s="8"/>
    </row>
    <row r="111" spans="1:30" ht="15.75" customHeight="1">
      <c r="A111" s="4" t="s">
        <v>770</v>
      </c>
      <c r="B111" s="5">
        <v>2402</v>
      </c>
      <c r="C111" s="6" t="s">
        <v>1030</v>
      </c>
      <c r="D111" s="7">
        <v>2022001846</v>
      </c>
      <c r="E111" s="7">
        <v>2201010715</v>
      </c>
      <c r="F111" s="7" t="s">
        <v>1803</v>
      </c>
      <c r="G111" s="7" t="s">
        <v>13</v>
      </c>
      <c r="H111" s="6" t="s">
        <v>1031</v>
      </c>
      <c r="I111" s="6" t="s">
        <v>2032</v>
      </c>
      <c r="J111" s="6" t="s">
        <v>2033</v>
      </c>
      <c r="K111" s="6" t="s">
        <v>15</v>
      </c>
      <c r="L111" s="6" t="s">
        <v>149</v>
      </c>
      <c r="M111" s="6" t="s">
        <v>17</v>
      </c>
      <c r="N111" s="7" t="s">
        <v>18</v>
      </c>
      <c r="O111" s="23" t="s">
        <v>3611</v>
      </c>
      <c r="R111" s="23" t="s">
        <v>3612</v>
      </c>
      <c r="S111" s="2" t="s">
        <v>3613</v>
      </c>
      <c r="T111" s="2" t="s">
        <v>3614</v>
      </c>
      <c r="U111" s="2" t="s">
        <v>3615</v>
      </c>
      <c r="V111" s="23" t="s">
        <v>3616</v>
      </c>
      <c r="W111" s="24" t="s">
        <v>3617</v>
      </c>
      <c r="X111" s="23" t="s">
        <v>3618</v>
      </c>
      <c r="Y111" s="23" t="s">
        <v>3619</v>
      </c>
      <c r="Z111" s="23" t="s">
        <v>3620</v>
      </c>
      <c r="AA111" s="23" t="s">
        <v>3621</v>
      </c>
      <c r="AB111" s="8"/>
      <c r="AC111" s="8"/>
      <c r="AD111" s="8"/>
    </row>
    <row r="112" spans="1:30" ht="15.75" customHeight="1">
      <c r="A112" s="4" t="s">
        <v>770</v>
      </c>
      <c r="B112" s="5">
        <v>2402</v>
      </c>
      <c r="C112" s="6" t="s">
        <v>1092</v>
      </c>
      <c r="D112" s="7">
        <v>2022461609</v>
      </c>
      <c r="E112" s="7">
        <v>2201010734</v>
      </c>
      <c r="F112" s="7" t="s">
        <v>1803</v>
      </c>
      <c r="G112" s="7" t="s">
        <v>13</v>
      </c>
      <c r="H112" s="6" t="s">
        <v>1093</v>
      </c>
      <c r="I112" s="6" t="s">
        <v>2034</v>
      </c>
      <c r="J112" s="6" t="s">
        <v>2035</v>
      </c>
      <c r="K112" s="6" t="s">
        <v>15</v>
      </c>
      <c r="L112" s="6" t="s">
        <v>117</v>
      </c>
      <c r="M112" s="6" t="s">
        <v>16</v>
      </c>
      <c r="N112" s="7" t="s">
        <v>18</v>
      </c>
      <c r="O112" s="23" t="s">
        <v>3611</v>
      </c>
      <c r="R112" s="23" t="s">
        <v>3612</v>
      </c>
      <c r="S112" s="2" t="s">
        <v>3613</v>
      </c>
      <c r="T112" s="2" t="s">
        <v>3614</v>
      </c>
      <c r="U112" s="2" t="s">
        <v>3615</v>
      </c>
      <c r="V112" s="23" t="s">
        <v>3616</v>
      </c>
      <c r="W112" s="24" t="s">
        <v>3617</v>
      </c>
      <c r="X112" s="23" t="s">
        <v>3618</v>
      </c>
      <c r="Y112" s="23" t="s">
        <v>3619</v>
      </c>
      <c r="Z112" s="23" t="s">
        <v>3620</v>
      </c>
      <c r="AA112" s="23" t="s">
        <v>3621</v>
      </c>
      <c r="AB112" s="8"/>
      <c r="AC112" s="8"/>
      <c r="AD112" s="8"/>
    </row>
    <row r="113" spans="1:30" ht="15.75" customHeight="1">
      <c r="A113" s="4" t="s">
        <v>770</v>
      </c>
      <c r="B113" s="5">
        <v>2402</v>
      </c>
      <c r="C113" s="6" t="s">
        <v>1118</v>
      </c>
      <c r="D113" s="7">
        <v>2022559074</v>
      </c>
      <c r="E113" s="7">
        <v>2201010762</v>
      </c>
      <c r="F113" s="7" t="s">
        <v>1803</v>
      </c>
      <c r="G113" s="7" t="s">
        <v>13</v>
      </c>
      <c r="H113" s="6" t="s">
        <v>1119</v>
      </c>
      <c r="I113" s="6" t="s">
        <v>2036</v>
      </c>
      <c r="J113" s="6" t="s">
        <v>2037</v>
      </c>
      <c r="K113" s="6" t="s">
        <v>15</v>
      </c>
      <c r="L113" s="6" t="s">
        <v>117</v>
      </c>
      <c r="M113" s="6" t="s">
        <v>17</v>
      </c>
      <c r="N113" s="7" t="s">
        <v>18</v>
      </c>
      <c r="O113" s="23" t="s">
        <v>3611</v>
      </c>
      <c r="R113" s="23" t="s">
        <v>3612</v>
      </c>
      <c r="S113" s="2" t="s">
        <v>3613</v>
      </c>
      <c r="T113" s="2" t="s">
        <v>3614</v>
      </c>
      <c r="U113" s="2" t="s">
        <v>3615</v>
      </c>
      <c r="V113" s="23" t="s">
        <v>3616</v>
      </c>
      <c r="W113" s="24" t="s">
        <v>3617</v>
      </c>
      <c r="X113" s="23" t="s">
        <v>3618</v>
      </c>
      <c r="Y113" s="23" t="s">
        <v>3619</v>
      </c>
      <c r="Z113" s="23" t="s">
        <v>3620</v>
      </c>
      <c r="AA113" s="23" t="s">
        <v>3621</v>
      </c>
      <c r="AB113" s="8"/>
      <c r="AC113" s="8"/>
      <c r="AD113" s="8"/>
    </row>
    <row r="114" spans="1:30" ht="15.75" customHeight="1">
      <c r="A114" s="4" t="s">
        <v>770</v>
      </c>
      <c r="B114" s="5">
        <v>2402</v>
      </c>
      <c r="C114" s="6" t="s">
        <v>1114</v>
      </c>
      <c r="D114" s="7">
        <v>2022545204</v>
      </c>
      <c r="E114" s="7">
        <v>2201010778</v>
      </c>
      <c r="F114" s="7" t="s">
        <v>1803</v>
      </c>
      <c r="G114" s="7" t="s">
        <v>13</v>
      </c>
      <c r="H114" s="6" t="s">
        <v>1115</v>
      </c>
      <c r="I114" s="6" t="s">
        <v>2038</v>
      </c>
      <c r="J114" s="6" t="s">
        <v>2039</v>
      </c>
      <c r="K114" s="6" t="s">
        <v>15</v>
      </c>
      <c r="L114" s="6" t="s">
        <v>117</v>
      </c>
      <c r="M114" s="6" t="s">
        <v>139</v>
      </c>
      <c r="N114" s="7" t="s">
        <v>18</v>
      </c>
      <c r="O114" s="23" t="s">
        <v>3611</v>
      </c>
      <c r="R114" s="23" t="s">
        <v>3612</v>
      </c>
      <c r="S114" s="2" t="s">
        <v>3613</v>
      </c>
      <c r="T114" s="2" t="s">
        <v>3614</v>
      </c>
      <c r="U114" s="2" t="s">
        <v>3615</v>
      </c>
      <c r="V114" s="23" t="s">
        <v>3616</v>
      </c>
      <c r="W114" s="24" t="s">
        <v>3617</v>
      </c>
      <c r="X114" s="23" t="s">
        <v>3618</v>
      </c>
      <c r="Y114" s="23" t="s">
        <v>3619</v>
      </c>
      <c r="Z114" s="23" t="s">
        <v>3620</v>
      </c>
      <c r="AA114" s="23" t="s">
        <v>3621</v>
      </c>
      <c r="AB114" s="8"/>
      <c r="AC114" s="8"/>
      <c r="AD114" s="8"/>
    </row>
    <row r="115" spans="1:30" ht="15.75" customHeight="1">
      <c r="A115" s="4" t="s">
        <v>770</v>
      </c>
      <c r="B115" s="5">
        <v>2402</v>
      </c>
      <c r="C115" s="6" t="s">
        <v>1098</v>
      </c>
      <c r="D115" s="7">
        <v>2022473978</v>
      </c>
      <c r="E115" s="7">
        <v>2201010781</v>
      </c>
      <c r="F115" s="7" t="s">
        <v>1803</v>
      </c>
      <c r="G115" s="7" t="s">
        <v>13</v>
      </c>
      <c r="H115" s="6" t="s">
        <v>1099</v>
      </c>
      <c r="I115" s="6" t="s">
        <v>2040</v>
      </c>
      <c r="J115" s="6" t="s">
        <v>2041</v>
      </c>
      <c r="K115" s="6" t="s">
        <v>15</v>
      </c>
      <c r="L115" s="6" t="s">
        <v>117</v>
      </c>
      <c r="M115" s="6" t="s">
        <v>149</v>
      </c>
      <c r="N115" s="7" t="s">
        <v>18</v>
      </c>
      <c r="O115" s="23" t="s">
        <v>3611</v>
      </c>
      <c r="R115" s="23" t="s">
        <v>3612</v>
      </c>
      <c r="S115" s="2" t="s">
        <v>3613</v>
      </c>
      <c r="T115" s="2" t="s">
        <v>3614</v>
      </c>
      <c r="U115" s="2" t="s">
        <v>3615</v>
      </c>
      <c r="V115" s="23" t="s">
        <v>3616</v>
      </c>
      <c r="W115" s="24" t="s">
        <v>3617</v>
      </c>
      <c r="X115" s="23" t="s">
        <v>3618</v>
      </c>
      <c r="Y115" s="23" t="s">
        <v>3619</v>
      </c>
      <c r="Z115" s="23" t="s">
        <v>3620</v>
      </c>
      <c r="AA115" s="23" t="s">
        <v>3621</v>
      </c>
      <c r="AB115" s="8"/>
      <c r="AC115" s="8"/>
      <c r="AD115" s="8"/>
    </row>
    <row r="116" spans="1:30" ht="15.75" customHeight="1">
      <c r="A116" s="4" t="s">
        <v>770</v>
      </c>
      <c r="B116" s="5">
        <v>2402</v>
      </c>
      <c r="C116" s="6" t="s">
        <v>1096</v>
      </c>
      <c r="D116" s="7">
        <v>2022470797</v>
      </c>
      <c r="E116" s="7">
        <v>2201010810</v>
      </c>
      <c r="F116" s="7" t="s">
        <v>1803</v>
      </c>
      <c r="G116" s="7" t="s">
        <v>13</v>
      </c>
      <c r="H116" s="6" t="s">
        <v>1097</v>
      </c>
      <c r="I116" s="6" t="s">
        <v>2042</v>
      </c>
      <c r="J116" s="6" t="s">
        <v>2043</v>
      </c>
      <c r="K116" s="6" t="s">
        <v>15</v>
      </c>
      <c r="L116" s="6" t="s">
        <v>49</v>
      </c>
      <c r="M116" s="6" t="s">
        <v>117</v>
      </c>
      <c r="N116" s="7" t="s">
        <v>18</v>
      </c>
      <c r="O116" s="23" t="s">
        <v>3611</v>
      </c>
      <c r="R116" s="23" t="s">
        <v>3612</v>
      </c>
      <c r="S116" s="2" t="s">
        <v>3613</v>
      </c>
      <c r="T116" s="2" t="s">
        <v>3614</v>
      </c>
      <c r="U116" s="2" t="s">
        <v>3615</v>
      </c>
      <c r="V116" s="23" t="s">
        <v>3616</v>
      </c>
      <c r="W116" s="24" t="s">
        <v>3617</v>
      </c>
      <c r="X116" s="23" t="s">
        <v>3618</v>
      </c>
      <c r="Y116" s="23" t="s">
        <v>3619</v>
      </c>
      <c r="Z116" s="23" t="s">
        <v>3620</v>
      </c>
      <c r="AA116" s="23" t="s">
        <v>3621</v>
      </c>
      <c r="AB116" s="8"/>
      <c r="AC116" s="8"/>
      <c r="AD116" s="8"/>
    </row>
    <row r="117" spans="1:30" ht="15.75" customHeight="1">
      <c r="A117" s="4" t="s">
        <v>770</v>
      </c>
      <c r="B117" s="5">
        <v>2402</v>
      </c>
      <c r="C117" s="6" t="s">
        <v>1082</v>
      </c>
      <c r="D117" s="7">
        <v>2022415397</v>
      </c>
      <c r="E117" s="7">
        <v>2201010811</v>
      </c>
      <c r="F117" s="7" t="s">
        <v>1803</v>
      </c>
      <c r="G117" s="7" t="s">
        <v>13</v>
      </c>
      <c r="H117" s="6" t="s">
        <v>1083</v>
      </c>
      <c r="I117" s="6" t="s">
        <v>2044</v>
      </c>
      <c r="J117" s="6" t="s">
        <v>2045</v>
      </c>
      <c r="K117" s="6" t="s">
        <v>15</v>
      </c>
      <c r="L117" s="6" t="s">
        <v>117</v>
      </c>
      <c r="M117" s="6" t="s">
        <v>16</v>
      </c>
      <c r="N117" s="7" t="s">
        <v>18</v>
      </c>
      <c r="O117" s="23" t="s">
        <v>3611</v>
      </c>
      <c r="R117" s="23" t="s">
        <v>3612</v>
      </c>
      <c r="S117" s="2" t="s">
        <v>3613</v>
      </c>
      <c r="T117" s="2" t="s">
        <v>3614</v>
      </c>
      <c r="U117" s="2" t="s">
        <v>3615</v>
      </c>
      <c r="V117" s="23" t="s">
        <v>3616</v>
      </c>
      <c r="W117" s="24" t="s">
        <v>3617</v>
      </c>
      <c r="X117" s="23" t="s">
        <v>3618</v>
      </c>
      <c r="Y117" s="23" t="s">
        <v>3619</v>
      </c>
      <c r="Z117" s="23" t="s">
        <v>3620</v>
      </c>
      <c r="AA117" s="23" t="s">
        <v>3621</v>
      </c>
      <c r="AB117" s="8"/>
      <c r="AC117" s="8"/>
      <c r="AD117" s="8"/>
    </row>
    <row r="118" spans="1:30" ht="15.75" customHeight="1">
      <c r="A118" s="4" t="s">
        <v>770</v>
      </c>
      <c r="B118" s="5">
        <v>2402</v>
      </c>
      <c r="C118" s="6" t="s">
        <v>1012</v>
      </c>
      <c r="D118" s="7">
        <v>2022004909</v>
      </c>
      <c r="E118" s="7">
        <v>2201010827</v>
      </c>
      <c r="F118" s="7" t="s">
        <v>1803</v>
      </c>
      <c r="G118" s="7" t="s">
        <v>13</v>
      </c>
      <c r="H118" s="6" t="s">
        <v>1013</v>
      </c>
      <c r="I118" s="6" t="s">
        <v>2046</v>
      </c>
      <c r="J118" s="6" t="s">
        <v>2047</v>
      </c>
      <c r="K118" s="6" t="s">
        <v>15</v>
      </c>
      <c r="L118" s="6" t="s">
        <v>16</v>
      </c>
      <c r="M118" s="6" t="s">
        <v>21</v>
      </c>
      <c r="N118" s="7" t="s">
        <v>18</v>
      </c>
      <c r="O118" s="23" t="s">
        <v>3611</v>
      </c>
      <c r="R118" s="23" t="s">
        <v>3612</v>
      </c>
      <c r="S118" s="2" t="s">
        <v>3613</v>
      </c>
      <c r="T118" s="2" t="s">
        <v>3614</v>
      </c>
      <c r="U118" s="2" t="s">
        <v>3615</v>
      </c>
      <c r="V118" s="23" t="s">
        <v>3616</v>
      </c>
      <c r="W118" s="24" t="s">
        <v>3617</v>
      </c>
      <c r="X118" s="23" t="s">
        <v>3618</v>
      </c>
      <c r="Y118" s="23" t="s">
        <v>3619</v>
      </c>
      <c r="Z118" s="23" t="s">
        <v>3620</v>
      </c>
      <c r="AA118" s="23" t="s">
        <v>3621</v>
      </c>
      <c r="AB118" s="8"/>
      <c r="AC118" s="8"/>
      <c r="AD118" s="8"/>
    </row>
    <row r="119" spans="1:30" ht="15.75" customHeight="1">
      <c r="A119" s="4" t="s">
        <v>770</v>
      </c>
      <c r="B119" s="5">
        <v>2402</v>
      </c>
      <c r="C119" s="6" t="s">
        <v>1044</v>
      </c>
      <c r="D119" s="7">
        <v>2022003923</v>
      </c>
      <c r="E119" s="7">
        <v>2201010829</v>
      </c>
      <c r="F119" s="7" t="s">
        <v>1803</v>
      </c>
      <c r="G119" s="7" t="s">
        <v>13</v>
      </c>
      <c r="H119" s="6" t="s">
        <v>1045</v>
      </c>
      <c r="I119" s="6" t="s">
        <v>2048</v>
      </c>
      <c r="J119" s="6" t="s">
        <v>2049</v>
      </c>
      <c r="K119" s="6" t="s">
        <v>15</v>
      </c>
      <c r="L119" s="6" t="s">
        <v>117</v>
      </c>
      <c r="M119" s="6" t="s">
        <v>149</v>
      </c>
      <c r="N119" s="7" t="s">
        <v>18</v>
      </c>
      <c r="O119" s="23" t="s">
        <v>3611</v>
      </c>
      <c r="R119" s="23" t="s">
        <v>3612</v>
      </c>
      <c r="S119" s="2" t="s">
        <v>3613</v>
      </c>
      <c r="T119" s="2" t="s">
        <v>3614</v>
      </c>
      <c r="U119" s="2" t="s">
        <v>3615</v>
      </c>
      <c r="V119" s="23" t="s">
        <v>3616</v>
      </c>
      <c r="W119" s="24" t="s">
        <v>3617</v>
      </c>
      <c r="X119" s="23" t="s">
        <v>3618</v>
      </c>
      <c r="Y119" s="23" t="s">
        <v>3619</v>
      </c>
      <c r="Z119" s="23" t="s">
        <v>3620</v>
      </c>
      <c r="AA119" s="23" t="s">
        <v>3621</v>
      </c>
      <c r="AB119" s="9"/>
      <c r="AC119" s="9"/>
      <c r="AD119" s="9"/>
    </row>
    <row r="120" spans="1:30" ht="15.75" customHeight="1">
      <c r="A120" s="4" t="s">
        <v>770</v>
      </c>
      <c r="B120" s="5">
        <v>2402</v>
      </c>
      <c r="C120" s="6" t="s">
        <v>1056</v>
      </c>
      <c r="D120" s="7">
        <v>2022006973</v>
      </c>
      <c r="E120" s="7">
        <v>2201010835</v>
      </c>
      <c r="F120" s="7" t="s">
        <v>1803</v>
      </c>
      <c r="G120" s="7" t="s">
        <v>13</v>
      </c>
      <c r="H120" s="6" t="s">
        <v>1057</v>
      </c>
      <c r="I120" s="6" t="s">
        <v>2050</v>
      </c>
      <c r="J120" s="6" t="s">
        <v>2051</v>
      </c>
      <c r="K120" s="6" t="s">
        <v>15</v>
      </c>
      <c r="L120" s="6" t="s">
        <v>16</v>
      </c>
      <c r="M120" s="6" t="s">
        <v>17</v>
      </c>
      <c r="N120" s="7" t="s">
        <v>18</v>
      </c>
      <c r="O120" s="23" t="s">
        <v>3611</v>
      </c>
      <c r="R120" s="23" t="s">
        <v>3612</v>
      </c>
      <c r="S120" s="2" t="s">
        <v>3613</v>
      </c>
      <c r="T120" s="2" t="s">
        <v>3614</v>
      </c>
      <c r="U120" s="2" t="s">
        <v>3615</v>
      </c>
      <c r="V120" s="23" t="s">
        <v>3616</v>
      </c>
      <c r="W120" s="24" t="s">
        <v>3617</v>
      </c>
      <c r="X120" s="23" t="s">
        <v>3618</v>
      </c>
      <c r="Y120" s="23" t="s">
        <v>3619</v>
      </c>
      <c r="Z120" s="23" t="s">
        <v>3620</v>
      </c>
      <c r="AA120" s="23" t="s">
        <v>3621</v>
      </c>
      <c r="AB120" s="9"/>
      <c r="AC120" s="9"/>
      <c r="AD120" s="9"/>
    </row>
    <row r="121" spans="1:30" ht="15.75" customHeight="1">
      <c r="A121" s="4" t="s">
        <v>770</v>
      </c>
      <c r="B121" s="5">
        <v>2402</v>
      </c>
      <c r="C121" s="6" t="s">
        <v>1058</v>
      </c>
      <c r="D121" s="7">
        <v>2022007308</v>
      </c>
      <c r="E121" s="7">
        <v>2201010841</v>
      </c>
      <c r="F121" s="7" t="s">
        <v>1803</v>
      </c>
      <c r="G121" s="7" t="s">
        <v>13</v>
      </c>
      <c r="H121" s="6" t="s">
        <v>1059</v>
      </c>
      <c r="I121" s="6" t="s">
        <v>2052</v>
      </c>
      <c r="J121" s="6" t="s">
        <v>2053</v>
      </c>
      <c r="K121" s="6" t="s">
        <v>15</v>
      </c>
      <c r="L121" s="6" t="s">
        <v>21</v>
      </c>
      <c r="M121" s="6" t="s">
        <v>26</v>
      </c>
      <c r="N121" s="7" t="s">
        <v>18</v>
      </c>
      <c r="O121" s="23" t="s">
        <v>3611</v>
      </c>
      <c r="R121" s="23" t="s">
        <v>3612</v>
      </c>
      <c r="S121" s="2" t="s">
        <v>3613</v>
      </c>
      <c r="T121" s="2" t="s">
        <v>3614</v>
      </c>
      <c r="U121" s="2" t="s">
        <v>3615</v>
      </c>
      <c r="V121" s="23" t="s">
        <v>3616</v>
      </c>
      <c r="W121" s="24" t="s">
        <v>3617</v>
      </c>
      <c r="X121" s="23" t="s">
        <v>3618</v>
      </c>
      <c r="Y121" s="23" t="s">
        <v>3619</v>
      </c>
      <c r="Z121" s="23" t="s">
        <v>3620</v>
      </c>
      <c r="AA121" s="23" t="s">
        <v>3621</v>
      </c>
      <c r="AB121" s="8"/>
      <c r="AC121" s="8"/>
      <c r="AD121" s="8"/>
    </row>
    <row r="122" spans="1:30" ht="15.75" customHeight="1">
      <c r="A122" s="4" t="s">
        <v>770</v>
      </c>
      <c r="B122" s="5">
        <v>2402</v>
      </c>
      <c r="C122" s="6" t="s">
        <v>1060</v>
      </c>
      <c r="D122" s="7">
        <v>2022008336</v>
      </c>
      <c r="E122" s="7">
        <v>2201010867</v>
      </c>
      <c r="F122" s="7" t="s">
        <v>1803</v>
      </c>
      <c r="G122" s="7" t="s">
        <v>13</v>
      </c>
      <c r="H122" s="6" t="s">
        <v>1061</v>
      </c>
      <c r="I122" s="6" t="s">
        <v>2054</v>
      </c>
      <c r="J122" s="6" t="s">
        <v>2055</v>
      </c>
      <c r="K122" s="6" t="s">
        <v>15</v>
      </c>
      <c r="L122" s="6" t="s">
        <v>117</v>
      </c>
      <c r="M122" s="6" t="s">
        <v>21</v>
      </c>
      <c r="N122" s="7" t="s">
        <v>18</v>
      </c>
      <c r="O122" s="23" t="s">
        <v>3611</v>
      </c>
      <c r="R122" s="23" t="s">
        <v>3612</v>
      </c>
      <c r="S122" s="2" t="s">
        <v>3613</v>
      </c>
      <c r="T122" s="2" t="s">
        <v>3614</v>
      </c>
      <c r="U122" s="2" t="s">
        <v>3615</v>
      </c>
      <c r="V122" s="23" t="s">
        <v>3616</v>
      </c>
      <c r="W122" s="24" t="s">
        <v>3617</v>
      </c>
      <c r="X122" s="23" t="s">
        <v>3618</v>
      </c>
      <c r="Y122" s="23" t="s">
        <v>3619</v>
      </c>
      <c r="Z122" s="23" t="s">
        <v>3620</v>
      </c>
      <c r="AA122" s="23" t="s">
        <v>3621</v>
      </c>
      <c r="AB122" s="8"/>
      <c r="AC122" s="8"/>
      <c r="AD122" s="8"/>
    </row>
    <row r="123" spans="1:30" ht="15.75" customHeight="1">
      <c r="A123" s="4" t="s">
        <v>770</v>
      </c>
      <c r="B123" s="5">
        <v>2402</v>
      </c>
      <c r="C123" s="6" t="s">
        <v>1076</v>
      </c>
      <c r="D123" s="7">
        <v>2022402175</v>
      </c>
      <c r="E123" s="7">
        <v>2201010871</v>
      </c>
      <c r="F123" s="7" t="s">
        <v>1803</v>
      </c>
      <c r="G123" s="7" t="s">
        <v>13</v>
      </c>
      <c r="H123" s="6" t="s">
        <v>1077</v>
      </c>
      <c r="I123" s="6" t="s">
        <v>2056</v>
      </c>
      <c r="J123" s="6" t="s">
        <v>2057</v>
      </c>
      <c r="K123" s="6" t="s">
        <v>15</v>
      </c>
      <c r="L123" s="6" t="s">
        <v>21</v>
      </c>
      <c r="M123" s="6" t="s">
        <v>117</v>
      </c>
      <c r="N123" s="7" t="s">
        <v>18</v>
      </c>
      <c r="O123" s="23" t="s">
        <v>3611</v>
      </c>
      <c r="R123" s="23" t="s">
        <v>3612</v>
      </c>
      <c r="S123" s="2" t="s">
        <v>3613</v>
      </c>
      <c r="T123" s="2" t="s">
        <v>3614</v>
      </c>
      <c r="U123" s="2" t="s">
        <v>3615</v>
      </c>
      <c r="V123" s="23" t="s">
        <v>3616</v>
      </c>
      <c r="W123" s="24" t="s">
        <v>3617</v>
      </c>
      <c r="X123" s="23" t="s">
        <v>3618</v>
      </c>
      <c r="Y123" s="23" t="s">
        <v>3619</v>
      </c>
      <c r="Z123" s="23" t="s">
        <v>3620</v>
      </c>
      <c r="AA123" s="23" t="s">
        <v>3621</v>
      </c>
      <c r="AB123" s="8"/>
      <c r="AC123" s="8"/>
      <c r="AD123" s="8"/>
    </row>
    <row r="124" spans="1:30" ht="15.75" customHeight="1">
      <c r="A124" s="4" t="s">
        <v>770</v>
      </c>
      <c r="B124" s="5">
        <v>2402</v>
      </c>
      <c r="C124" s="6" t="s">
        <v>1120</v>
      </c>
      <c r="D124" s="7">
        <v>2022615611</v>
      </c>
      <c r="E124" s="7">
        <v>2201010902</v>
      </c>
      <c r="F124" s="7" t="s">
        <v>1803</v>
      </c>
      <c r="G124" s="7" t="s">
        <v>13</v>
      </c>
      <c r="H124" s="6" t="s">
        <v>1121</v>
      </c>
      <c r="I124" s="6" t="s">
        <v>2058</v>
      </c>
      <c r="J124" s="6" t="s">
        <v>2059</v>
      </c>
      <c r="K124" s="6" t="s">
        <v>15</v>
      </c>
      <c r="L124" s="6" t="s">
        <v>117</v>
      </c>
      <c r="M124" s="6" t="s">
        <v>149</v>
      </c>
      <c r="N124" s="7" t="s">
        <v>18</v>
      </c>
      <c r="O124" s="23" t="s">
        <v>3611</v>
      </c>
      <c r="R124" s="23" t="s">
        <v>3612</v>
      </c>
      <c r="S124" s="2" t="s">
        <v>3613</v>
      </c>
      <c r="T124" s="2" t="s">
        <v>3614</v>
      </c>
      <c r="U124" s="2" t="s">
        <v>3615</v>
      </c>
      <c r="V124" s="23" t="s">
        <v>3616</v>
      </c>
      <c r="W124" s="24" t="s">
        <v>3617</v>
      </c>
      <c r="X124" s="23" t="s">
        <v>3618</v>
      </c>
      <c r="Y124" s="23" t="s">
        <v>3619</v>
      </c>
      <c r="Z124" s="23" t="s">
        <v>3620</v>
      </c>
      <c r="AA124" s="23" t="s">
        <v>3621</v>
      </c>
      <c r="AB124" s="8"/>
      <c r="AC124" s="8"/>
      <c r="AD124" s="8"/>
    </row>
    <row r="125" spans="1:30" ht="15.75" customHeight="1">
      <c r="A125" s="4" t="s">
        <v>770</v>
      </c>
      <c r="B125" s="5">
        <v>2402</v>
      </c>
      <c r="C125" s="6" t="s">
        <v>1122</v>
      </c>
      <c r="D125" s="7">
        <v>2022624448</v>
      </c>
      <c r="E125" s="7">
        <v>2201010907</v>
      </c>
      <c r="F125" s="7" t="s">
        <v>1803</v>
      </c>
      <c r="G125" s="7" t="s">
        <v>13</v>
      </c>
      <c r="H125" s="6" t="s">
        <v>1123</v>
      </c>
      <c r="I125" s="6" t="s">
        <v>2060</v>
      </c>
      <c r="J125" s="6" t="s">
        <v>2061</v>
      </c>
      <c r="K125" s="6" t="s">
        <v>15</v>
      </c>
      <c r="L125" s="6" t="s">
        <v>117</v>
      </c>
      <c r="M125" s="6" t="s">
        <v>21</v>
      </c>
      <c r="N125" s="7" t="s">
        <v>18</v>
      </c>
      <c r="O125" s="23" t="s">
        <v>3611</v>
      </c>
      <c r="R125" s="23" t="s">
        <v>3612</v>
      </c>
      <c r="S125" s="2" t="s">
        <v>3613</v>
      </c>
      <c r="T125" s="2" t="s">
        <v>3614</v>
      </c>
      <c r="U125" s="2" t="s">
        <v>3615</v>
      </c>
      <c r="V125" s="23" t="s">
        <v>3616</v>
      </c>
      <c r="W125" s="24" t="s">
        <v>3617</v>
      </c>
      <c r="X125" s="23" t="s">
        <v>3618</v>
      </c>
      <c r="Y125" s="23" t="s">
        <v>3619</v>
      </c>
      <c r="Z125" s="23" t="s">
        <v>3620</v>
      </c>
      <c r="AA125" s="23" t="s">
        <v>3621</v>
      </c>
      <c r="AB125" s="8"/>
      <c r="AC125" s="8"/>
      <c r="AD125" s="8"/>
    </row>
    <row r="126" spans="1:30" ht="15.75" customHeight="1">
      <c r="A126" s="4" t="s">
        <v>770</v>
      </c>
      <c r="B126" s="5">
        <v>2402</v>
      </c>
      <c r="C126" s="6" t="s">
        <v>1126</v>
      </c>
      <c r="D126" s="7">
        <v>2022831961</v>
      </c>
      <c r="E126" s="7">
        <v>2201010909</v>
      </c>
      <c r="F126" s="7" t="s">
        <v>1803</v>
      </c>
      <c r="G126" s="7" t="s">
        <v>13</v>
      </c>
      <c r="H126" s="6" t="s">
        <v>1127</v>
      </c>
      <c r="I126" s="6" t="s">
        <v>2062</v>
      </c>
      <c r="J126" s="6" t="s">
        <v>2063</v>
      </c>
      <c r="K126" s="6" t="s">
        <v>15</v>
      </c>
      <c r="L126" s="6" t="s">
        <v>117</v>
      </c>
      <c r="M126" s="6" t="s">
        <v>21</v>
      </c>
      <c r="N126" s="7" t="s">
        <v>18</v>
      </c>
      <c r="O126" s="23" t="s">
        <v>3611</v>
      </c>
      <c r="R126" s="23" t="s">
        <v>3612</v>
      </c>
      <c r="S126" s="2" t="s">
        <v>3613</v>
      </c>
      <c r="T126" s="2" t="s">
        <v>3614</v>
      </c>
      <c r="U126" s="2" t="s">
        <v>3615</v>
      </c>
      <c r="V126" s="23" t="s">
        <v>3616</v>
      </c>
      <c r="W126" s="24" t="s">
        <v>3617</v>
      </c>
      <c r="X126" s="23" t="s">
        <v>3618</v>
      </c>
      <c r="Y126" s="23" t="s">
        <v>3619</v>
      </c>
      <c r="Z126" s="23" t="s">
        <v>3620</v>
      </c>
      <c r="AA126" s="23" t="s">
        <v>3621</v>
      </c>
    </row>
    <row r="127" spans="1:30" ht="15.75" customHeight="1">
      <c r="A127" s="10" t="s">
        <v>770</v>
      </c>
      <c r="B127" s="5">
        <v>2402</v>
      </c>
      <c r="C127" s="6" t="s">
        <v>771</v>
      </c>
      <c r="D127" s="7">
        <v>2022836161</v>
      </c>
      <c r="E127" s="7">
        <v>2201010911</v>
      </c>
      <c r="F127" s="7" t="s">
        <v>1803</v>
      </c>
      <c r="G127" s="7" t="s">
        <v>13</v>
      </c>
      <c r="H127" s="6" t="s">
        <v>772</v>
      </c>
      <c r="I127" s="6" t="s">
        <v>2064</v>
      </c>
      <c r="J127" s="6" t="s">
        <v>2065</v>
      </c>
      <c r="K127" s="6" t="s">
        <v>15</v>
      </c>
      <c r="L127" s="6" t="s">
        <v>21</v>
      </c>
      <c r="M127" s="6" t="s">
        <v>117</v>
      </c>
      <c r="N127" s="7" t="s">
        <v>18</v>
      </c>
      <c r="O127" s="23" t="s">
        <v>3611</v>
      </c>
      <c r="R127" s="23" t="s">
        <v>3612</v>
      </c>
      <c r="S127" s="2" t="s">
        <v>3613</v>
      </c>
      <c r="T127" s="2" t="s">
        <v>3614</v>
      </c>
      <c r="U127" s="2" t="s">
        <v>3615</v>
      </c>
      <c r="V127" s="23" t="s">
        <v>3616</v>
      </c>
      <c r="W127" s="24" t="s">
        <v>3617</v>
      </c>
      <c r="X127" s="23" t="s">
        <v>3618</v>
      </c>
      <c r="Y127" s="23" t="s">
        <v>3619</v>
      </c>
      <c r="Z127" s="23" t="s">
        <v>3620</v>
      </c>
      <c r="AA127" s="23" t="s">
        <v>3621</v>
      </c>
    </row>
    <row r="128" spans="1:30" ht="15.75" customHeight="1">
      <c r="A128" s="10" t="s">
        <v>770</v>
      </c>
      <c r="B128" s="5">
        <v>2402</v>
      </c>
      <c r="C128" s="6" t="s">
        <v>780</v>
      </c>
      <c r="D128" s="7">
        <v>2023526347</v>
      </c>
      <c r="E128" s="7">
        <v>2301017007</v>
      </c>
      <c r="F128" s="7" t="s">
        <v>1803</v>
      </c>
      <c r="G128" s="7" t="s">
        <v>13</v>
      </c>
      <c r="H128" s="6" t="s">
        <v>781</v>
      </c>
      <c r="I128" s="6" t="s">
        <v>2066</v>
      </c>
      <c r="J128" s="6" t="s">
        <v>2067</v>
      </c>
      <c r="K128" s="6" t="s">
        <v>15</v>
      </c>
      <c r="L128" s="6" t="s">
        <v>117</v>
      </c>
      <c r="M128" s="6" t="s">
        <v>104</v>
      </c>
      <c r="N128" s="7" t="s">
        <v>18</v>
      </c>
      <c r="O128" s="23" t="s">
        <v>3611</v>
      </c>
      <c r="R128" s="23" t="s">
        <v>3612</v>
      </c>
      <c r="S128" s="2" t="s">
        <v>3613</v>
      </c>
      <c r="T128" s="2" t="s">
        <v>3614</v>
      </c>
      <c r="U128" s="2" t="s">
        <v>3615</v>
      </c>
      <c r="V128" s="23" t="s">
        <v>3616</v>
      </c>
      <c r="W128" s="24" t="s">
        <v>3617</v>
      </c>
      <c r="X128" s="23" t="s">
        <v>3618</v>
      </c>
      <c r="Y128" s="23" t="s">
        <v>3619</v>
      </c>
      <c r="Z128" s="23" t="s">
        <v>3620</v>
      </c>
      <c r="AA128" s="23" t="s">
        <v>3621</v>
      </c>
    </row>
    <row r="129" spans="1:27" ht="15.75" customHeight="1">
      <c r="A129" s="4" t="s">
        <v>261</v>
      </c>
      <c r="B129" s="5">
        <v>2402</v>
      </c>
      <c r="C129" s="6" t="s">
        <v>387</v>
      </c>
      <c r="D129" s="7">
        <v>2021463218</v>
      </c>
      <c r="E129" s="7">
        <v>210101493</v>
      </c>
      <c r="F129" s="7" t="s">
        <v>1804</v>
      </c>
      <c r="G129" s="7" t="s">
        <v>13</v>
      </c>
      <c r="H129" s="11" t="s">
        <v>388</v>
      </c>
      <c r="I129" s="6" t="s">
        <v>2068</v>
      </c>
      <c r="J129" s="6" t="s">
        <v>2069</v>
      </c>
      <c r="K129" s="6" t="s">
        <v>15</v>
      </c>
      <c r="L129" s="6" t="e">
        <v>#N/A</v>
      </c>
      <c r="M129" s="6" t="e">
        <v>#N/A</v>
      </c>
      <c r="N129" s="7" t="e">
        <v>#N/A</v>
      </c>
      <c r="O129" s="23" t="s">
        <v>3611</v>
      </c>
      <c r="R129" s="23" t="s">
        <v>3612</v>
      </c>
      <c r="S129" s="2" t="s">
        <v>3613</v>
      </c>
      <c r="T129" s="2" t="s">
        <v>3614</v>
      </c>
      <c r="U129" s="2" t="s">
        <v>3615</v>
      </c>
      <c r="V129" s="23" t="s">
        <v>3616</v>
      </c>
      <c r="W129" s="24" t="s">
        <v>3617</v>
      </c>
      <c r="X129" s="23" t="s">
        <v>3618</v>
      </c>
      <c r="Y129" s="23" t="s">
        <v>3619</v>
      </c>
      <c r="Z129" s="23" t="s">
        <v>3620</v>
      </c>
      <c r="AA129" s="23" t="s">
        <v>3621</v>
      </c>
    </row>
    <row r="130" spans="1:27" ht="15.75" customHeight="1">
      <c r="A130" s="4" t="s">
        <v>261</v>
      </c>
      <c r="B130" s="5">
        <v>2402</v>
      </c>
      <c r="C130" s="6" t="s">
        <v>357</v>
      </c>
      <c r="D130" s="7">
        <v>2022509625</v>
      </c>
      <c r="E130" s="7">
        <v>2201010018</v>
      </c>
      <c r="F130" s="7" t="s">
        <v>1804</v>
      </c>
      <c r="G130" s="7" t="s">
        <v>13</v>
      </c>
      <c r="H130" s="6" t="s">
        <v>358</v>
      </c>
      <c r="I130" s="6" t="s">
        <v>2070</v>
      </c>
      <c r="J130" s="6" t="s">
        <v>2071</v>
      </c>
      <c r="K130" s="6" t="s">
        <v>15</v>
      </c>
      <c r="L130" s="6" t="s">
        <v>149</v>
      </c>
      <c r="M130" s="6" t="s">
        <v>117</v>
      </c>
      <c r="N130" s="7" t="s">
        <v>18</v>
      </c>
      <c r="O130" s="23" t="s">
        <v>3611</v>
      </c>
      <c r="R130" s="23" t="s">
        <v>3612</v>
      </c>
      <c r="S130" s="2" t="s">
        <v>3613</v>
      </c>
      <c r="T130" s="2" t="s">
        <v>3614</v>
      </c>
      <c r="U130" s="2" t="s">
        <v>3615</v>
      </c>
      <c r="V130" s="23" t="s">
        <v>3616</v>
      </c>
      <c r="W130" s="24" t="s">
        <v>3617</v>
      </c>
      <c r="X130" s="23" t="s">
        <v>3618</v>
      </c>
      <c r="Y130" s="23" t="s">
        <v>3619</v>
      </c>
      <c r="Z130" s="23" t="s">
        <v>3620</v>
      </c>
      <c r="AA130" s="23" t="s">
        <v>3621</v>
      </c>
    </row>
    <row r="131" spans="1:27" ht="15.75" customHeight="1">
      <c r="A131" s="4" t="s">
        <v>261</v>
      </c>
      <c r="B131" s="5">
        <v>2402</v>
      </c>
      <c r="C131" s="6" t="s">
        <v>302</v>
      </c>
      <c r="D131" s="7">
        <v>2022344459</v>
      </c>
      <c r="E131" s="7">
        <v>2201010069</v>
      </c>
      <c r="F131" s="7" t="s">
        <v>1804</v>
      </c>
      <c r="G131" s="7" t="s">
        <v>13</v>
      </c>
      <c r="H131" s="6" t="s">
        <v>303</v>
      </c>
      <c r="I131" s="6" t="s">
        <v>2072</v>
      </c>
      <c r="J131" s="6" t="s">
        <v>2073</v>
      </c>
      <c r="K131" s="6" t="s">
        <v>15</v>
      </c>
      <c r="L131" s="6" t="s">
        <v>149</v>
      </c>
      <c r="M131" s="6" t="s">
        <v>21</v>
      </c>
      <c r="N131" s="7" t="s">
        <v>18</v>
      </c>
      <c r="O131" s="23" t="s">
        <v>3611</v>
      </c>
      <c r="R131" s="23" t="s">
        <v>3612</v>
      </c>
      <c r="S131" s="2" t="s">
        <v>3613</v>
      </c>
      <c r="T131" s="2" t="s">
        <v>3614</v>
      </c>
      <c r="U131" s="2" t="s">
        <v>3615</v>
      </c>
      <c r="V131" s="23" t="s">
        <v>3616</v>
      </c>
      <c r="W131" s="24" t="s">
        <v>3617</v>
      </c>
      <c r="X131" s="23" t="s">
        <v>3618</v>
      </c>
      <c r="Y131" s="23" t="s">
        <v>3619</v>
      </c>
      <c r="Z131" s="23" t="s">
        <v>3620</v>
      </c>
      <c r="AA131" s="23" t="s">
        <v>3621</v>
      </c>
    </row>
    <row r="132" spans="1:27" ht="15.75" customHeight="1">
      <c r="A132" s="4" t="s">
        <v>261</v>
      </c>
      <c r="B132" s="5">
        <v>2402</v>
      </c>
      <c r="C132" s="6" t="s">
        <v>317</v>
      </c>
      <c r="D132" s="7">
        <v>2022448509</v>
      </c>
      <c r="E132" s="7">
        <v>2201010118</v>
      </c>
      <c r="F132" s="7" t="s">
        <v>1804</v>
      </c>
      <c r="G132" s="7" t="s">
        <v>13</v>
      </c>
      <c r="H132" s="6" t="s">
        <v>318</v>
      </c>
      <c r="I132" s="6" t="s">
        <v>2074</v>
      </c>
      <c r="J132" s="6" t="s">
        <v>2075</v>
      </c>
      <c r="K132" s="6" t="s">
        <v>15</v>
      </c>
      <c r="L132" s="6" t="s">
        <v>149</v>
      </c>
      <c r="M132" s="6" t="s">
        <v>149</v>
      </c>
      <c r="N132" s="7" t="s">
        <v>18</v>
      </c>
      <c r="O132" s="23" t="s">
        <v>3611</v>
      </c>
      <c r="R132" s="23" t="s">
        <v>3612</v>
      </c>
      <c r="S132" s="2" t="s">
        <v>3613</v>
      </c>
      <c r="T132" s="2" t="s">
        <v>3614</v>
      </c>
      <c r="U132" s="2" t="s">
        <v>3615</v>
      </c>
      <c r="V132" s="23" t="s">
        <v>3616</v>
      </c>
      <c r="W132" s="24" t="s">
        <v>3617</v>
      </c>
      <c r="X132" s="23" t="s">
        <v>3618</v>
      </c>
      <c r="Y132" s="23" t="s">
        <v>3619</v>
      </c>
      <c r="Z132" s="23" t="s">
        <v>3620</v>
      </c>
      <c r="AA132" s="23" t="s">
        <v>3621</v>
      </c>
    </row>
    <row r="133" spans="1:27" ht="15.75" customHeight="1">
      <c r="A133" s="4" t="s">
        <v>261</v>
      </c>
      <c r="B133" s="5">
        <v>2402</v>
      </c>
      <c r="C133" s="6" t="s">
        <v>333</v>
      </c>
      <c r="D133" s="7">
        <v>2022480934</v>
      </c>
      <c r="E133" s="7">
        <v>2201010119</v>
      </c>
      <c r="F133" s="7" t="s">
        <v>1804</v>
      </c>
      <c r="G133" s="7" t="s">
        <v>13</v>
      </c>
      <c r="H133" s="6" t="s">
        <v>334</v>
      </c>
      <c r="I133" s="6" t="s">
        <v>2076</v>
      </c>
      <c r="J133" s="6" t="s">
        <v>2077</v>
      </c>
      <c r="K133" s="6" t="s">
        <v>15</v>
      </c>
      <c r="L133" s="6" t="s">
        <v>149</v>
      </c>
      <c r="M133" s="6" t="s">
        <v>26</v>
      </c>
      <c r="N133" s="7" t="s">
        <v>18</v>
      </c>
      <c r="O133" s="23" t="s">
        <v>3611</v>
      </c>
      <c r="R133" s="23" t="s">
        <v>3612</v>
      </c>
      <c r="S133" s="2" t="s">
        <v>3613</v>
      </c>
      <c r="T133" s="2" t="s">
        <v>3614</v>
      </c>
      <c r="U133" s="2" t="s">
        <v>3615</v>
      </c>
      <c r="V133" s="23" t="s">
        <v>3616</v>
      </c>
      <c r="W133" s="24" t="s">
        <v>3617</v>
      </c>
      <c r="X133" s="23" t="s">
        <v>3618</v>
      </c>
      <c r="Y133" s="23" t="s">
        <v>3619</v>
      </c>
      <c r="Z133" s="23" t="s">
        <v>3620</v>
      </c>
      <c r="AA133" s="23" t="s">
        <v>3621</v>
      </c>
    </row>
    <row r="134" spans="1:27" ht="15.75" customHeight="1">
      <c r="A134" s="4" t="s">
        <v>261</v>
      </c>
      <c r="B134" s="5">
        <v>2402</v>
      </c>
      <c r="C134" s="6" t="s">
        <v>262</v>
      </c>
      <c r="D134" s="7">
        <v>2022000982</v>
      </c>
      <c r="E134" s="7">
        <v>2201010125</v>
      </c>
      <c r="F134" s="7" t="s">
        <v>1804</v>
      </c>
      <c r="G134" s="7" t="s">
        <v>13</v>
      </c>
      <c r="H134" s="6" t="s">
        <v>263</v>
      </c>
      <c r="I134" s="6" t="s">
        <v>2078</v>
      </c>
      <c r="J134" s="6" t="s">
        <v>2079</v>
      </c>
      <c r="K134" s="6" t="s">
        <v>15</v>
      </c>
      <c r="L134" s="6" t="s">
        <v>21</v>
      </c>
      <c r="M134" s="6" t="s">
        <v>104</v>
      </c>
      <c r="N134" s="7" t="s">
        <v>18</v>
      </c>
      <c r="O134" s="23" t="s">
        <v>3611</v>
      </c>
      <c r="R134" s="23" t="s">
        <v>3612</v>
      </c>
      <c r="S134" s="2" t="s">
        <v>3613</v>
      </c>
      <c r="T134" s="2" t="s">
        <v>3614</v>
      </c>
      <c r="U134" s="2" t="s">
        <v>3615</v>
      </c>
      <c r="V134" s="23" t="s">
        <v>3616</v>
      </c>
      <c r="W134" s="24" t="s">
        <v>3617</v>
      </c>
      <c r="X134" s="23" t="s">
        <v>3618</v>
      </c>
      <c r="Y134" s="23" t="s">
        <v>3619</v>
      </c>
      <c r="Z134" s="23" t="s">
        <v>3620</v>
      </c>
      <c r="AA134" s="23" t="s">
        <v>3621</v>
      </c>
    </row>
    <row r="135" spans="1:27" ht="15.75" customHeight="1">
      <c r="A135" s="4" t="s">
        <v>261</v>
      </c>
      <c r="B135" s="5">
        <v>2402</v>
      </c>
      <c r="C135" s="6" t="s">
        <v>349</v>
      </c>
      <c r="D135" s="7">
        <v>2022506074</v>
      </c>
      <c r="E135" s="7">
        <v>2201010150</v>
      </c>
      <c r="F135" s="7" t="s">
        <v>1804</v>
      </c>
      <c r="G135" s="7" t="s">
        <v>13</v>
      </c>
      <c r="H135" s="6" t="s">
        <v>350</v>
      </c>
      <c r="I135" s="6" t="s">
        <v>2080</v>
      </c>
      <c r="J135" s="6" t="s">
        <v>2081</v>
      </c>
      <c r="K135" s="6" t="s">
        <v>15</v>
      </c>
      <c r="L135" s="6" t="s">
        <v>149</v>
      </c>
      <c r="M135" s="6" t="s">
        <v>21</v>
      </c>
      <c r="N135" s="7" t="s">
        <v>18</v>
      </c>
      <c r="O135" s="23" t="s">
        <v>3611</v>
      </c>
      <c r="R135" s="23" t="s">
        <v>3612</v>
      </c>
      <c r="S135" s="2" t="s">
        <v>3613</v>
      </c>
      <c r="T135" s="2" t="s">
        <v>3614</v>
      </c>
      <c r="U135" s="2" t="s">
        <v>3615</v>
      </c>
      <c r="V135" s="23" t="s">
        <v>3616</v>
      </c>
      <c r="W135" s="24" t="s">
        <v>3617</v>
      </c>
      <c r="X135" s="23" t="s">
        <v>3618</v>
      </c>
      <c r="Y135" s="23" t="s">
        <v>3619</v>
      </c>
      <c r="Z135" s="23" t="s">
        <v>3620</v>
      </c>
      <c r="AA135" s="23" t="s">
        <v>3621</v>
      </c>
    </row>
    <row r="136" spans="1:27" ht="15.75" customHeight="1">
      <c r="A136" s="4" t="s">
        <v>261</v>
      </c>
      <c r="B136" s="5">
        <v>2402</v>
      </c>
      <c r="C136" s="6" t="s">
        <v>315</v>
      </c>
      <c r="D136" s="7">
        <v>2022446378</v>
      </c>
      <c r="E136" s="7">
        <v>2201010160</v>
      </c>
      <c r="F136" s="7" t="s">
        <v>1804</v>
      </c>
      <c r="G136" s="7" t="s">
        <v>13</v>
      </c>
      <c r="H136" s="6" t="s">
        <v>316</v>
      </c>
      <c r="I136" s="6" t="s">
        <v>2082</v>
      </c>
      <c r="J136" s="6" t="s">
        <v>2083</v>
      </c>
      <c r="K136" s="6" t="s">
        <v>15</v>
      </c>
      <c r="L136" s="6" t="s">
        <v>21</v>
      </c>
      <c r="M136" s="6" t="s">
        <v>17</v>
      </c>
      <c r="N136" s="7" t="s">
        <v>18</v>
      </c>
      <c r="O136" s="23" t="s">
        <v>3611</v>
      </c>
      <c r="R136" s="23" t="s">
        <v>3612</v>
      </c>
      <c r="S136" s="2" t="s">
        <v>3613</v>
      </c>
      <c r="T136" s="2" t="s">
        <v>3614</v>
      </c>
      <c r="U136" s="2" t="s">
        <v>3615</v>
      </c>
      <c r="V136" s="23" t="s">
        <v>3616</v>
      </c>
      <c r="W136" s="24" t="s">
        <v>3617</v>
      </c>
      <c r="X136" s="23" t="s">
        <v>3618</v>
      </c>
      <c r="Y136" s="23" t="s">
        <v>3619</v>
      </c>
      <c r="Z136" s="23" t="s">
        <v>3620</v>
      </c>
      <c r="AA136" s="23" t="s">
        <v>3621</v>
      </c>
    </row>
    <row r="137" spans="1:27" ht="15.75" customHeight="1">
      <c r="A137" s="4" t="s">
        <v>261</v>
      </c>
      <c r="B137" s="5">
        <v>2402</v>
      </c>
      <c r="C137" s="6" t="s">
        <v>319</v>
      </c>
      <c r="D137" s="7">
        <v>2022462663</v>
      </c>
      <c r="E137" s="7">
        <v>2201010204</v>
      </c>
      <c r="F137" s="7" t="s">
        <v>1804</v>
      </c>
      <c r="G137" s="7" t="s">
        <v>13</v>
      </c>
      <c r="H137" s="6" t="s">
        <v>320</v>
      </c>
      <c r="I137" s="6" t="s">
        <v>2084</v>
      </c>
      <c r="J137" s="6" t="s">
        <v>2085</v>
      </c>
      <c r="K137" s="6" t="s">
        <v>15</v>
      </c>
      <c r="L137" s="6" t="s">
        <v>21</v>
      </c>
      <c r="M137" s="6" t="s">
        <v>117</v>
      </c>
      <c r="N137" s="7" t="s">
        <v>18</v>
      </c>
      <c r="O137" s="23" t="s">
        <v>3611</v>
      </c>
      <c r="R137" s="23" t="s">
        <v>3612</v>
      </c>
      <c r="S137" s="2" t="s">
        <v>3613</v>
      </c>
      <c r="T137" s="2" t="s">
        <v>3614</v>
      </c>
      <c r="U137" s="2" t="s">
        <v>3615</v>
      </c>
      <c r="V137" s="23" t="s">
        <v>3616</v>
      </c>
      <c r="W137" s="24" t="s">
        <v>3617</v>
      </c>
      <c r="X137" s="23" t="s">
        <v>3618</v>
      </c>
      <c r="Y137" s="23" t="s">
        <v>3619</v>
      </c>
      <c r="Z137" s="23" t="s">
        <v>3620</v>
      </c>
      <c r="AA137" s="23" t="s">
        <v>3621</v>
      </c>
    </row>
    <row r="138" spans="1:27" ht="15.75" customHeight="1">
      <c r="A138" s="4" t="s">
        <v>261</v>
      </c>
      <c r="B138" s="5">
        <v>2402</v>
      </c>
      <c r="C138" s="6" t="s">
        <v>339</v>
      </c>
      <c r="D138" s="7">
        <v>2022487133</v>
      </c>
      <c r="E138" s="7">
        <v>2201010227</v>
      </c>
      <c r="F138" s="7" t="s">
        <v>1804</v>
      </c>
      <c r="G138" s="7" t="s">
        <v>13</v>
      </c>
      <c r="H138" s="6" t="s">
        <v>340</v>
      </c>
      <c r="I138" s="6" t="s">
        <v>2086</v>
      </c>
      <c r="J138" s="6" t="s">
        <v>2087</v>
      </c>
      <c r="K138" s="6" t="s">
        <v>15</v>
      </c>
      <c r="L138" s="6" t="s">
        <v>21</v>
      </c>
      <c r="M138" s="6" t="s">
        <v>149</v>
      </c>
      <c r="N138" s="7" t="s">
        <v>18</v>
      </c>
      <c r="O138" s="23" t="s">
        <v>3611</v>
      </c>
      <c r="R138" s="23" t="s">
        <v>3612</v>
      </c>
      <c r="S138" s="2" t="s">
        <v>3613</v>
      </c>
      <c r="T138" s="2" t="s">
        <v>3614</v>
      </c>
      <c r="U138" s="2" t="s">
        <v>3615</v>
      </c>
      <c r="V138" s="23" t="s">
        <v>3616</v>
      </c>
      <c r="W138" s="24" t="s">
        <v>3617</v>
      </c>
      <c r="X138" s="23" t="s">
        <v>3618</v>
      </c>
      <c r="Y138" s="23" t="s">
        <v>3619</v>
      </c>
      <c r="Z138" s="23" t="s">
        <v>3620</v>
      </c>
      <c r="AA138" s="23" t="s">
        <v>3621</v>
      </c>
    </row>
    <row r="139" spans="1:27" ht="15.75" customHeight="1">
      <c r="A139" s="4" t="s">
        <v>261</v>
      </c>
      <c r="B139" s="5">
        <v>2402</v>
      </c>
      <c r="C139" s="6" t="s">
        <v>327</v>
      </c>
      <c r="D139" s="7">
        <v>2022476992</v>
      </c>
      <c r="E139" s="7">
        <v>2201010263</v>
      </c>
      <c r="F139" s="7" t="s">
        <v>1804</v>
      </c>
      <c r="G139" s="7" t="s">
        <v>13</v>
      </c>
      <c r="H139" s="6" t="s">
        <v>328</v>
      </c>
      <c r="I139" s="6" t="s">
        <v>2088</v>
      </c>
      <c r="J139" s="6" t="s">
        <v>2089</v>
      </c>
      <c r="K139" s="6" t="s">
        <v>15</v>
      </c>
      <c r="L139" s="6" t="s">
        <v>49</v>
      </c>
      <c r="M139" s="6" t="s">
        <v>21</v>
      </c>
      <c r="N139" s="7" t="s">
        <v>18</v>
      </c>
      <c r="O139" s="23" t="s">
        <v>3611</v>
      </c>
      <c r="R139" s="23" t="s">
        <v>3612</v>
      </c>
      <c r="S139" s="2" t="s">
        <v>3613</v>
      </c>
      <c r="T139" s="2" t="s">
        <v>3614</v>
      </c>
      <c r="U139" s="2" t="s">
        <v>3615</v>
      </c>
      <c r="V139" s="23" t="s">
        <v>3616</v>
      </c>
      <c r="W139" s="24" t="s">
        <v>3617</v>
      </c>
      <c r="X139" s="23" t="s">
        <v>3618</v>
      </c>
      <c r="Y139" s="23" t="s">
        <v>3619</v>
      </c>
      <c r="Z139" s="23" t="s">
        <v>3620</v>
      </c>
      <c r="AA139" s="23" t="s">
        <v>3621</v>
      </c>
    </row>
    <row r="140" spans="1:27" ht="15.75" customHeight="1">
      <c r="A140" s="4" t="s">
        <v>261</v>
      </c>
      <c r="B140" s="5">
        <v>2402</v>
      </c>
      <c r="C140" s="6" t="s">
        <v>337</v>
      </c>
      <c r="D140" s="7">
        <v>2022482951</v>
      </c>
      <c r="E140" s="7">
        <v>2201010270</v>
      </c>
      <c r="F140" s="7" t="s">
        <v>1804</v>
      </c>
      <c r="G140" s="7" t="s">
        <v>13</v>
      </c>
      <c r="H140" s="6" t="s">
        <v>338</v>
      </c>
      <c r="I140" s="6" t="s">
        <v>2090</v>
      </c>
      <c r="J140" s="6" t="s">
        <v>2091</v>
      </c>
      <c r="K140" s="6" t="s">
        <v>15</v>
      </c>
      <c r="L140" s="6" t="s">
        <v>21</v>
      </c>
      <c r="M140" s="6" t="s">
        <v>149</v>
      </c>
      <c r="N140" s="7" t="s">
        <v>18</v>
      </c>
      <c r="O140" s="23" t="s">
        <v>3611</v>
      </c>
      <c r="R140" s="23" t="s">
        <v>3612</v>
      </c>
      <c r="S140" s="2" t="s">
        <v>3613</v>
      </c>
      <c r="T140" s="2" t="s">
        <v>3614</v>
      </c>
      <c r="U140" s="2" t="s">
        <v>3615</v>
      </c>
      <c r="V140" s="23" t="s">
        <v>3616</v>
      </c>
      <c r="W140" s="24" t="s">
        <v>3617</v>
      </c>
      <c r="X140" s="23" t="s">
        <v>3618</v>
      </c>
      <c r="Y140" s="23" t="s">
        <v>3619</v>
      </c>
      <c r="Z140" s="23" t="s">
        <v>3620</v>
      </c>
      <c r="AA140" s="23" t="s">
        <v>3621</v>
      </c>
    </row>
    <row r="141" spans="1:27" ht="15.75" customHeight="1">
      <c r="A141" s="4" t="s">
        <v>261</v>
      </c>
      <c r="B141" s="5">
        <v>2402</v>
      </c>
      <c r="C141" s="6" t="s">
        <v>313</v>
      </c>
      <c r="D141" s="7">
        <v>2022441875</v>
      </c>
      <c r="E141" s="7">
        <v>2201010284</v>
      </c>
      <c r="F141" s="7" t="s">
        <v>1804</v>
      </c>
      <c r="G141" s="7" t="s">
        <v>13</v>
      </c>
      <c r="H141" s="6" t="s">
        <v>314</v>
      </c>
      <c r="I141" s="6" t="s">
        <v>2092</v>
      </c>
      <c r="J141" s="6" t="s">
        <v>2093</v>
      </c>
      <c r="K141" s="6" t="s">
        <v>15</v>
      </c>
      <c r="L141" s="6" t="s">
        <v>149</v>
      </c>
      <c r="M141" s="6" t="s">
        <v>16</v>
      </c>
      <c r="N141" s="7" t="s">
        <v>18</v>
      </c>
      <c r="O141" s="23" t="s">
        <v>3611</v>
      </c>
      <c r="R141" s="23" t="s">
        <v>3612</v>
      </c>
      <c r="S141" s="2" t="s">
        <v>3613</v>
      </c>
      <c r="T141" s="2" t="s">
        <v>3614</v>
      </c>
      <c r="U141" s="2" t="s">
        <v>3615</v>
      </c>
      <c r="V141" s="23" t="s">
        <v>3616</v>
      </c>
      <c r="W141" s="24" t="s">
        <v>3617</v>
      </c>
      <c r="X141" s="23" t="s">
        <v>3618</v>
      </c>
      <c r="Y141" s="23" t="s">
        <v>3619</v>
      </c>
      <c r="Z141" s="23" t="s">
        <v>3620</v>
      </c>
      <c r="AA141" s="23" t="s">
        <v>3621</v>
      </c>
    </row>
    <row r="142" spans="1:27" ht="15.75" customHeight="1">
      <c r="A142" s="4" t="s">
        <v>261</v>
      </c>
      <c r="B142" s="5">
        <v>2402</v>
      </c>
      <c r="C142" s="6" t="s">
        <v>323</v>
      </c>
      <c r="D142" s="7">
        <v>2022472005</v>
      </c>
      <c r="E142" s="7">
        <v>2201010296</v>
      </c>
      <c r="F142" s="7" t="s">
        <v>1804</v>
      </c>
      <c r="G142" s="7" t="s">
        <v>13</v>
      </c>
      <c r="H142" s="6" t="s">
        <v>324</v>
      </c>
      <c r="I142" s="6" t="s">
        <v>2094</v>
      </c>
      <c r="J142" s="6" t="s">
        <v>2095</v>
      </c>
      <c r="K142" s="6" t="s">
        <v>15</v>
      </c>
      <c r="L142" s="6" t="s">
        <v>16</v>
      </c>
      <c r="M142" s="6" t="s">
        <v>17</v>
      </c>
      <c r="N142" s="7" t="s">
        <v>18</v>
      </c>
      <c r="O142" s="23" t="s">
        <v>3611</v>
      </c>
      <c r="R142" s="23" t="s">
        <v>3612</v>
      </c>
      <c r="S142" s="2" t="s">
        <v>3613</v>
      </c>
      <c r="T142" s="2" t="s">
        <v>3614</v>
      </c>
      <c r="U142" s="2" t="s">
        <v>3615</v>
      </c>
      <c r="V142" s="23" t="s">
        <v>3616</v>
      </c>
      <c r="W142" s="24" t="s">
        <v>3617</v>
      </c>
      <c r="X142" s="23" t="s">
        <v>3618</v>
      </c>
      <c r="Y142" s="23" t="s">
        <v>3619</v>
      </c>
      <c r="Z142" s="23" t="s">
        <v>3620</v>
      </c>
      <c r="AA142" s="23" t="s">
        <v>3621</v>
      </c>
    </row>
    <row r="143" spans="1:27" ht="15.75" customHeight="1">
      <c r="A143" s="4" t="s">
        <v>261</v>
      </c>
      <c r="B143" s="5">
        <v>2402</v>
      </c>
      <c r="C143" s="6" t="s">
        <v>274</v>
      </c>
      <c r="D143" s="7">
        <v>2022004703</v>
      </c>
      <c r="E143" s="7">
        <v>2201010314</v>
      </c>
      <c r="F143" s="7" t="s">
        <v>1804</v>
      </c>
      <c r="G143" s="7" t="s">
        <v>13</v>
      </c>
      <c r="H143" s="6" t="s">
        <v>275</v>
      </c>
      <c r="I143" s="6" t="s">
        <v>2096</v>
      </c>
      <c r="J143" s="6" t="s">
        <v>2097</v>
      </c>
      <c r="K143" s="6" t="s">
        <v>15</v>
      </c>
      <c r="L143" s="6" t="s">
        <v>21</v>
      </c>
      <c r="M143" s="6" t="s">
        <v>149</v>
      </c>
      <c r="N143" s="7" t="s">
        <v>18</v>
      </c>
      <c r="O143" s="23" t="s">
        <v>3611</v>
      </c>
      <c r="R143" s="23" t="s">
        <v>3612</v>
      </c>
      <c r="S143" s="2" t="s">
        <v>3613</v>
      </c>
      <c r="T143" s="2" t="s">
        <v>3614</v>
      </c>
      <c r="U143" s="2" t="s">
        <v>3615</v>
      </c>
      <c r="V143" s="23" t="s">
        <v>3616</v>
      </c>
      <c r="W143" s="24" t="s">
        <v>3617</v>
      </c>
      <c r="X143" s="23" t="s">
        <v>3618</v>
      </c>
      <c r="Y143" s="23" t="s">
        <v>3619</v>
      </c>
      <c r="Z143" s="23" t="s">
        <v>3620</v>
      </c>
      <c r="AA143" s="23" t="s">
        <v>3621</v>
      </c>
    </row>
    <row r="144" spans="1:27" ht="15.75" customHeight="1">
      <c r="A144" s="4" t="s">
        <v>261</v>
      </c>
      <c r="B144" s="5">
        <v>2402</v>
      </c>
      <c r="C144" s="6" t="s">
        <v>294</v>
      </c>
      <c r="D144" s="7">
        <v>2022301943</v>
      </c>
      <c r="E144" s="7">
        <v>2201010318</v>
      </c>
      <c r="F144" s="7" t="s">
        <v>1804</v>
      </c>
      <c r="G144" s="7" t="s">
        <v>13</v>
      </c>
      <c r="H144" s="6" t="s">
        <v>295</v>
      </c>
      <c r="I144" s="6" t="s">
        <v>2098</v>
      </c>
      <c r="J144" s="6" t="s">
        <v>2099</v>
      </c>
      <c r="K144" s="6" t="s">
        <v>15</v>
      </c>
      <c r="L144" s="6" t="s">
        <v>21</v>
      </c>
      <c r="M144" s="6" t="s">
        <v>21</v>
      </c>
      <c r="N144" s="7" t="s">
        <v>18</v>
      </c>
      <c r="O144" s="23" t="s">
        <v>3611</v>
      </c>
      <c r="R144" s="23" t="s">
        <v>3612</v>
      </c>
      <c r="S144" s="2" t="s">
        <v>3613</v>
      </c>
      <c r="T144" s="2" t="s">
        <v>3614</v>
      </c>
      <c r="U144" s="2" t="s">
        <v>3615</v>
      </c>
      <c r="V144" s="23" t="s">
        <v>3616</v>
      </c>
      <c r="W144" s="24" t="s">
        <v>3617</v>
      </c>
      <c r="X144" s="23" t="s">
        <v>3618</v>
      </c>
      <c r="Y144" s="23" t="s">
        <v>3619</v>
      </c>
      <c r="Z144" s="23" t="s">
        <v>3620</v>
      </c>
      <c r="AA144" s="23" t="s">
        <v>3621</v>
      </c>
    </row>
    <row r="145" spans="1:30" ht="15.75" customHeight="1">
      <c r="A145" s="4" t="s">
        <v>261</v>
      </c>
      <c r="B145" s="5">
        <v>2402</v>
      </c>
      <c r="C145" s="6" t="s">
        <v>270</v>
      </c>
      <c r="D145" s="7">
        <v>2022004442</v>
      </c>
      <c r="E145" s="7">
        <v>2201010379</v>
      </c>
      <c r="F145" s="7" t="s">
        <v>1804</v>
      </c>
      <c r="G145" s="7" t="s">
        <v>13</v>
      </c>
      <c r="H145" s="6" t="s">
        <v>271</v>
      </c>
      <c r="I145" s="6" t="s">
        <v>2100</v>
      </c>
      <c r="J145" s="6" t="s">
        <v>2101</v>
      </c>
      <c r="K145" s="6" t="s">
        <v>15</v>
      </c>
      <c r="L145" s="6" t="s">
        <v>149</v>
      </c>
      <c r="M145" s="6" t="s">
        <v>117</v>
      </c>
      <c r="N145" s="7" t="s">
        <v>18</v>
      </c>
      <c r="O145" s="23" t="s">
        <v>3611</v>
      </c>
      <c r="R145" s="23" t="s">
        <v>3612</v>
      </c>
      <c r="S145" s="2" t="s">
        <v>3613</v>
      </c>
      <c r="T145" s="2" t="s">
        <v>3614</v>
      </c>
      <c r="U145" s="2" t="s">
        <v>3615</v>
      </c>
      <c r="V145" s="23" t="s">
        <v>3616</v>
      </c>
      <c r="W145" s="24" t="s">
        <v>3617</v>
      </c>
      <c r="X145" s="23" t="s">
        <v>3618</v>
      </c>
      <c r="Y145" s="23" t="s">
        <v>3619</v>
      </c>
      <c r="Z145" s="23" t="s">
        <v>3620</v>
      </c>
      <c r="AA145" s="23" t="s">
        <v>3621</v>
      </c>
    </row>
    <row r="146" spans="1:30" ht="15.75" customHeight="1">
      <c r="A146" s="4" t="s">
        <v>261</v>
      </c>
      <c r="B146" s="5">
        <v>2402</v>
      </c>
      <c r="C146" s="6" t="s">
        <v>331</v>
      </c>
      <c r="D146" s="7">
        <v>2022480728</v>
      </c>
      <c r="E146" s="7">
        <v>2201010389</v>
      </c>
      <c r="F146" s="7" t="s">
        <v>1804</v>
      </c>
      <c r="G146" s="7" t="s">
        <v>13</v>
      </c>
      <c r="H146" s="6" t="s">
        <v>332</v>
      </c>
      <c r="I146" s="6" t="s">
        <v>2102</v>
      </c>
      <c r="J146" s="6" t="s">
        <v>2103</v>
      </c>
      <c r="K146" s="6" t="s">
        <v>15</v>
      </c>
      <c r="L146" s="6" t="s">
        <v>21</v>
      </c>
      <c r="M146" s="6" t="s">
        <v>149</v>
      </c>
      <c r="N146" s="7" t="s">
        <v>18</v>
      </c>
      <c r="O146" s="23" t="s">
        <v>3611</v>
      </c>
      <c r="R146" s="23" t="s">
        <v>3612</v>
      </c>
      <c r="S146" s="2" t="s">
        <v>3613</v>
      </c>
      <c r="T146" s="2" t="s">
        <v>3614</v>
      </c>
      <c r="U146" s="2" t="s">
        <v>3615</v>
      </c>
      <c r="V146" s="23" t="s">
        <v>3616</v>
      </c>
      <c r="W146" s="24" t="s">
        <v>3617</v>
      </c>
      <c r="X146" s="23" t="s">
        <v>3618</v>
      </c>
      <c r="Y146" s="23" t="s">
        <v>3619</v>
      </c>
      <c r="Z146" s="23" t="s">
        <v>3620</v>
      </c>
      <c r="AA146" s="23" t="s">
        <v>3621</v>
      </c>
    </row>
    <row r="147" spans="1:30" ht="15.75" customHeight="1">
      <c r="A147" s="4" t="s">
        <v>261</v>
      </c>
      <c r="B147" s="5">
        <v>2402</v>
      </c>
      <c r="C147" s="6" t="s">
        <v>361</v>
      </c>
      <c r="D147" s="7">
        <v>2022512176</v>
      </c>
      <c r="E147" s="7">
        <v>2201010399</v>
      </c>
      <c r="F147" s="7" t="s">
        <v>1804</v>
      </c>
      <c r="G147" s="7" t="s">
        <v>13</v>
      </c>
      <c r="H147" s="6" t="s">
        <v>362</v>
      </c>
      <c r="I147" s="6" t="s">
        <v>2104</v>
      </c>
      <c r="J147" s="6" t="s">
        <v>2105</v>
      </c>
      <c r="K147" s="6" t="s">
        <v>15</v>
      </c>
      <c r="L147" s="6" t="s">
        <v>21</v>
      </c>
      <c r="M147" s="6" t="s">
        <v>21</v>
      </c>
      <c r="N147" s="7" t="s">
        <v>18</v>
      </c>
      <c r="O147" s="23" t="s">
        <v>3611</v>
      </c>
      <c r="R147" s="23" t="s">
        <v>3612</v>
      </c>
      <c r="S147" s="2" t="s">
        <v>3613</v>
      </c>
      <c r="T147" s="2" t="s">
        <v>3614</v>
      </c>
      <c r="U147" s="2" t="s">
        <v>3615</v>
      </c>
      <c r="V147" s="23" t="s">
        <v>3616</v>
      </c>
      <c r="W147" s="24" t="s">
        <v>3617</v>
      </c>
      <c r="X147" s="23" t="s">
        <v>3618</v>
      </c>
      <c r="Y147" s="23" t="s">
        <v>3619</v>
      </c>
      <c r="Z147" s="23" t="s">
        <v>3620</v>
      </c>
      <c r="AA147" s="23" t="s">
        <v>3621</v>
      </c>
    </row>
    <row r="148" spans="1:30" ht="15.75" customHeight="1">
      <c r="A148" s="4" t="s">
        <v>261</v>
      </c>
      <c r="B148" s="5">
        <v>2402</v>
      </c>
      <c r="C148" s="6" t="s">
        <v>341</v>
      </c>
      <c r="D148" s="7">
        <v>2022497340</v>
      </c>
      <c r="E148" s="7">
        <v>2201010409</v>
      </c>
      <c r="F148" s="7" t="s">
        <v>1804</v>
      </c>
      <c r="G148" s="7" t="s">
        <v>13</v>
      </c>
      <c r="H148" s="6" t="s">
        <v>342</v>
      </c>
      <c r="I148" s="6" t="s">
        <v>2106</v>
      </c>
      <c r="J148" s="6" t="s">
        <v>2107</v>
      </c>
      <c r="K148" s="6" t="s">
        <v>15</v>
      </c>
      <c r="L148" s="6" t="s">
        <v>16</v>
      </c>
      <c r="M148" s="6" t="s">
        <v>16</v>
      </c>
      <c r="N148" s="7" t="s">
        <v>18</v>
      </c>
      <c r="O148" s="23" t="s">
        <v>3611</v>
      </c>
      <c r="R148" s="23" t="s">
        <v>3612</v>
      </c>
      <c r="S148" s="2" t="s">
        <v>3613</v>
      </c>
      <c r="T148" s="2" t="s">
        <v>3614</v>
      </c>
      <c r="U148" s="2" t="s">
        <v>3615</v>
      </c>
      <c r="V148" s="23" t="s">
        <v>3616</v>
      </c>
      <c r="W148" s="24" t="s">
        <v>3617</v>
      </c>
      <c r="X148" s="23" t="s">
        <v>3618</v>
      </c>
      <c r="Y148" s="23" t="s">
        <v>3619</v>
      </c>
      <c r="Z148" s="23" t="s">
        <v>3620</v>
      </c>
      <c r="AA148" s="23" t="s">
        <v>3621</v>
      </c>
    </row>
    <row r="149" spans="1:30" ht="15.75" customHeight="1">
      <c r="A149" s="4" t="s">
        <v>261</v>
      </c>
      <c r="B149" s="5">
        <v>2402</v>
      </c>
      <c r="C149" s="6" t="s">
        <v>369</v>
      </c>
      <c r="D149" s="7">
        <v>2022815775</v>
      </c>
      <c r="E149" s="7">
        <v>2201010416</v>
      </c>
      <c r="F149" s="7" t="s">
        <v>1804</v>
      </c>
      <c r="G149" s="7" t="s">
        <v>13</v>
      </c>
      <c r="H149" s="6" t="s">
        <v>370</v>
      </c>
      <c r="I149" s="6" t="s">
        <v>2108</v>
      </c>
      <c r="J149" s="6" t="s">
        <v>2109</v>
      </c>
      <c r="K149" s="6" t="s">
        <v>15</v>
      </c>
      <c r="L149" s="6" t="s">
        <v>149</v>
      </c>
      <c r="M149" s="6" t="s">
        <v>104</v>
      </c>
      <c r="N149" s="7" t="s">
        <v>174</v>
      </c>
      <c r="O149" s="23" t="s">
        <v>3611</v>
      </c>
      <c r="R149" s="23" t="s">
        <v>3612</v>
      </c>
      <c r="S149" s="2" t="s">
        <v>3613</v>
      </c>
      <c r="T149" s="2" t="s">
        <v>3614</v>
      </c>
      <c r="U149" s="2" t="s">
        <v>3615</v>
      </c>
      <c r="V149" s="23" t="s">
        <v>3616</v>
      </c>
      <c r="W149" s="24" t="s">
        <v>3617</v>
      </c>
      <c r="X149" s="23" t="s">
        <v>3618</v>
      </c>
      <c r="Y149" s="23" t="s">
        <v>3619</v>
      </c>
      <c r="Z149" s="23" t="s">
        <v>3620</v>
      </c>
      <c r="AA149" s="23" t="s">
        <v>3621</v>
      </c>
    </row>
    <row r="150" spans="1:30" ht="15.75" customHeight="1">
      <c r="A150" s="4" t="s">
        <v>261</v>
      </c>
      <c r="B150" s="5">
        <v>2402</v>
      </c>
      <c r="C150" s="6" t="s">
        <v>371</v>
      </c>
      <c r="D150" s="7">
        <v>2022824586</v>
      </c>
      <c r="E150" s="7">
        <v>2201010435</v>
      </c>
      <c r="F150" s="7" t="s">
        <v>1804</v>
      </c>
      <c r="G150" s="7" t="s">
        <v>13</v>
      </c>
      <c r="H150" s="6" t="s">
        <v>372</v>
      </c>
      <c r="I150" s="6" t="s">
        <v>2110</v>
      </c>
      <c r="J150" s="6" t="s">
        <v>2111</v>
      </c>
      <c r="K150" s="6" t="s">
        <v>15</v>
      </c>
      <c r="L150" s="6" t="s">
        <v>21</v>
      </c>
      <c r="M150" s="6" t="s">
        <v>104</v>
      </c>
      <c r="N150" s="7" t="s">
        <v>18</v>
      </c>
      <c r="O150" s="23" t="s">
        <v>3611</v>
      </c>
      <c r="R150" s="23" t="s">
        <v>3612</v>
      </c>
      <c r="S150" s="2" t="s">
        <v>3613</v>
      </c>
      <c r="T150" s="2" t="s">
        <v>3614</v>
      </c>
      <c r="U150" s="2" t="s">
        <v>3615</v>
      </c>
      <c r="V150" s="23" t="s">
        <v>3616</v>
      </c>
      <c r="W150" s="24" t="s">
        <v>3617</v>
      </c>
      <c r="X150" s="23" t="s">
        <v>3618</v>
      </c>
      <c r="Y150" s="23" t="s">
        <v>3619</v>
      </c>
      <c r="Z150" s="23" t="s">
        <v>3620</v>
      </c>
      <c r="AA150" s="23" t="s">
        <v>3621</v>
      </c>
    </row>
    <row r="151" spans="1:30" ht="15.75" customHeight="1">
      <c r="A151" s="4" t="s">
        <v>261</v>
      </c>
      <c r="B151" s="5">
        <v>2402</v>
      </c>
      <c r="C151" s="6" t="s">
        <v>347</v>
      </c>
      <c r="D151" s="7">
        <v>2022504261</v>
      </c>
      <c r="E151" s="7">
        <v>2201010475</v>
      </c>
      <c r="F151" s="7" t="s">
        <v>1804</v>
      </c>
      <c r="G151" s="7" t="s">
        <v>13</v>
      </c>
      <c r="H151" s="6" t="s">
        <v>348</v>
      </c>
      <c r="I151" s="6" t="s">
        <v>2112</v>
      </c>
      <c r="J151" s="6" t="s">
        <v>2113</v>
      </c>
      <c r="K151" s="6" t="s">
        <v>15</v>
      </c>
      <c r="L151" s="6" t="s">
        <v>16</v>
      </c>
      <c r="M151" s="6" t="s">
        <v>17</v>
      </c>
      <c r="N151" s="7" t="s">
        <v>18</v>
      </c>
      <c r="O151" s="23" t="s">
        <v>3611</v>
      </c>
      <c r="R151" s="23" t="s">
        <v>3612</v>
      </c>
      <c r="S151" s="2" t="s">
        <v>3613</v>
      </c>
      <c r="T151" s="2" t="s">
        <v>3614</v>
      </c>
      <c r="U151" s="2" t="s">
        <v>3615</v>
      </c>
      <c r="V151" s="23" t="s">
        <v>3616</v>
      </c>
      <c r="W151" s="24" t="s">
        <v>3617</v>
      </c>
      <c r="X151" s="23" t="s">
        <v>3618</v>
      </c>
      <c r="Y151" s="23" t="s">
        <v>3619</v>
      </c>
      <c r="Z151" s="23" t="s">
        <v>3620</v>
      </c>
      <c r="AA151" s="23" t="s">
        <v>3621</v>
      </c>
    </row>
    <row r="152" spans="1:30" ht="15.75" customHeight="1">
      <c r="A152" s="4" t="s">
        <v>261</v>
      </c>
      <c r="B152" s="5">
        <v>2402</v>
      </c>
      <c r="C152" s="6" t="s">
        <v>325</v>
      </c>
      <c r="D152" s="7">
        <v>2022472932</v>
      </c>
      <c r="E152" s="7">
        <v>2201010477</v>
      </c>
      <c r="F152" s="7" t="s">
        <v>1804</v>
      </c>
      <c r="G152" s="7" t="s">
        <v>13</v>
      </c>
      <c r="H152" s="11" t="s">
        <v>326</v>
      </c>
      <c r="I152" s="6" t="s">
        <v>2114</v>
      </c>
      <c r="J152" s="6" t="s">
        <v>2115</v>
      </c>
      <c r="K152" s="6" t="s">
        <v>15</v>
      </c>
      <c r="L152" s="6" t="s">
        <v>149</v>
      </c>
      <c r="M152" s="6" t="s">
        <v>21</v>
      </c>
      <c r="N152" s="7" t="s">
        <v>18</v>
      </c>
      <c r="O152" s="23" t="s">
        <v>3611</v>
      </c>
      <c r="R152" s="23" t="s">
        <v>3612</v>
      </c>
      <c r="S152" s="2" t="s">
        <v>3613</v>
      </c>
      <c r="T152" s="2" t="s">
        <v>3614</v>
      </c>
      <c r="U152" s="2" t="s">
        <v>3615</v>
      </c>
      <c r="V152" s="23" t="s">
        <v>3616</v>
      </c>
      <c r="W152" s="24" t="s">
        <v>3617</v>
      </c>
      <c r="X152" s="23" t="s">
        <v>3618</v>
      </c>
      <c r="Y152" s="23" t="s">
        <v>3619</v>
      </c>
      <c r="Z152" s="23" t="s">
        <v>3620</v>
      </c>
      <c r="AA152" s="23" t="s">
        <v>3621</v>
      </c>
    </row>
    <row r="153" spans="1:30" ht="15.75" customHeight="1">
      <c r="A153" s="4" t="s">
        <v>261</v>
      </c>
      <c r="B153" s="5">
        <v>2402</v>
      </c>
      <c r="C153" s="6" t="s">
        <v>367</v>
      </c>
      <c r="D153" s="7">
        <v>2022807476</v>
      </c>
      <c r="E153" s="7">
        <v>2201010485</v>
      </c>
      <c r="F153" s="7" t="s">
        <v>1804</v>
      </c>
      <c r="G153" s="7" t="s">
        <v>13</v>
      </c>
      <c r="H153" s="6" t="s">
        <v>368</v>
      </c>
      <c r="I153" s="6" t="s">
        <v>2116</v>
      </c>
      <c r="J153" s="6" t="s">
        <v>2117</v>
      </c>
      <c r="K153" s="6" t="s">
        <v>15</v>
      </c>
      <c r="L153" s="6" t="s">
        <v>149</v>
      </c>
      <c r="M153" s="6" t="s">
        <v>117</v>
      </c>
      <c r="N153" s="7" t="s">
        <v>18</v>
      </c>
      <c r="O153" s="23" t="s">
        <v>3611</v>
      </c>
      <c r="R153" s="23" t="s">
        <v>3612</v>
      </c>
      <c r="S153" s="2" t="s">
        <v>3613</v>
      </c>
      <c r="T153" s="2" t="s">
        <v>3614</v>
      </c>
      <c r="U153" s="2" t="s">
        <v>3615</v>
      </c>
      <c r="V153" s="23" t="s">
        <v>3616</v>
      </c>
      <c r="W153" s="24" t="s">
        <v>3617</v>
      </c>
      <c r="X153" s="23" t="s">
        <v>3618</v>
      </c>
      <c r="Y153" s="23" t="s">
        <v>3619</v>
      </c>
      <c r="Z153" s="23" t="s">
        <v>3620</v>
      </c>
      <c r="AA153" s="23" t="s">
        <v>3621</v>
      </c>
    </row>
    <row r="154" spans="1:30" ht="15.75" customHeight="1">
      <c r="A154" s="4" t="s">
        <v>261</v>
      </c>
      <c r="B154" s="5">
        <v>2402</v>
      </c>
      <c r="C154" s="6" t="s">
        <v>286</v>
      </c>
      <c r="D154" s="7">
        <v>2022005582</v>
      </c>
      <c r="E154" s="7">
        <v>2201010505</v>
      </c>
      <c r="F154" s="7" t="s">
        <v>1804</v>
      </c>
      <c r="G154" s="7" t="s">
        <v>13</v>
      </c>
      <c r="H154" s="6" t="s">
        <v>287</v>
      </c>
      <c r="I154" s="6" t="s">
        <v>2118</v>
      </c>
      <c r="J154" s="6" t="s">
        <v>2119</v>
      </c>
      <c r="K154" s="6" t="s">
        <v>15</v>
      </c>
      <c r="L154" s="6" t="s">
        <v>149</v>
      </c>
      <c r="M154" s="6" t="s">
        <v>21</v>
      </c>
      <c r="N154" s="7" t="s">
        <v>18</v>
      </c>
      <c r="O154" s="23" t="s">
        <v>3611</v>
      </c>
      <c r="R154" s="23" t="s">
        <v>3612</v>
      </c>
      <c r="S154" s="2" t="s">
        <v>3613</v>
      </c>
      <c r="T154" s="2" t="s">
        <v>3614</v>
      </c>
      <c r="U154" s="2" t="s">
        <v>3615</v>
      </c>
      <c r="V154" s="23" t="s">
        <v>3616</v>
      </c>
      <c r="W154" s="24" t="s">
        <v>3617</v>
      </c>
      <c r="X154" s="23" t="s">
        <v>3618</v>
      </c>
      <c r="Y154" s="23" t="s">
        <v>3619</v>
      </c>
      <c r="Z154" s="23" t="s">
        <v>3620</v>
      </c>
      <c r="AA154" s="23" t="s">
        <v>3621</v>
      </c>
    </row>
    <row r="155" spans="1:30" ht="15.75" customHeight="1">
      <c r="A155" s="4" t="s">
        <v>261</v>
      </c>
      <c r="B155" s="5">
        <v>2402</v>
      </c>
      <c r="C155" s="6" t="s">
        <v>266</v>
      </c>
      <c r="D155" s="7">
        <v>2022003695</v>
      </c>
      <c r="E155" s="7">
        <v>2201010515</v>
      </c>
      <c r="F155" s="7" t="s">
        <v>1804</v>
      </c>
      <c r="G155" s="7" t="s">
        <v>13</v>
      </c>
      <c r="H155" s="6" t="s">
        <v>267</v>
      </c>
      <c r="I155" s="6" t="s">
        <v>2120</v>
      </c>
      <c r="J155" s="6" t="s">
        <v>2121</v>
      </c>
      <c r="K155" s="6" t="s">
        <v>15</v>
      </c>
      <c r="L155" s="6" t="s">
        <v>21</v>
      </c>
      <c r="M155" s="6" t="s">
        <v>149</v>
      </c>
      <c r="N155" s="7" t="s">
        <v>18</v>
      </c>
      <c r="O155" s="23" t="s">
        <v>3611</v>
      </c>
      <c r="R155" s="23" t="s">
        <v>3612</v>
      </c>
      <c r="S155" s="2" t="s">
        <v>3613</v>
      </c>
      <c r="T155" s="2" t="s">
        <v>3614</v>
      </c>
      <c r="U155" s="2" t="s">
        <v>3615</v>
      </c>
      <c r="V155" s="23" t="s">
        <v>3616</v>
      </c>
      <c r="W155" s="24" t="s">
        <v>3617</v>
      </c>
      <c r="X155" s="23" t="s">
        <v>3618</v>
      </c>
      <c r="Y155" s="23" t="s">
        <v>3619</v>
      </c>
      <c r="Z155" s="23" t="s">
        <v>3620</v>
      </c>
      <c r="AA155" s="23" t="s">
        <v>3621</v>
      </c>
    </row>
    <row r="156" spans="1:30" ht="15.75" customHeight="1">
      <c r="A156" s="4" t="s">
        <v>261</v>
      </c>
      <c r="B156" s="5">
        <v>2402</v>
      </c>
      <c r="C156" s="6" t="s">
        <v>306</v>
      </c>
      <c r="D156" s="7">
        <v>2022372515</v>
      </c>
      <c r="E156" s="7">
        <v>2201010518</v>
      </c>
      <c r="F156" s="7" t="s">
        <v>1804</v>
      </c>
      <c r="G156" s="7" t="s">
        <v>13</v>
      </c>
      <c r="H156" s="6" t="s">
        <v>307</v>
      </c>
      <c r="I156" s="6" t="s">
        <v>2122</v>
      </c>
      <c r="J156" s="6" t="s">
        <v>2123</v>
      </c>
      <c r="K156" s="6" t="s">
        <v>15</v>
      </c>
      <c r="L156" s="6" t="s">
        <v>21</v>
      </c>
      <c r="M156" s="6" t="s">
        <v>16</v>
      </c>
      <c r="N156" s="7" t="s">
        <v>18</v>
      </c>
      <c r="O156" s="23" t="s">
        <v>3611</v>
      </c>
      <c r="R156" s="23" t="s">
        <v>3612</v>
      </c>
      <c r="S156" s="2" t="s">
        <v>3613</v>
      </c>
      <c r="T156" s="2" t="s">
        <v>3614</v>
      </c>
      <c r="U156" s="2" t="s">
        <v>3615</v>
      </c>
      <c r="V156" s="23" t="s">
        <v>3616</v>
      </c>
      <c r="W156" s="24" t="s">
        <v>3617</v>
      </c>
      <c r="X156" s="23" t="s">
        <v>3618</v>
      </c>
      <c r="Y156" s="23" t="s">
        <v>3619</v>
      </c>
      <c r="Z156" s="23" t="s">
        <v>3620</v>
      </c>
      <c r="AA156" s="23" t="s">
        <v>3621</v>
      </c>
    </row>
    <row r="157" spans="1:30" ht="15.75" customHeight="1">
      <c r="A157" s="4" t="s">
        <v>261</v>
      </c>
      <c r="B157" s="5">
        <v>2402</v>
      </c>
      <c r="C157" s="6" t="s">
        <v>351</v>
      </c>
      <c r="D157" s="7">
        <v>2022506127</v>
      </c>
      <c r="E157" s="7">
        <v>2201010521</v>
      </c>
      <c r="F157" s="7" t="s">
        <v>1804</v>
      </c>
      <c r="G157" s="7" t="s">
        <v>13</v>
      </c>
      <c r="H157" s="6" t="s">
        <v>352</v>
      </c>
      <c r="I157" s="6" t="s">
        <v>2124</v>
      </c>
      <c r="J157" s="6" t="s">
        <v>2125</v>
      </c>
      <c r="K157" s="6" t="s">
        <v>15</v>
      </c>
      <c r="L157" s="6" t="s">
        <v>26</v>
      </c>
      <c r="M157" s="6" t="s">
        <v>104</v>
      </c>
      <c r="N157" s="7" t="s">
        <v>18</v>
      </c>
      <c r="O157" s="23" t="s">
        <v>3611</v>
      </c>
      <c r="R157" s="23" t="s">
        <v>3612</v>
      </c>
      <c r="S157" s="2" t="s">
        <v>3613</v>
      </c>
      <c r="T157" s="2" t="s">
        <v>3614</v>
      </c>
      <c r="U157" s="2" t="s">
        <v>3615</v>
      </c>
      <c r="V157" s="23" t="s">
        <v>3616</v>
      </c>
      <c r="W157" s="24" t="s">
        <v>3617</v>
      </c>
      <c r="X157" s="23" t="s">
        <v>3618</v>
      </c>
      <c r="Y157" s="23" t="s">
        <v>3619</v>
      </c>
      <c r="Z157" s="23" t="s">
        <v>3620</v>
      </c>
      <c r="AA157" s="23" t="s">
        <v>3621</v>
      </c>
      <c r="AB157" s="8"/>
      <c r="AC157" s="8"/>
      <c r="AD157" s="8"/>
    </row>
    <row r="158" spans="1:30" ht="15.75" customHeight="1">
      <c r="A158" s="4" t="s">
        <v>261</v>
      </c>
      <c r="B158" s="5">
        <v>2402</v>
      </c>
      <c r="C158" s="6" t="s">
        <v>288</v>
      </c>
      <c r="D158" s="7">
        <v>2022005818</v>
      </c>
      <c r="E158" s="7">
        <v>2201010531</v>
      </c>
      <c r="F158" s="7" t="s">
        <v>1804</v>
      </c>
      <c r="G158" s="7" t="s">
        <v>13</v>
      </c>
      <c r="H158" s="6" t="s">
        <v>289</v>
      </c>
      <c r="I158" s="6" t="s">
        <v>2126</v>
      </c>
      <c r="J158" s="6" t="s">
        <v>2127</v>
      </c>
      <c r="K158" s="6" t="s">
        <v>15</v>
      </c>
      <c r="L158" s="6" t="s">
        <v>149</v>
      </c>
      <c r="M158" s="6" t="s">
        <v>21</v>
      </c>
      <c r="N158" s="7" t="s">
        <v>18</v>
      </c>
      <c r="O158" s="23" t="s">
        <v>3611</v>
      </c>
      <c r="R158" s="23" t="s">
        <v>3612</v>
      </c>
      <c r="S158" s="2" t="s">
        <v>3613</v>
      </c>
      <c r="T158" s="2" t="s">
        <v>3614</v>
      </c>
      <c r="U158" s="2" t="s">
        <v>3615</v>
      </c>
      <c r="V158" s="23" t="s">
        <v>3616</v>
      </c>
      <c r="W158" s="24" t="s">
        <v>3617</v>
      </c>
      <c r="X158" s="23" t="s">
        <v>3618</v>
      </c>
      <c r="Y158" s="23" t="s">
        <v>3619</v>
      </c>
      <c r="Z158" s="23" t="s">
        <v>3620</v>
      </c>
      <c r="AA158" s="23" t="s">
        <v>3621</v>
      </c>
    </row>
    <row r="159" spans="1:30" ht="15.75" customHeight="1">
      <c r="A159" s="4" t="s">
        <v>261</v>
      </c>
      <c r="B159" s="5">
        <v>2402</v>
      </c>
      <c r="C159" s="6" t="s">
        <v>353</v>
      </c>
      <c r="D159" s="7">
        <v>2022506580</v>
      </c>
      <c r="E159" s="7">
        <v>2201010556</v>
      </c>
      <c r="F159" s="7" t="s">
        <v>1804</v>
      </c>
      <c r="G159" s="7" t="s">
        <v>13</v>
      </c>
      <c r="H159" s="6" t="s">
        <v>354</v>
      </c>
      <c r="I159" s="6" t="s">
        <v>2128</v>
      </c>
      <c r="J159" s="6" t="s">
        <v>2129</v>
      </c>
      <c r="K159" s="6" t="s">
        <v>15</v>
      </c>
      <c r="L159" s="6" t="s">
        <v>149</v>
      </c>
      <c r="M159" s="6" t="s">
        <v>21</v>
      </c>
      <c r="N159" s="7" t="s">
        <v>18</v>
      </c>
      <c r="O159" s="23" t="s">
        <v>3611</v>
      </c>
      <c r="R159" s="23" t="s">
        <v>3612</v>
      </c>
      <c r="S159" s="2" t="s">
        <v>3613</v>
      </c>
      <c r="T159" s="2" t="s">
        <v>3614</v>
      </c>
      <c r="U159" s="2" t="s">
        <v>3615</v>
      </c>
      <c r="V159" s="23" t="s">
        <v>3616</v>
      </c>
      <c r="W159" s="24" t="s">
        <v>3617</v>
      </c>
      <c r="X159" s="23" t="s">
        <v>3618</v>
      </c>
      <c r="Y159" s="23" t="s">
        <v>3619</v>
      </c>
      <c r="Z159" s="23" t="s">
        <v>3620</v>
      </c>
      <c r="AA159" s="23" t="s">
        <v>3621</v>
      </c>
    </row>
    <row r="160" spans="1:30" ht="15.75" customHeight="1">
      <c r="A160" s="4" t="s">
        <v>261</v>
      </c>
      <c r="B160" s="5">
        <v>2402</v>
      </c>
      <c r="C160" s="6" t="s">
        <v>298</v>
      </c>
      <c r="D160" s="7">
        <v>2022306733</v>
      </c>
      <c r="E160" s="7">
        <v>2201010564</v>
      </c>
      <c r="F160" s="7" t="s">
        <v>1804</v>
      </c>
      <c r="G160" s="7" t="s">
        <v>13</v>
      </c>
      <c r="H160" s="6" t="s">
        <v>299</v>
      </c>
      <c r="I160" s="6" t="s">
        <v>2130</v>
      </c>
      <c r="J160" s="6" t="s">
        <v>2131</v>
      </c>
      <c r="K160" s="6" t="s">
        <v>15</v>
      </c>
      <c r="L160" s="6" t="s">
        <v>21</v>
      </c>
      <c r="M160" s="6" t="s">
        <v>149</v>
      </c>
      <c r="N160" s="7" t="s">
        <v>174</v>
      </c>
      <c r="O160" s="23" t="s">
        <v>3611</v>
      </c>
      <c r="R160" s="23" t="s">
        <v>3612</v>
      </c>
      <c r="S160" s="2" t="s">
        <v>3613</v>
      </c>
      <c r="T160" s="2" t="s">
        <v>3614</v>
      </c>
      <c r="U160" s="2" t="s">
        <v>3615</v>
      </c>
      <c r="V160" s="23" t="s">
        <v>3616</v>
      </c>
      <c r="W160" s="24" t="s">
        <v>3617</v>
      </c>
      <c r="X160" s="23" t="s">
        <v>3618</v>
      </c>
      <c r="Y160" s="23" t="s">
        <v>3619</v>
      </c>
      <c r="Z160" s="23" t="s">
        <v>3620</v>
      </c>
      <c r="AA160" s="23" t="s">
        <v>3621</v>
      </c>
    </row>
    <row r="161" spans="1:30" ht="15.75" customHeight="1">
      <c r="A161" s="4" t="s">
        <v>261</v>
      </c>
      <c r="B161" s="5">
        <v>2402</v>
      </c>
      <c r="C161" s="6" t="s">
        <v>321</v>
      </c>
      <c r="D161" s="7">
        <v>2022463682</v>
      </c>
      <c r="E161" s="7">
        <v>2201010570</v>
      </c>
      <c r="F161" s="7" t="s">
        <v>1804</v>
      </c>
      <c r="G161" s="7" t="s">
        <v>13</v>
      </c>
      <c r="H161" s="6" t="s">
        <v>322</v>
      </c>
      <c r="I161" s="6" t="s">
        <v>2132</v>
      </c>
      <c r="J161" s="6" t="s">
        <v>2133</v>
      </c>
      <c r="K161" s="6" t="s">
        <v>15</v>
      </c>
      <c r="L161" s="6" t="s">
        <v>149</v>
      </c>
      <c r="M161" s="6" t="s">
        <v>26</v>
      </c>
      <c r="N161" s="7" t="s">
        <v>18</v>
      </c>
      <c r="O161" s="23" t="s">
        <v>3611</v>
      </c>
      <c r="R161" s="23" t="s">
        <v>3612</v>
      </c>
      <c r="S161" s="2" t="s">
        <v>3613</v>
      </c>
      <c r="T161" s="2" t="s">
        <v>3614</v>
      </c>
      <c r="U161" s="2" t="s">
        <v>3615</v>
      </c>
      <c r="V161" s="23" t="s">
        <v>3616</v>
      </c>
      <c r="W161" s="24" t="s">
        <v>3617</v>
      </c>
      <c r="X161" s="23" t="s">
        <v>3618</v>
      </c>
      <c r="Y161" s="23" t="s">
        <v>3619</v>
      </c>
      <c r="Z161" s="23" t="s">
        <v>3620</v>
      </c>
      <c r="AA161" s="23" t="s">
        <v>3621</v>
      </c>
    </row>
    <row r="162" spans="1:30" ht="15.75" customHeight="1">
      <c r="A162" s="4" t="s">
        <v>261</v>
      </c>
      <c r="B162" s="5">
        <v>2402</v>
      </c>
      <c r="C162" s="6" t="s">
        <v>296</v>
      </c>
      <c r="D162" s="7">
        <v>2022306401</v>
      </c>
      <c r="E162" s="7">
        <v>2201010585</v>
      </c>
      <c r="F162" s="7" t="s">
        <v>1804</v>
      </c>
      <c r="G162" s="7" t="s">
        <v>13</v>
      </c>
      <c r="H162" s="6" t="s">
        <v>297</v>
      </c>
      <c r="I162" s="6" t="s">
        <v>2134</v>
      </c>
      <c r="J162" s="6" t="s">
        <v>2135</v>
      </c>
      <c r="K162" s="6" t="s">
        <v>15</v>
      </c>
      <c r="L162" s="6" t="s">
        <v>21</v>
      </c>
      <c r="M162" s="6" t="s">
        <v>149</v>
      </c>
      <c r="N162" s="7" t="s">
        <v>18</v>
      </c>
      <c r="O162" s="23" t="s">
        <v>3611</v>
      </c>
      <c r="R162" s="23" t="s">
        <v>3612</v>
      </c>
      <c r="S162" s="2" t="s">
        <v>3613</v>
      </c>
      <c r="T162" s="2" t="s">
        <v>3614</v>
      </c>
      <c r="U162" s="2" t="s">
        <v>3615</v>
      </c>
      <c r="V162" s="23" t="s">
        <v>3616</v>
      </c>
      <c r="W162" s="24" t="s">
        <v>3617</v>
      </c>
      <c r="X162" s="23" t="s">
        <v>3618</v>
      </c>
      <c r="Y162" s="23" t="s">
        <v>3619</v>
      </c>
      <c r="Z162" s="23" t="s">
        <v>3620</v>
      </c>
      <c r="AA162" s="23" t="s">
        <v>3621</v>
      </c>
    </row>
    <row r="163" spans="1:30" ht="15.75" customHeight="1">
      <c r="A163" s="4" t="s">
        <v>261</v>
      </c>
      <c r="B163" s="5">
        <v>2402</v>
      </c>
      <c r="C163" s="6" t="s">
        <v>304</v>
      </c>
      <c r="D163" s="7">
        <v>2022359008</v>
      </c>
      <c r="E163" s="7">
        <v>2201010586</v>
      </c>
      <c r="F163" s="7" t="s">
        <v>1804</v>
      </c>
      <c r="G163" s="7" t="s">
        <v>13</v>
      </c>
      <c r="H163" s="6" t="s">
        <v>305</v>
      </c>
      <c r="I163" s="6" t="s">
        <v>2136</v>
      </c>
      <c r="J163" s="6" t="s">
        <v>2137</v>
      </c>
      <c r="K163" s="6" t="s">
        <v>15</v>
      </c>
      <c r="L163" s="6" t="s">
        <v>149</v>
      </c>
      <c r="M163" s="6" t="s">
        <v>21</v>
      </c>
      <c r="N163" s="7" t="s">
        <v>18</v>
      </c>
      <c r="O163" s="23" t="s">
        <v>3611</v>
      </c>
      <c r="R163" s="23" t="s">
        <v>3612</v>
      </c>
      <c r="S163" s="2" t="s">
        <v>3613</v>
      </c>
      <c r="T163" s="2" t="s">
        <v>3614</v>
      </c>
      <c r="U163" s="2" t="s">
        <v>3615</v>
      </c>
      <c r="V163" s="23" t="s">
        <v>3616</v>
      </c>
      <c r="W163" s="24" t="s">
        <v>3617</v>
      </c>
      <c r="X163" s="23" t="s">
        <v>3618</v>
      </c>
      <c r="Y163" s="23" t="s">
        <v>3619</v>
      </c>
      <c r="Z163" s="23" t="s">
        <v>3620</v>
      </c>
      <c r="AA163" s="23" t="s">
        <v>3621</v>
      </c>
    </row>
    <row r="164" spans="1:30" ht="15.75" customHeight="1">
      <c r="A164" s="4" t="s">
        <v>261</v>
      </c>
      <c r="B164" s="5">
        <v>2402</v>
      </c>
      <c r="C164" s="6" t="s">
        <v>276</v>
      </c>
      <c r="D164" s="7">
        <v>2022004737</v>
      </c>
      <c r="E164" s="7">
        <v>2201010594</v>
      </c>
      <c r="F164" s="7" t="s">
        <v>1804</v>
      </c>
      <c r="G164" s="7" t="s">
        <v>13</v>
      </c>
      <c r="H164" s="6" t="s">
        <v>277</v>
      </c>
      <c r="I164" s="6" t="s">
        <v>2138</v>
      </c>
      <c r="J164" s="6" t="s">
        <v>2139</v>
      </c>
      <c r="K164" s="6" t="s">
        <v>15</v>
      </c>
      <c r="L164" s="6" t="s">
        <v>16</v>
      </c>
      <c r="M164" s="6" t="s">
        <v>26</v>
      </c>
      <c r="N164" s="7" t="s">
        <v>18</v>
      </c>
      <c r="O164" s="23" t="s">
        <v>3611</v>
      </c>
      <c r="R164" s="23" t="s">
        <v>3612</v>
      </c>
      <c r="S164" s="2" t="s">
        <v>3613</v>
      </c>
      <c r="T164" s="2" t="s">
        <v>3614</v>
      </c>
      <c r="U164" s="2" t="s">
        <v>3615</v>
      </c>
      <c r="V164" s="23" t="s">
        <v>3616</v>
      </c>
      <c r="W164" s="24" t="s">
        <v>3617</v>
      </c>
      <c r="X164" s="23" t="s">
        <v>3618</v>
      </c>
      <c r="Y164" s="23" t="s">
        <v>3619</v>
      </c>
      <c r="Z164" s="23" t="s">
        <v>3620</v>
      </c>
      <c r="AA164" s="23" t="s">
        <v>3621</v>
      </c>
    </row>
    <row r="165" spans="1:30" ht="15.75" customHeight="1">
      <c r="A165" s="4" t="s">
        <v>261</v>
      </c>
      <c r="B165" s="5">
        <v>2402</v>
      </c>
      <c r="C165" s="6" t="s">
        <v>272</v>
      </c>
      <c r="D165" s="7">
        <v>2022004675</v>
      </c>
      <c r="E165" s="7">
        <v>2201010596</v>
      </c>
      <c r="F165" s="7" t="s">
        <v>1804</v>
      </c>
      <c r="G165" s="7" t="s">
        <v>13</v>
      </c>
      <c r="H165" s="6" t="s">
        <v>273</v>
      </c>
      <c r="I165" s="6" t="s">
        <v>2140</v>
      </c>
      <c r="J165" s="6" t="s">
        <v>2141</v>
      </c>
      <c r="K165" s="6" t="s">
        <v>15</v>
      </c>
      <c r="L165" s="6" t="s">
        <v>21</v>
      </c>
      <c r="M165" s="6" t="s">
        <v>16</v>
      </c>
      <c r="N165" s="7" t="s">
        <v>18</v>
      </c>
      <c r="O165" s="23" t="s">
        <v>3611</v>
      </c>
      <c r="R165" s="23" t="s">
        <v>3612</v>
      </c>
      <c r="S165" s="2" t="s">
        <v>3613</v>
      </c>
      <c r="T165" s="2" t="s">
        <v>3614</v>
      </c>
      <c r="U165" s="2" t="s">
        <v>3615</v>
      </c>
      <c r="V165" s="23" t="s">
        <v>3616</v>
      </c>
      <c r="W165" s="24" t="s">
        <v>3617</v>
      </c>
      <c r="X165" s="23" t="s">
        <v>3618</v>
      </c>
      <c r="Y165" s="23" t="s">
        <v>3619</v>
      </c>
      <c r="Z165" s="23" t="s">
        <v>3620</v>
      </c>
      <c r="AA165" s="23" t="s">
        <v>3621</v>
      </c>
    </row>
    <row r="166" spans="1:30" ht="15.75" customHeight="1">
      <c r="A166" s="4" t="s">
        <v>261</v>
      </c>
      <c r="B166" s="5">
        <v>2402</v>
      </c>
      <c r="C166" s="6" t="s">
        <v>329</v>
      </c>
      <c r="D166" s="7">
        <v>2022478479</v>
      </c>
      <c r="E166" s="7">
        <v>2201010602</v>
      </c>
      <c r="F166" s="7" t="s">
        <v>1804</v>
      </c>
      <c r="G166" s="7" t="s">
        <v>13</v>
      </c>
      <c r="H166" s="6" t="s">
        <v>330</v>
      </c>
      <c r="I166" s="6" t="s">
        <v>2142</v>
      </c>
      <c r="J166" s="6" t="s">
        <v>2143</v>
      </c>
      <c r="K166" s="6" t="s">
        <v>15</v>
      </c>
      <c r="L166" s="6" t="s">
        <v>149</v>
      </c>
      <c r="M166" s="6" t="s">
        <v>21</v>
      </c>
      <c r="N166" s="7" t="s">
        <v>18</v>
      </c>
      <c r="O166" s="23" t="s">
        <v>3611</v>
      </c>
      <c r="R166" s="23" t="s">
        <v>3612</v>
      </c>
      <c r="S166" s="2" t="s">
        <v>3613</v>
      </c>
      <c r="T166" s="2" t="s">
        <v>3614</v>
      </c>
      <c r="U166" s="2" t="s">
        <v>3615</v>
      </c>
      <c r="V166" s="23" t="s">
        <v>3616</v>
      </c>
      <c r="W166" s="24" t="s">
        <v>3617</v>
      </c>
      <c r="X166" s="23" t="s">
        <v>3618</v>
      </c>
      <c r="Y166" s="23" t="s">
        <v>3619</v>
      </c>
      <c r="Z166" s="23" t="s">
        <v>3620</v>
      </c>
      <c r="AA166" s="23" t="s">
        <v>3621</v>
      </c>
      <c r="AB166" s="9"/>
      <c r="AC166" s="9"/>
      <c r="AD166" s="9"/>
    </row>
    <row r="167" spans="1:30" ht="15.75" customHeight="1">
      <c r="A167" s="4" t="s">
        <v>261</v>
      </c>
      <c r="B167" s="5">
        <v>2402</v>
      </c>
      <c r="C167" s="6" t="s">
        <v>345</v>
      </c>
      <c r="D167" s="7">
        <v>2022502729</v>
      </c>
      <c r="E167" s="7">
        <v>2201010622</v>
      </c>
      <c r="F167" s="7" t="s">
        <v>1804</v>
      </c>
      <c r="G167" s="7" t="s">
        <v>13</v>
      </c>
      <c r="H167" s="6" t="s">
        <v>346</v>
      </c>
      <c r="I167" s="6" t="s">
        <v>2144</v>
      </c>
      <c r="J167" s="6" t="s">
        <v>2145</v>
      </c>
      <c r="K167" s="6" t="s">
        <v>15</v>
      </c>
      <c r="L167" s="6" t="s">
        <v>117</v>
      </c>
      <c r="M167" s="6" t="s">
        <v>149</v>
      </c>
      <c r="N167" s="7" t="s">
        <v>18</v>
      </c>
      <c r="O167" s="23" t="s">
        <v>3611</v>
      </c>
      <c r="R167" s="23" t="s">
        <v>3612</v>
      </c>
      <c r="S167" s="2" t="s">
        <v>3613</v>
      </c>
      <c r="T167" s="2" t="s">
        <v>3614</v>
      </c>
      <c r="U167" s="2" t="s">
        <v>3615</v>
      </c>
      <c r="V167" s="23" t="s">
        <v>3616</v>
      </c>
      <c r="W167" s="24" t="s">
        <v>3617</v>
      </c>
      <c r="X167" s="23" t="s">
        <v>3618</v>
      </c>
      <c r="Y167" s="23" t="s">
        <v>3619</v>
      </c>
      <c r="Z167" s="23" t="s">
        <v>3620</v>
      </c>
      <c r="AA167" s="23" t="s">
        <v>3621</v>
      </c>
    </row>
    <row r="168" spans="1:30" ht="15.75" customHeight="1">
      <c r="A168" s="4" t="s">
        <v>261</v>
      </c>
      <c r="B168" s="5">
        <v>2402</v>
      </c>
      <c r="C168" s="6" t="s">
        <v>335</v>
      </c>
      <c r="D168" s="7">
        <v>2022481225</v>
      </c>
      <c r="E168" s="7">
        <v>2201010652</v>
      </c>
      <c r="F168" s="7" t="s">
        <v>1804</v>
      </c>
      <c r="G168" s="7" t="s">
        <v>13</v>
      </c>
      <c r="H168" s="6" t="s">
        <v>336</v>
      </c>
      <c r="I168" s="6" t="s">
        <v>2146</v>
      </c>
      <c r="J168" s="6" t="s">
        <v>2147</v>
      </c>
      <c r="K168" s="6" t="s">
        <v>15</v>
      </c>
      <c r="L168" s="6" t="s">
        <v>149</v>
      </c>
      <c r="M168" s="6" t="s">
        <v>21</v>
      </c>
      <c r="N168" s="7" t="s">
        <v>18</v>
      </c>
      <c r="O168" s="23" t="s">
        <v>3611</v>
      </c>
      <c r="R168" s="23" t="s">
        <v>3612</v>
      </c>
      <c r="S168" s="2" t="s">
        <v>3613</v>
      </c>
      <c r="T168" s="2" t="s">
        <v>3614</v>
      </c>
      <c r="U168" s="2" t="s">
        <v>3615</v>
      </c>
      <c r="V168" s="23" t="s">
        <v>3616</v>
      </c>
      <c r="W168" s="24" t="s">
        <v>3617</v>
      </c>
      <c r="X168" s="23" t="s">
        <v>3618</v>
      </c>
      <c r="Y168" s="23" t="s">
        <v>3619</v>
      </c>
      <c r="Z168" s="23" t="s">
        <v>3620</v>
      </c>
      <c r="AA168" s="23" t="s">
        <v>3621</v>
      </c>
    </row>
    <row r="169" spans="1:30" ht="15.75" customHeight="1">
      <c r="A169" s="4" t="s">
        <v>261</v>
      </c>
      <c r="B169" s="5">
        <v>2402</v>
      </c>
      <c r="C169" s="6" t="s">
        <v>259</v>
      </c>
      <c r="D169" s="7">
        <v>2022437807</v>
      </c>
      <c r="E169" s="7">
        <v>2201010669</v>
      </c>
      <c r="F169" s="7" t="s">
        <v>1804</v>
      </c>
      <c r="G169" s="7" t="s">
        <v>13</v>
      </c>
      <c r="H169" s="6" t="s">
        <v>312</v>
      </c>
      <c r="I169" s="6" t="s">
        <v>2148</v>
      </c>
      <c r="J169" s="6" t="s">
        <v>2149</v>
      </c>
      <c r="K169" s="6" t="s">
        <v>15</v>
      </c>
      <c r="L169" s="6" t="s">
        <v>21</v>
      </c>
      <c r="M169" s="6" t="s">
        <v>21</v>
      </c>
      <c r="N169" s="7" t="s">
        <v>18</v>
      </c>
      <c r="O169" s="23" t="s">
        <v>3611</v>
      </c>
      <c r="R169" s="23" t="s">
        <v>3612</v>
      </c>
      <c r="S169" s="2" t="s">
        <v>3613</v>
      </c>
      <c r="T169" s="2" t="s">
        <v>3614</v>
      </c>
      <c r="U169" s="2" t="s">
        <v>3615</v>
      </c>
      <c r="V169" s="23" t="s">
        <v>3616</v>
      </c>
      <c r="W169" s="24" t="s">
        <v>3617</v>
      </c>
      <c r="X169" s="23" t="s">
        <v>3618</v>
      </c>
      <c r="Y169" s="23" t="s">
        <v>3619</v>
      </c>
      <c r="Z169" s="23" t="s">
        <v>3620</v>
      </c>
      <c r="AA169" s="23" t="s">
        <v>3621</v>
      </c>
    </row>
    <row r="170" spans="1:30" ht="15.75" customHeight="1">
      <c r="A170" s="4" t="s">
        <v>261</v>
      </c>
      <c r="B170" s="5">
        <v>2402</v>
      </c>
      <c r="C170" s="6" t="s">
        <v>282</v>
      </c>
      <c r="D170" s="7">
        <v>2022005275</v>
      </c>
      <c r="E170" s="7">
        <v>2201010675</v>
      </c>
      <c r="F170" s="7" t="s">
        <v>1804</v>
      </c>
      <c r="G170" s="7" t="s">
        <v>13</v>
      </c>
      <c r="H170" s="6" t="s">
        <v>283</v>
      </c>
      <c r="I170" s="6" t="s">
        <v>2150</v>
      </c>
      <c r="J170" s="6" t="s">
        <v>2151</v>
      </c>
      <c r="K170" s="6" t="s">
        <v>15</v>
      </c>
      <c r="L170" s="6" t="s">
        <v>149</v>
      </c>
      <c r="M170" s="6" t="s">
        <v>21</v>
      </c>
      <c r="N170" s="7" t="s">
        <v>18</v>
      </c>
      <c r="O170" s="23" t="s">
        <v>3611</v>
      </c>
      <c r="R170" s="23" t="s">
        <v>3612</v>
      </c>
      <c r="S170" s="2" t="s">
        <v>3613</v>
      </c>
      <c r="T170" s="2" t="s">
        <v>3614</v>
      </c>
      <c r="U170" s="2" t="s">
        <v>3615</v>
      </c>
      <c r="V170" s="23" t="s">
        <v>3616</v>
      </c>
      <c r="W170" s="24" t="s">
        <v>3617</v>
      </c>
      <c r="X170" s="23" t="s">
        <v>3618</v>
      </c>
      <c r="Y170" s="23" t="s">
        <v>3619</v>
      </c>
      <c r="Z170" s="23" t="s">
        <v>3620</v>
      </c>
      <c r="AA170" s="23" t="s">
        <v>3621</v>
      </c>
    </row>
    <row r="171" spans="1:30" ht="15.75" customHeight="1">
      <c r="A171" s="4" t="s">
        <v>261</v>
      </c>
      <c r="B171" s="5">
        <v>2402</v>
      </c>
      <c r="C171" s="6" t="s">
        <v>355</v>
      </c>
      <c r="D171" s="7">
        <v>2022506607</v>
      </c>
      <c r="E171" s="7">
        <v>2201010680</v>
      </c>
      <c r="F171" s="7" t="s">
        <v>1804</v>
      </c>
      <c r="G171" s="7" t="s">
        <v>13</v>
      </c>
      <c r="H171" s="6" t="s">
        <v>356</v>
      </c>
      <c r="I171" s="6" t="s">
        <v>2152</v>
      </c>
      <c r="J171" s="6" t="s">
        <v>2153</v>
      </c>
      <c r="K171" s="6" t="s">
        <v>15</v>
      </c>
      <c r="L171" s="6" t="s">
        <v>149</v>
      </c>
      <c r="M171" s="6" t="s">
        <v>17</v>
      </c>
      <c r="N171" s="7" t="s">
        <v>18</v>
      </c>
      <c r="O171" s="23" t="s">
        <v>3611</v>
      </c>
      <c r="R171" s="23" t="s">
        <v>3612</v>
      </c>
      <c r="S171" s="2" t="s">
        <v>3613</v>
      </c>
      <c r="T171" s="2" t="s">
        <v>3614</v>
      </c>
      <c r="U171" s="2" t="s">
        <v>3615</v>
      </c>
      <c r="V171" s="23" t="s">
        <v>3616</v>
      </c>
      <c r="W171" s="24" t="s">
        <v>3617</v>
      </c>
      <c r="X171" s="23" t="s">
        <v>3618</v>
      </c>
      <c r="Y171" s="23" t="s">
        <v>3619</v>
      </c>
      <c r="Z171" s="23" t="s">
        <v>3620</v>
      </c>
      <c r="AA171" s="23" t="s">
        <v>3621</v>
      </c>
    </row>
    <row r="172" spans="1:30" ht="15.75" customHeight="1">
      <c r="A172" s="4" t="s">
        <v>261</v>
      </c>
      <c r="B172" s="5">
        <v>2402</v>
      </c>
      <c r="C172" s="6" t="s">
        <v>308</v>
      </c>
      <c r="D172" s="7">
        <v>2022414495</v>
      </c>
      <c r="E172" s="7">
        <v>2201010682</v>
      </c>
      <c r="F172" s="7" t="s">
        <v>1804</v>
      </c>
      <c r="G172" s="7" t="s">
        <v>13</v>
      </c>
      <c r="H172" s="6" t="s">
        <v>309</v>
      </c>
      <c r="I172" s="6" t="s">
        <v>2154</v>
      </c>
      <c r="J172" s="6" t="s">
        <v>2155</v>
      </c>
      <c r="K172" s="6" t="s">
        <v>15</v>
      </c>
      <c r="L172" s="6" t="e">
        <v>#N/A</v>
      </c>
      <c r="M172" s="6" t="e">
        <v>#N/A</v>
      </c>
      <c r="N172" s="7" t="e">
        <v>#N/A</v>
      </c>
      <c r="O172" s="23" t="s">
        <v>3611</v>
      </c>
      <c r="R172" s="23" t="s">
        <v>3612</v>
      </c>
      <c r="S172" s="2" t="s">
        <v>3613</v>
      </c>
      <c r="T172" s="2" t="s">
        <v>3614</v>
      </c>
      <c r="U172" s="2" t="s">
        <v>3615</v>
      </c>
      <c r="V172" s="23" t="s">
        <v>3616</v>
      </c>
      <c r="W172" s="24" t="s">
        <v>3617</v>
      </c>
      <c r="X172" s="23" t="s">
        <v>3618</v>
      </c>
      <c r="Y172" s="23" t="s">
        <v>3619</v>
      </c>
      <c r="Z172" s="23" t="s">
        <v>3620</v>
      </c>
      <c r="AA172" s="23" t="s">
        <v>3621</v>
      </c>
    </row>
    <row r="173" spans="1:30" ht="15.75" customHeight="1">
      <c r="A173" s="4" t="s">
        <v>261</v>
      </c>
      <c r="B173" s="5">
        <v>2402</v>
      </c>
      <c r="C173" s="6" t="s">
        <v>290</v>
      </c>
      <c r="D173" s="7">
        <v>2022005992</v>
      </c>
      <c r="E173" s="7">
        <v>2201010733</v>
      </c>
      <c r="F173" s="7" t="s">
        <v>1804</v>
      </c>
      <c r="G173" s="7" t="s">
        <v>13</v>
      </c>
      <c r="H173" s="6" t="s">
        <v>291</v>
      </c>
      <c r="I173" s="6" t="s">
        <v>2156</v>
      </c>
      <c r="J173" s="6" t="s">
        <v>2157</v>
      </c>
      <c r="K173" s="6" t="s">
        <v>15</v>
      </c>
      <c r="L173" s="6" t="s">
        <v>21</v>
      </c>
      <c r="M173" s="6" t="s">
        <v>21</v>
      </c>
      <c r="N173" s="7" t="s">
        <v>18</v>
      </c>
      <c r="O173" s="23" t="s">
        <v>3611</v>
      </c>
      <c r="R173" s="23" t="s">
        <v>3612</v>
      </c>
      <c r="S173" s="2" t="s">
        <v>3613</v>
      </c>
      <c r="T173" s="2" t="s">
        <v>3614</v>
      </c>
      <c r="U173" s="2" t="s">
        <v>3615</v>
      </c>
      <c r="V173" s="23" t="s">
        <v>3616</v>
      </c>
      <c r="W173" s="24" t="s">
        <v>3617</v>
      </c>
      <c r="X173" s="23" t="s">
        <v>3618</v>
      </c>
      <c r="Y173" s="23" t="s">
        <v>3619</v>
      </c>
      <c r="Z173" s="23" t="s">
        <v>3620</v>
      </c>
      <c r="AA173" s="23" t="s">
        <v>3621</v>
      </c>
    </row>
    <row r="174" spans="1:30" ht="15.75" customHeight="1">
      <c r="A174" s="4" t="s">
        <v>261</v>
      </c>
      <c r="B174" s="5">
        <v>2402</v>
      </c>
      <c r="C174" s="6" t="s">
        <v>264</v>
      </c>
      <c r="D174" s="7">
        <v>2022002431</v>
      </c>
      <c r="E174" s="7">
        <v>2201010745</v>
      </c>
      <c r="F174" s="7" t="s">
        <v>1804</v>
      </c>
      <c r="G174" s="7" t="s">
        <v>13</v>
      </c>
      <c r="H174" s="6" t="s">
        <v>265</v>
      </c>
      <c r="I174" s="6" t="s">
        <v>2158</v>
      </c>
      <c r="J174" s="6" t="s">
        <v>2159</v>
      </c>
      <c r="K174" s="6" t="s">
        <v>15</v>
      </c>
      <c r="L174" s="6" t="s">
        <v>104</v>
      </c>
      <c r="M174" s="6" t="s">
        <v>26</v>
      </c>
      <c r="N174" s="7" t="s">
        <v>18</v>
      </c>
      <c r="O174" s="23" t="s">
        <v>3611</v>
      </c>
      <c r="R174" s="23" t="s">
        <v>3612</v>
      </c>
      <c r="S174" s="2" t="s">
        <v>3613</v>
      </c>
      <c r="T174" s="2" t="s">
        <v>3614</v>
      </c>
      <c r="U174" s="2" t="s">
        <v>3615</v>
      </c>
      <c r="V174" s="23" t="s">
        <v>3616</v>
      </c>
      <c r="W174" s="24" t="s">
        <v>3617</v>
      </c>
      <c r="X174" s="23" t="s">
        <v>3618</v>
      </c>
      <c r="Y174" s="23" t="s">
        <v>3619</v>
      </c>
      <c r="Z174" s="23" t="s">
        <v>3620</v>
      </c>
      <c r="AA174" s="23" t="s">
        <v>3621</v>
      </c>
    </row>
    <row r="175" spans="1:30" ht="15.75" customHeight="1">
      <c r="A175" s="4" t="s">
        <v>261</v>
      </c>
      <c r="B175" s="5">
        <v>2402</v>
      </c>
      <c r="C175" s="6" t="s">
        <v>284</v>
      </c>
      <c r="D175" s="7">
        <v>2022005567</v>
      </c>
      <c r="E175" s="7">
        <v>2201010747</v>
      </c>
      <c r="F175" s="7" t="s">
        <v>1804</v>
      </c>
      <c r="G175" s="7" t="s">
        <v>13</v>
      </c>
      <c r="H175" s="6" t="s">
        <v>285</v>
      </c>
      <c r="I175" s="6" t="s">
        <v>2160</v>
      </c>
      <c r="J175" s="6" t="s">
        <v>2161</v>
      </c>
      <c r="K175" s="6" t="s">
        <v>15</v>
      </c>
      <c r="L175" s="6" t="s">
        <v>21</v>
      </c>
      <c r="M175" s="6" t="s">
        <v>17</v>
      </c>
      <c r="N175" s="7" t="s">
        <v>18</v>
      </c>
      <c r="O175" s="23" t="s">
        <v>3611</v>
      </c>
      <c r="R175" s="23" t="s">
        <v>3612</v>
      </c>
      <c r="S175" s="2" t="s">
        <v>3613</v>
      </c>
      <c r="T175" s="2" t="s">
        <v>3614</v>
      </c>
      <c r="U175" s="2" t="s">
        <v>3615</v>
      </c>
      <c r="V175" s="23" t="s">
        <v>3616</v>
      </c>
      <c r="W175" s="24" t="s">
        <v>3617</v>
      </c>
      <c r="X175" s="23" t="s">
        <v>3618</v>
      </c>
      <c r="Y175" s="23" t="s">
        <v>3619</v>
      </c>
      <c r="Z175" s="23" t="s">
        <v>3620</v>
      </c>
      <c r="AA175" s="23" t="s">
        <v>3621</v>
      </c>
    </row>
    <row r="176" spans="1:30" ht="15.75" customHeight="1">
      <c r="A176" s="4" t="s">
        <v>261</v>
      </c>
      <c r="B176" s="5">
        <v>2402</v>
      </c>
      <c r="C176" s="6" t="s">
        <v>310</v>
      </c>
      <c r="D176" s="7">
        <v>2022418998</v>
      </c>
      <c r="E176" s="7">
        <v>2201010756</v>
      </c>
      <c r="F176" s="7" t="s">
        <v>1804</v>
      </c>
      <c r="G176" s="7" t="s">
        <v>13</v>
      </c>
      <c r="H176" s="6" t="s">
        <v>311</v>
      </c>
      <c r="I176" s="6" t="s">
        <v>2162</v>
      </c>
      <c r="J176" s="6" t="s">
        <v>2163</v>
      </c>
      <c r="K176" s="6" t="s">
        <v>15</v>
      </c>
      <c r="L176" s="6" t="s">
        <v>21</v>
      </c>
      <c r="M176" s="6" t="s">
        <v>26</v>
      </c>
      <c r="N176" s="7" t="s">
        <v>174</v>
      </c>
      <c r="O176" s="23" t="s">
        <v>3611</v>
      </c>
      <c r="R176" s="23" t="s">
        <v>3612</v>
      </c>
      <c r="S176" s="2" t="s">
        <v>3613</v>
      </c>
      <c r="T176" s="2" t="s">
        <v>3614</v>
      </c>
      <c r="U176" s="2" t="s">
        <v>3615</v>
      </c>
      <c r="V176" s="23" t="s">
        <v>3616</v>
      </c>
      <c r="W176" s="24" t="s">
        <v>3617</v>
      </c>
      <c r="X176" s="23" t="s">
        <v>3618</v>
      </c>
      <c r="Y176" s="23" t="s">
        <v>3619</v>
      </c>
      <c r="Z176" s="23" t="s">
        <v>3620</v>
      </c>
      <c r="AA176" s="23" t="s">
        <v>3621</v>
      </c>
    </row>
    <row r="177" spans="1:30" ht="15.75" customHeight="1">
      <c r="A177" s="4" t="s">
        <v>261</v>
      </c>
      <c r="B177" s="5">
        <v>2402</v>
      </c>
      <c r="C177" s="6" t="s">
        <v>300</v>
      </c>
      <c r="D177" s="7">
        <v>2022307471</v>
      </c>
      <c r="E177" s="7">
        <v>2201010763</v>
      </c>
      <c r="F177" s="7" t="s">
        <v>1804</v>
      </c>
      <c r="G177" s="7" t="s">
        <v>13</v>
      </c>
      <c r="H177" s="6" t="s">
        <v>301</v>
      </c>
      <c r="I177" s="6" t="s">
        <v>2164</v>
      </c>
      <c r="J177" s="6" t="s">
        <v>2165</v>
      </c>
      <c r="K177" s="6" t="s">
        <v>15</v>
      </c>
      <c r="L177" s="6" t="s">
        <v>17</v>
      </c>
      <c r="M177" s="6" t="s">
        <v>149</v>
      </c>
      <c r="N177" s="7" t="s">
        <v>18</v>
      </c>
      <c r="O177" s="23" t="s">
        <v>3611</v>
      </c>
      <c r="R177" s="23" t="s">
        <v>3612</v>
      </c>
      <c r="S177" s="2" t="s">
        <v>3613</v>
      </c>
      <c r="T177" s="2" t="s">
        <v>3614</v>
      </c>
      <c r="U177" s="2" t="s">
        <v>3615</v>
      </c>
      <c r="V177" s="23" t="s">
        <v>3616</v>
      </c>
      <c r="W177" s="24" t="s">
        <v>3617</v>
      </c>
      <c r="X177" s="23" t="s">
        <v>3618</v>
      </c>
      <c r="Y177" s="23" t="s">
        <v>3619</v>
      </c>
      <c r="Z177" s="23" t="s">
        <v>3620</v>
      </c>
      <c r="AA177" s="23" t="s">
        <v>3621</v>
      </c>
    </row>
    <row r="178" spans="1:30" ht="15.75" customHeight="1">
      <c r="A178" s="4" t="s">
        <v>261</v>
      </c>
      <c r="B178" s="5">
        <v>2402</v>
      </c>
      <c r="C178" s="6" t="s">
        <v>280</v>
      </c>
      <c r="D178" s="7">
        <v>2022005062</v>
      </c>
      <c r="E178" s="7">
        <v>2201010764</v>
      </c>
      <c r="F178" s="7" t="s">
        <v>1804</v>
      </c>
      <c r="G178" s="7" t="s">
        <v>13</v>
      </c>
      <c r="H178" s="6" t="s">
        <v>281</v>
      </c>
      <c r="I178" s="6" t="s">
        <v>2166</v>
      </c>
      <c r="J178" s="6" t="s">
        <v>2167</v>
      </c>
      <c r="K178" s="6" t="s">
        <v>15</v>
      </c>
      <c r="L178" s="6" t="s">
        <v>149</v>
      </c>
      <c r="M178" s="6" t="s">
        <v>21</v>
      </c>
      <c r="N178" s="7" t="s">
        <v>18</v>
      </c>
      <c r="O178" s="23" t="s">
        <v>3611</v>
      </c>
      <c r="R178" s="23" t="s">
        <v>3612</v>
      </c>
      <c r="S178" s="2" t="s">
        <v>3613</v>
      </c>
      <c r="T178" s="2" t="s">
        <v>3614</v>
      </c>
      <c r="U178" s="2" t="s">
        <v>3615</v>
      </c>
      <c r="V178" s="23" t="s">
        <v>3616</v>
      </c>
      <c r="W178" s="24" t="s">
        <v>3617</v>
      </c>
      <c r="X178" s="23" t="s">
        <v>3618</v>
      </c>
      <c r="Y178" s="23" t="s">
        <v>3619</v>
      </c>
      <c r="Z178" s="23" t="s">
        <v>3620</v>
      </c>
      <c r="AA178" s="23" t="s">
        <v>3621</v>
      </c>
      <c r="AB178" s="9"/>
      <c r="AC178" s="9"/>
      <c r="AD178" s="9"/>
    </row>
    <row r="179" spans="1:30" ht="15.75" customHeight="1">
      <c r="A179" s="4" t="s">
        <v>261</v>
      </c>
      <c r="B179" s="5">
        <v>2402</v>
      </c>
      <c r="C179" s="6" t="s">
        <v>268</v>
      </c>
      <c r="D179" s="7">
        <v>2022003889</v>
      </c>
      <c r="E179" s="7">
        <v>2201010770</v>
      </c>
      <c r="F179" s="7" t="s">
        <v>1804</v>
      </c>
      <c r="G179" s="7" t="s">
        <v>13</v>
      </c>
      <c r="H179" s="6" t="s">
        <v>269</v>
      </c>
      <c r="I179" s="6" t="s">
        <v>2168</v>
      </c>
      <c r="J179" s="6" t="s">
        <v>2169</v>
      </c>
      <c r="K179" s="6" t="s">
        <v>15</v>
      </c>
      <c r="L179" s="6" t="s">
        <v>16</v>
      </c>
      <c r="M179" s="6" t="s">
        <v>21</v>
      </c>
      <c r="N179" s="7" t="s">
        <v>18</v>
      </c>
      <c r="O179" s="23" t="s">
        <v>3611</v>
      </c>
      <c r="R179" s="23" t="s">
        <v>3612</v>
      </c>
      <c r="S179" s="2" t="s">
        <v>3613</v>
      </c>
      <c r="T179" s="2" t="s">
        <v>3614</v>
      </c>
      <c r="U179" s="2" t="s">
        <v>3615</v>
      </c>
      <c r="V179" s="23" t="s">
        <v>3616</v>
      </c>
      <c r="W179" s="24" t="s">
        <v>3617</v>
      </c>
      <c r="X179" s="23" t="s">
        <v>3618</v>
      </c>
      <c r="Y179" s="23" t="s">
        <v>3619</v>
      </c>
      <c r="Z179" s="23" t="s">
        <v>3620</v>
      </c>
      <c r="AA179" s="23" t="s">
        <v>3621</v>
      </c>
    </row>
    <row r="180" spans="1:30" ht="15.75" customHeight="1">
      <c r="A180" s="4" t="s">
        <v>261</v>
      </c>
      <c r="B180" s="5">
        <v>2402</v>
      </c>
      <c r="C180" s="6" t="s">
        <v>359</v>
      </c>
      <c r="D180" s="7">
        <v>2022511135</v>
      </c>
      <c r="E180" s="7">
        <v>2201010774</v>
      </c>
      <c r="F180" s="7" t="s">
        <v>1804</v>
      </c>
      <c r="G180" s="7" t="s">
        <v>13</v>
      </c>
      <c r="H180" s="6" t="s">
        <v>360</v>
      </c>
      <c r="I180" s="6" t="s">
        <v>2170</v>
      </c>
      <c r="J180" s="6" t="s">
        <v>2171</v>
      </c>
      <c r="K180" s="6" t="s">
        <v>15</v>
      </c>
      <c r="L180" s="6" t="s">
        <v>149</v>
      </c>
      <c r="M180" s="6" t="s">
        <v>17</v>
      </c>
      <c r="N180" s="7" t="s">
        <v>18</v>
      </c>
      <c r="O180" s="23" t="s">
        <v>3611</v>
      </c>
      <c r="R180" s="23" t="s">
        <v>3612</v>
      </c>
      <c r="S180" s="2" t="s">
        <v>3613</v>
      </c>
      <c r="T180" s="2" t="s">
        <v>3614</v>
      </c>
      <c r="U180" s="2" t="s">
        <v>3615</v>
      </c>
      <c r="V180" s="23" t="s">
        <v>3616</v>
      </c>
      <c r="W180" s="24" t="s">
        <v>3617</v>
      </c>
      <c r="X180" s="23" t="s">
        <v>3618</v>
      </c>
      <c r="Y180" s="23" t="s">
        <v>3619</v>
      </c>
      <c r="Z180" s="23" t="s">
        <v>3620</v>
      </c>
      <c r="AA180" s="23" t="s">
        <v>3621</v>
      </c>
    </row>
    <row r="181" spans="1:30" ht="15.75" customHeight="1">
      <c r="A181" s="4" t="s">
        <v>261</v>
      </c>
      <c r="B181" s="5">
        <v>2402</v>
      </c>
      <c r="C181" s="6" t="s">
        <v>278</v>
      </c>
      <c r="D181" s="7">
        <v>2022004757</v>
      </c>
      <c r="E181" s="7">
        <v>2201010779</v>
      </c>
      <c r="F181" s="7" t="s">
        <v>1804</v>
      </c>
      <c r="G181" s="7" t="s">
        <v>13</v>
      </c>
      <c r="H181" s="6" t="s">
        <v>279</v>
      </c>
      <c r="I181" s="6" t="s">
        <v>2172</v>
      </c>
      <c r="J181" s="6" t="s">
        <v>2173</v>
      </c>
      <c r="K181" s="6" t="s">
        <v>15</v>
      </c>
      <c r="L181" s="6" t="s">
        <v>149</v>
      </c>
      <c r="M181" s="6" t="s">
        <v>21</v>
      </c>
      <c r="N181" s="7" t="s">
        <v>18</v>
      </c>
      <c r="O181" s="23" t="s">
        <v>3611</v>
      </c>
      <c r="R181" s="23" t="s">
        <v>3612</v>
      </c>
      <c r="S181" s="2" t="s">
        <v>3613</v>
      </c>
      <c r="T181" s="2" t="s">
        <v>3614</v>
      </c>
      <c r="U181" s="2" t="s">
        <v>3615</v>
      </c>
      <c r="V181" s="23" t="s">
        <v>3616</v>
      </c>
      <c r="W181" s="24" t="s">
        <v>3617</v>
      </c>
      <c r="X181" s="23" t="s">
        <v>3618</v>
      </c>
      <c r="Y181" s="23" t="s">
        <v>3619</v>
      </c>
      <c r="Z181" s="23" t="s">
        <v>3620</v>
      </c>
      <c r="AA181" s="23" t="s">
        <v>3621</v>
      </c>
    </row>
    <row r="182" spans="1:30" ht="15.75" customHeight="1">
      <c r="A182" s="4" t="s">
        <v>261</v>
      </c>
      <c r="B182" s="5">
        <v>2402</v>
      </c>
      <c r="C182" s="6" t="s">
        <v>343</v>
      </c>
      <c r="D182" s="7">
        <v>2022498812</v>
      </c>
      <c r="E182" s="7">
        <v>2201010796</v>
      </c>
      <c r="F182" s="7" t="s">
        <v>1804</v>
      </c>
      <c r="G182" s="7" t="s">
        <v>13</v>
      </c>
      <c r="H182" s="6" t="s">
        <v>344</v>
      </c>
      <c r="I182" s="6" t="s">
        <v>2174</v>
      </c>
      <c r="J182" s="6" t="s">
        <v>2175</v>
      </c>
      <c r="K182" s="6" t="s">
        <v>15</v>
      </c>
      <c r="L182" s="6" t="s">
        <v>149</v>
      </c>
      <c r="M182" s="6" t="s">
        <v>21</v>
      </c>
      <c r="N182" s="7" t="s">
        <v>18</v>
      </c>
      <c r="O182" s="23" t="s">
        <v>3611</v>
      </c>
      <c r="R182" s="23" t="s">
        <v>3612</v>
      </c>
      <c r="S182" s="2" t="s">
        <v>3613</v>
      </c>
      <c r="T182" s="2" t="s">
        <v>3614</v>
      </c>
      <c r="U182" s="2" t="s">
        <v>3615</v>
      </c>
      <c r="V182" s="23" t="s">
        <v>3616</v>
      </c>
      <c r="W182" s="24" t="s">
        <v>3617</v>
      </c>
      <c r="X182" s="23" t="s">
        <v>3618</v>
      </c>
      <c r="Y182" s="23" t="s">
        <v>3619</v>
      </c>
      <c r="Z182" s="23" t="s">
        <v>3620</v>
      </c>
      <c r="AA182" s="23" t="s">
        <v>3621</v>
      </c>
    </row>
    <row r="183" spans="1:30" ht="15.75" customHeight="1">
      <c r="A183" s="4" t="s">
        <v>261</v>
      </c>
      <c r="B183" s="5">
        <v>2402</v>
      </c>
      <c r="C183" s="6" t="s">
        <v>379</v>
      </c>
      <c r="D183" s="7">
        <v>2022527904</v>
      </c>
      <c r="E183" s="7">
        <v>2201010799</v>
      </c>
      <c r="F183" s="7" t="s">
        <v>1804</v>
      </c>
      <c r="G183" s="7" t="s">
        <v>13</v>
      </c>
      <c r="H183" s="6" t="s">
        <v>380</v>
      </c>
      <c r="I183" s="6" t="s">
        <v>2176</v>
      </c>
      <c r="J183" s="6" t="s">
        <v>2177</v>
      </c>
      <c r="K183" s="6" t="s">
        <v>15</v>
      </c>
      <c r="L183" s="6" t="e">
        <v>#N/A</v>
      </c>
      <c r="M183" s="6" t="e">
        <v>#N/A</v>
      </c>
      <c r="N183" s="7" t="e">
        <v>#N/A</v>
      </c>
      <c r="O183" s="23" t="s">
        <v>3611</v>
      </c>
      <c r="R183" s="23" t="s">
        <v>3612</v>
      </c>
      <c r="S183" s="2" t="s">
        <v>3613</v>
      </c>
      <c r="T183" s="2" t="s">
        <v>3614</v>
      </c>
      <c r="U183" s="2" t="s">
        <v>3615</v>
      </c>
      <c r="V183" s="23" t="s">
        <v>3616</v>
      </c>
      <c r="W183" s="24" t="s">
        <v>3617</v>
      </c>
      <c r="X183" s="23" t="s">
        <v>3618</v>
      </c>
      <c r="Y183" s="23" t="s">
        <v>3619</v>
      </c>
      <c r="Z183" s="23" t="s">
        <v>3620</v>
      </c>
      <c r="AA183" s="23" t="s">
        <v>3621</v>
      </c>
    </row>
    <row r="184" spans="1:30" ht="15.75" customHeight="1">
      <c r="A184" s="4" t="s">
        <v>261</v>
      </c>
      <c r="B184" s="5">
        <v>2402</v>
      </c>
      <c r="C184" s="6" t="s">
        <v>292</v>
      </c>
      <c r="D184" s="7">
        <v>2022006361</v>
      </c>
      <c r="E184" s="7">
        <v>2201010830</v>
      </c>
      <c r="F184" s="7" t="s">
        <v>1804</v>
      </c>
      <c r="G184" s="7" t="s">
        <v>13</v>
      </c>
      <c r="H184" s="6" t="s">
        <v>293</v>
      </c>
      <c r="I184" s="6" t="s">
        <v>2178</v>
      </c>
      <c r="J184" s="6" t="s">
        <v>2179</v>
      </c>
      <c r="K184" s="6" t="s">
        <v>15</v>
      </c>
      <c r="L184" s="6" t="s">
        <v>21</v>
      </c>
      <c r="M184" s="6" t="s">
        <v>49</v>
      </c>
      <c r="N184" s="7" t="s">
        <v>18</v>
      </c>
      <c r="O184" s="23" t="s">
        <v>3611</v>
      </c>
      <c r="R184" s="23" t="s">
        <v>3612</v>
      </c>
      <c r="S184" s="2" t="s">
        <v>3613</v>
      </c>
      <c r="T184" s="2" t="s">
        <v>3614</v>
      </c>
      <c r="U184" s="2" t="s">
        <v>3615</v>
      </c>
      <c r="V184" s="23" t="s">
        <v>3616</v>
      </c>
      <c r="W184" s="24" t="s">
        <v>3617</v>
      </c>
      <c r="X184" s="23" t="s">
        <v>3618</v>
      </c>
      <c r="Y184" s="23" t="s">
        <v>3619</v>
      </c>
      <c r="Z184" s="23" t="s">
        <v>3620</v>
      </c>
      <c r="AA184" s="23" t="s">
        <v>3621</v>
      </c>
    </row>
    <row r="185" spans="1:30" ht="15.75" customHeight="1">
      <c r="A185" s="4" t="s">
        <v>261</v>
      </c>
      <c r="B185" s="5">
        <v>2402</v>
      </c>
      <c r="C185" s="6" t="s">
        <v>373</v>
      </c>
      <c r="D185" s="7">
        <v>2022006932</v>
      </c>
      <c r="E185" s="7">
        <v>2201010834</v>
      </c>
      <c r="F185" s="7" t="s">
        <v>1804</v>
      </c>
      <c r="G185" s="7" t="s">
        <v>13</v>
      </c>
      <c r="H185" s="6" t="s">
        <v>374</v>
      </c>
      <c r="I185" s="6" t="s">
        <v>2180</v>
      </c>
      <c r="J185" s="6" t="s">
        <v>2181</v>
      </c>
      <c r="K185" s="6" t="s">
        <v>15</v>
      </c>
      <c r="L185" s="6" t="s">
        <v>21</v>
      </c>
      <c r="M185" s="6" t="s">
        <v>117</v>
      </c>
      <c r="N185" s="7" t="s">
        <v>18</v>
      </c>
      <c r="O185" s="23" t="s">
        <v>3611</v>
      </c>
      <c r="R185" s="23" t="s">
        <v>3612</v>
      </c>
      <c r="S185" s="2" t="s">
        <v>3613</v>
      </c>
      <c r="T185" s="2" t="s">
        <v>3614</v>
      </c>
      <c r="U185" s="2" t="s">
        <v>3615</v>
      </c>
      <c r="V185" s="23" t="s">
        <v>3616</v>
      </c>
      <c r="W185" s="24" t="s">
        <v>3617</v>
      </c>
      <c r="X185" s="23" t="s">
        <v>3618</v>
      </c>
      <c r="Y185" s="23" t="s">
        <v>3619</v>
      </c>
      <c r="Z185" s="23" t="s">
        <v>3620</v>
      </c>
      <c r="AA185" s="23" t="s">
        <v>3621</v>
      </c>
    </row>
    <row r="186" spans="1:30" ht="15.75" customHeight="1">
      <c r="A186" s="4" t="s">
        <v>261</v>
      </c>
      <c r="B186" s="5">
        <v>2402</v>
      </c>
      <c r="C186" s="6" t="s">
        <v>375</v>
      </c>
      <c r="D186" s="7">
        <v>2022007788</v>
      </c>
      <c r="E186" s="7">
        <v>2201010864</v>
      </c>
      <c r="F186" s="7" t="s">
        <v>1804</v>
      </c>
      <c r="G186" s="7" t="s">
        <v>13</v>
      </c>
      <c r="H186" s="6" t="s">
        <v>376</v>
      </c>
      <c r="I186" s="6" t="s">
        <v>2182</v>
      </c>
      <c r="J186" s="6" t="s">
        <v>2183</v>
      </c>
      <c r="K186" s="6" t="s">
        <v>15</v>
      </c>
      <c r="L186" s="6" t="s">
        <v>21</v>
      </c>
      <c r="M186" s="6" t="s">
        <v>149</v>
      </c>
      <c r="N186" s="7" t="s">
        <v>18</v>
      </c>
      <c r="O186" s="23" t="s">
        <v>3611</v>
      </c>
      <c r="R186" s="23" t="s">
        <v>3612</v>
      </c>
      <c r="S186" s="2" t="s">
        <v>3613</v>
      </c>
      <c r="T186" s="2" t="s">
        <v>3614</v>
      </c>
      <c r="U186" s="2" t="s">
        <v>3615</v>
      </c>
      <c r="V186" s="23" t="s">
        <v>3616</v>
      </c>
      <c r="W186" s="24" t="s">
        <v>3617</v>
      </c>
      <c r="X186" s="23" t="s">
        <v>3618</v>
      </c>
      <c r="Y186" s="23" t="s">
        <v>3619</v>
      </c>
      <c r="Z186" s="23" t="s">
        <v>3620</v>
      </c>
      <c r="AA186" s="23" t="s">
        <v>3621</v>
      </c>
    </row>
    <row r="187" spans="1:30" ht="15.75" customHeight="1">
      <c r="A187" s="4" t="s">
        <v>261</v>
      </c>
      <c r="B187" s="5">
        <v>2402</v>
      </c>
      <c r="C187" s="6" t="s">
        <v>377</v>
      </c>
      <c r="D187" s="7">
        <v>2022505059</v>
      </c>
      <c r="E187" s="7">
        <v>2201010875</v>
      </c>
      <c r="F187" s="7" t="s">
        <v>1804</v>
      </c>
      <c r="G187" s="7" t="s">
        <v>13</v>
      </c>
      <c r="H187" s="6" t="s">
        <v>378</v>
      </c>
      <c r="I187" s="6" t="s">
        <v>2184</v>
      </c>
      <c r="J187" s="6" t="s">
        <v>2185</v>
      </c>
      <c r="K187" s="6" t="s">
        <v>15</v>
      </c>
      <c r="L187" s="6" t="s">
        <v>21</v>
      </c>
      <c r="M187" s="6" t="s">
        <v>17</v>
      </c>
      <c r="N187" s="7" t="s">
        <v>18</v>
      </c>
      <c r="O187" s="23" t="s">
        <v>3611</v>
      </c>
      <c r="R187" s="23" t="s">
        <v>3612</v>
      </c>
      <c r="S187" s="2" t="s">
        <v>3613</v>
      </c>
      <c r="T187" s="2" t="s">
        <v>3614</v>
      </c>
      <c r="U187" s="2" t="s">
        <v>3615</v>
      </c>
      <c r="V187" s="23" t="s">
        <v>3616</v>
      </c>
      <c r="W187" s="24" t="s">
        <v>3617</v>
      </c>
      <c r="X187" s="23" t="s">
        <v>3618</v>
      </c>
      <c r="Y187" s="23" t="s">
        <v>3619</v>
      </c>
      <c r="Z187" s="23" t="s">
        <v>3620</v>
      </c>
      <c r="AA187" s="23" t="s">
        <v>3621</v>
      </c>
    </row>
    <row r="188" spans="1:30" ht="15.75" customHeight="1">
      <c r="A188" s="4" t="s">
        <v>261</v>
      </c>
      <c r="B188" s="5">
        <v>2402</v>
      </c>
      <c r="C188" s="6" t="s">
        <v>363</v>
      </c>
      <c r="D188" s="7">
        <v>2022591631</v>
      </c>
      <c r="E188" s="7">
        <v>2201010888</v>
      </c>
      <c r="F188" s="7" t="s">
        <v>1804</v>
      </c>
      <c r="G188" s="7" t="s">
        <v>13</v>
      </c>
      <c r="H188" s="6" t="s">
        <v>364</v>
      </c>
      <c r="I188" s="6" t="s">
        <v>2186</v>
      </c>
      <c r="J188" s="6" t="s">
        <v>2187</v>
      </c>
      <c r="K188" s="6" t="s">
        <v>15</v>
      </c>
      <c r="L188" s="6" t="s">
        <v>21</v>
      </c>
      <c r="M188" s="6" t="s">
        <v>26</v>
      </c>
      <c r="N188" s="7" t="s">
        <v>18</v>
      </c>
      <c r="O188" s="23" t="s">
        <v>3611</v>
      </c>
      <c r="R188" s="23" t="s">
        <v>3612</v>
      </c>
      <c r="S188" s="2" t="s">
        <v>3613</v>
      </c>
      <c r="T188" s="2" t="s">
        <v>3614</v>
      </c>
      <c r="U188" s="2" t="s">
        <v>3615</v>
      </c>
      <c r="V188" s="23" t="s">
        <v>3616</v>
      </c>
      <c r="W188" s="24" t="s">
        <v>3617</v>
      </c>
      <c r="X188" s="23" t="s">
        <v>3618</v>
      </c>
      <c r="Y188" s="23" t="s">
        <v>3619</v>
      </c>
      <c r="Z188" s="23" t="s">
        <v>3620</v>
      </c>
      <c r="AA188" s="23" t="s">
        <v>3621</v>
      </c>
    </row>
    <row r="189" spans="1:30" ht="15.75" customHeight="1">
      <c r="A189" s="4" t="s">
        <v>261</v>
      </c>
      <c r="B189" s="5">
        <v>2402</v>
      </c>
      <c r="C189" s="6" t="s">
        <v>365</v>
      </c>
      <c r="D189" s="7">
        <v>2022608746</v>
      </c>
      <c r="E189" s="7">
        <v>2201010898</v>
      </c>
      <c r="F189" s="7" t="s">
        <v>1804</v>
      </c>
      <c r="G189" s="7" t="s">
        <v>13</v>
      </c>
      <c r="H189" s="6" t="s">
        <v>366</v>
      </c>
      <c r="I189" s="6" t="s">
        <v>2188</v>
      </c>
      <c r="J189" s="6" t="s">
        <v>2189</v>
      </c>
      <c r="K189" s="6" t="s">
        <v>15</v>
      </c>
      <c r="L189" s="6" t="s">
        <v>139</v>
      </c>
      <c r="M189" s="6" t="s">
        <v>149</v>
      </c>
      <c r="N189" s="7" t="s">
        <v>18</v>
      </c>
      <c r="O189" s="23" t="s">
        <v>3611</v>
      </c>
      <c r="R189" s="23" t="s">
        <v>3612</v>
      </c>
      <c r="S189" s="2" t="s">
        <v>3613</v>
      </c>
      <c r="T189" s="2" t="s">
        <v>3614</v>
      </c>
      <c r="U189" s="2" t="s">
        <v>3615</v>
      </c>
      <c r="V189" s="23" t="s">
        <v>3616</v>
      </c>
      <c r="W189" s="24" t="s">
        <v>3617</v>
      </c>
      <c r="X189" s="23" t="s">
        <v>3618</v>
      </c>
      <c r="Y189" s="23" t="s">
        <v>3619</v>
      </c>
      <c r="Z189" s="23" t="s">
        <v>3620</v>
      </c>
      <c r="AA189" s="23" t="s">
        <v>3621</v>
      </c>
    </row>
    <row r="190" spans="1:30" ht="15.75" customHeight="1">
      <c r="A190" s="4" t="s">
        <v>261</v>
      </c>
      <c r="B190" s="5">
        <v>2402</v>
      </c>
      <c r="C190" s="6" t="s">
        <v>768</v>
      </c>
      <c r="D190" s="7">
        <v>2022614550</v>
      </c>
      <c r="E190" s="7">
        <v>2201010901</v>
      </c>
      <c r="F190" s="7" t="s">
        <v>1804</v>
      </c>
      <c r="G190" s="7" t="s">
        <v>13</v>
      </c>
      <c r="H190" s="6" t="s">
        <v>769</v>
      </c>
      <c r="I190" s="6" t="s">
        <v>2190</v>
      </c>
      <c r="J190" s="6" t="s">
        <v>2191</v>
      </c>
      <c r="K190" s="6" t="s">
        <v>15</v>
      </c>
      <c r="L190" s="6" t="s">
        <v>149</v>
      </c>
      <c r="M190" s="6" t="s">
        <v>21</v>
      </c>
      <c r="N190" s="7" t="s">
        <v>18</v>
      </c>
      <c r="O190" s="23" t="s">
        <v>3611</v>
      </c>
      <c r="R190" s="23" t="s">
        <v>3612</v>
      </c>
      <c r="S190" s="2" t="s">
        <v>3613</v>
      </c>
      <c r="T190" s="2" t="s">
        <v>3614</v>
      </c>
      <c r="U190" s="2" t="s">
        <v>3615</v>
      </c>
      <c r="V190" s="23" t="s">
        <v>3616</v>
      </c>
      <c r="W190" s="24" t="s">
        <v>3617</v>
      </c>
      <c r="X190" s="23" t="s">
        <v>3618</v>
      </c>
      <c r="Y190" s="23" t="s">
        <v>3619</v>
      </c>
      <c r="Z190" s="23" t="s">
        <v>3620</v>
      </c>
      <c r="AA190" s="23" t="s">
        <v>3621</v>
      </c>
      <c r="AB190" s="8"/>
      <c r="AC190" s="8"/>
      <c r="AD190" s="8"/>
    </row>
    <row r="191" spans="1:30" ht="15.75" customHeight="1">
      <c r="A191" s="4" t="s">
        <v>261</v>
      </c>
      <c r="B191" s="5">
        <v>2402</v>
      </c>
      <c r="C191" s="6" t="s">
        <v>385</v>
      </c>
      <c r="D191" s="7">
        <v>2023322783</v>
      </c>
      <c r="E191" s="7">
        <v>2301017004</v>
      </c>
      <c r="F191" s="7" t="s">
        <v>1804</v>
      </c>
      <c r="G191" s="7" t="s">
        <v>13</v>
      </c>
      <c r="H191" s="11" t="s">
        <v>386</v>
      </c>
      <c r="I191" s="6" t="s">
        <v>2192</v>
      </c>
      <c r="J191" s="6" t="s">
        <v>2193</v>
      </c>
      <c r="K191" s="6" t="s">
        <v>15</v>
      </c>
      <c r="L191" s="6" t="s">
        <v>21</v>
      </c>
      <c r="M191" s="6" t="s">
        <v>21</v>
      </c>
      <c r="N191" s="7" t="s">
        <v>18</v>
      </c>
      <c r="O191" s="23" t="s">
        <v>3611</v>
      </c>
      <c r="R191" s="23" t="s">
        <v>3612</v>
      </c>
      <c r="S191" s="2" t="s">
        <v>3613</v>
      </c>
      <c r="T191" s="2" t="s">
        <v>3614</v>
      </c>
      <c r="U191" s="2" t="s">
        <v>3615</v>
      </c>
      <c r="V191" s="23" t="s">
        <v>3616</v>
      </c>
      <c r="W191" s="24" t="s">
        <v>3617</v>
      </c>
      <c r="X191" s="23" t="s">
        <v>3618</v>
      </c>
      <c r="Y191" s="23" t="s">
        <v>3619</v>
      </c>
      <c r="Z191" s="23" t="s">
        <v>3620</v>
      </c>
      <c r="AA191" s="23" t="s">
        <v>3621</v>
      </c>
    </row>
    <row r="192" spans="1:30" ht="15.75" customHeight="1">
      <c r="A192" s="4" t="s">
        <v>261</v>
      </c>
      <c r="B192" s="5">
        <v>2402</v>
      </c>
      <c r="C192" s="6" t="s">
        <v>383</v>
      </c>
      <c r="D192" s="7">
        <v>2023263567</v>
      </c>
      <c r="E192" s="7">
        <v>2301017005</v>
      </c>
      <c r="F192" s="7" t="s">
        <v>1804</v>
      </c>
      <c r="G192" s="7" t="s">
        <v>13</v>
      </c>
      <c r="H192" s="6" t="s">
        <v>384</v>
      </c>
      <c r="I192" s="6" t="s">
        <v>2194</v>
      </c>
      <c r="J192" s="6" t="s">
        <v>2195</v>
      </c>
      <c r="K192" s="6" t="s">
        <v>15</v>
      </c>
      <c r="L192" s="6" t="e">
        <v>#N/A</v>
      </c>
      <c r="M192" s="6" t="e">
        <v>#N/A</v>
      </c>
      <c r="N192" s="7" t="e">
        <v>#N/A</v>
      </c>
      <c r="O192" s="23" t="s">
        <v>3611</v>
      </c>
      <c r="R192" s="23" t="s">
        <v>3612</v>
      </c>
      <c r="S192" s="2" t="s">
        <v>3613</v>
      </c>
      <c r="T192" s="2" t="s">
        <v>3614</v>
      </c>
      <c r="U192" s="2" t="s">
        <v>3615</v>
      </c>
      <c r="V192" s="23" t="s">
        <v>3616</v>
      </c>
      <c r="W192" s="24" t="s">
        <v>3617</v>
      </c>
      <c r="X192" s="23" t="s">
        <v>3618</v>
      </c>
      <c r="Y192" s="23" t="s">
        <v>3619</v>
      </c>
      <c r="Z192" s="23" t="s">
        <v>3620</v>
      </c>
      <c r="AA192" s="23" t="s">
        <v>3621</v>
      </c>
    </row>
    <row r="193" spans="1:27" ht="15.75" customHeight="1">
      <c r="A193" s="4" t="s">
        <v>261</v>
      </c>
      <c r="B193" s="5">
        <v>2402</v>
      </c>
      <c r="C193" s="6" t="s">
        <v>381</v>
      </c>
      <c r="D193" s="7">
        <v>2023205860</v>
      </c>
      <c r="E193" s="7">
        <v>2301017011</v>
      </c>
      <c r="F193" s="7" t="s">
        <v>1804</v>
      </c>
      <c r="G193" s="7" t="s">
        <v>13</v>
      </c>
      <c r="H193" s="11" t="s">
        <v>382</v>
      </c>
      <c r="I193" s="6" t="s">
        <v>2196</v>
      </c>
      <c r="J193" s="6" t="s">
        <v>2197</v>
      </c>
      <c r="K193" s="6" t="s">
        <v>15</v>
      </c>
      <c r="L193" s="6" t="s">
        <v>21</v>
      </c>
      <c r="M193" s="6" t="s">
        <v>21</v>
      </c>
      <c r="N193" s="7" t="s">
        <v>18</v>
      </c>
      <c r="O193" s="23" t="s">
        <v>3611</v>
      </c>
      <c r="R193" s="23" t="s">
        <v>3612</v>
      </c>
      <c r="S193" s="2" t="s">
        <v>3613</v>
      </c>
      <c r="T193" s="2" t="s">
        <v>3614</v>
      </c>
      <c r="U193" s="2" t="s">
        <v>3615</v>
      </c>
      <c r="V193" s="23" t="s">
        <v>3616</v>
      </c>
      <c r="W193" s="24" t="s">
        <v>3617</v>
      </c>
      <c r="X193" s="23" t="s">
        <v>3618</v>
      </c>
      <c r="Y193" s="23" t="s">
        <v>3619</v>
      </c>
      <c r="Z193" s="23" t="s">
        <v>3620</v>
      </c>
      <c r="AA193" s="23" t="s">
        <v>3621</v>
      </c>
    </row>
    <row r="194" spans="1:27" ht="15.75" customHeight="1">
      <c r="A194" s="4" t="s">
        <v>389</v>
      </c>
      <c r="B194" s="5">
        <v>2402</v>
      </c>
      <c r="C194" s="6" t="s">
        <v>473</v>
      </c>
      <c r="D194" s="7">
        <v>2022508346</v>
      </c>
      <c r="E194" s="7">
        <v>2201010003</v>
      </c>
      <c r="F194" s="7" t="s">
        <v>1805</v>
      </c>
      <c r="G194" s="7" t="s">
        <v>13</v>
      </c>
      <c r="H194" s="6" t="s">
        <v>474</v>
      </c>
      <c r="I194" s="6" t="s">
        <v>2198</v>
      </c>
      <c r="J194" s="6" t="s">
        <v>2199</v>
      </c>
      <c r="K194" s="6" t="s">
        <v>15</v>
      </c>
      <c r="L194" s="6" t="s">
        <v>149</v>
      </c>
      <c r="M194" s="6" t="s">
        <v>21</v>
      </c>
      <c r="N194" s="7" t="s">
        <v>18</v>
      </c>
      <c r="O194" s="23" t="s">
        <v>3611</v>
      </c>
      <c r="R194" s="23" t="s">
        <v>3612</v>
      </c>
      <c r="S194" s="2" t="s">
        <v>3613</v>
      </c>
      <c r="T194" s="2" t="s">
        <v>3614</v>
      </c>
      <c r="U194" s="2" t="s">
        <v>3615</v>
      </c>
      <c r="V194" s="23" t="s">
        <v>3616</v>
      </c>
      <c r="W194" s="24" t="s">
        <v>3617</v>
      </c>
      <c r="X194" s="23" t="s">
        <v>3618</v>
      </c>
      <c r="Y194" s="23" t="s">
        <v>3619</v>
      </c>
      <c r="Z194" s="23" t="s">
        <v>3620</v>
      </c>
      <c r="AA194" s="23" t="s">
        <v>3621</v>
      </c>
    </row>
    <row r="195" spans="1:27" ht="15.75" customHeight="1">
      <c r="A195" s="4" t="s">
        <v>389</v>
      </c>
      <c r="B195" s="5">
        <v>2402</v>
      </c>
      <c r="C195" s="6" t="s">
        <v>505</v>
      </c>
      <c r="D195" s="7">
        <v>2022552819</v>
      </c>
      <c r="E195" s="7">
        <v>2201010005</v>
      </c>
      <c r="F195" s="7" t="s">
        <v>1805</v>
      </c>
      <c r="G195" s="7" t="s">
        <v>13</v>
      </c>
      <c r="H195" s="6" t="s">
        <v>506</v>
      </c>
      <c r="I195" s="6" t="s">
        <v>2200</v>
      </c>
      <c r="J195" s="6" t="s">
        <v>2201</v>
      </c>
      <c r="K195" s="6" t="s">
        <v>15</v>
      </c>
      <c r="L195" s="6" t="s">
        <v>17</v>
      </c>
      <c r="M195" s="6" t="s">
        <v>21</v>
      </c>
      <c r="N195" s="7" t="s">
        <v>18</v>
      </c>
      <c r="O195" s="23" t="s">
        <v>3611</v>
      </c>
      <c r="R195" s="23" t="s">
        <v>3612</v>
      </c>
      <c r="S195" s="2" t="s">
        <v>3613</v>
      </c>
      <c r="T195" s="2" t="s">
        <v>3614</v>
      </c>
      <c r="U195" s="2" t="s">
        <v>3615</v>
      </c>
      <c r="V195" s="23" t="s">
        <v>3616</v>
      </c>
      <c r="W195" s="24" t="s">
        <v>3617</v>
      </c>
      <c r="X195" s="23" t="s">
        <v>3618</v>
      </c>
      <c r="Y195" s="23" t="s">
        <v>3619</v>
      </c>
      <c r="Z195" s="23" t="s">
        <v>3620</v>
      </c>
      <c r="AA195" s="23" t="s">
        <v>3621</v>
      </c>
    </row>
    <row r="196" spans="1:27" ht="15.75" customHeight="1">
      <c r="A196" s="4" t="s">
        <v>389</v>
      </c>
      <c r="B196" s="5">
        <v>2402</v>
      </c>
      <c r="C196" s="6" t="s">
        <v>454</v>
      </c>
      <c r="D196" s="7">
        <v>2022469915</v>
      </c>
      <c r="E196" s="7">
        <v>2201010008</v>
      </c>
      <c r="F196" s="7" t="s">
        <v>1805</v>
      </c>
      <c r="G196" s="7" t="s">
        <v>13</v>
      </c>
      <c r="H196" s="6" t="s">
        <v>455</v>
      </c>
      <c r="I196" s="6" t="s">
        <v>2202</v>
      </c>
      <c r="J196" s="6" t="s">
        <v>2203</v>
      </c>
      <c r="K196" s="6" t="s">
        <v>15</v>
      </c>
      <c r="L196" s="6" t="s">
        <v>21</v>
      </c>
      <c r="M196" s="6" t="s">
        <v>117</v>
      </c>
      <c r="N196" s="7" t="s">
        <v>18</v>
      </c>
      <c r="O196" s="23" t="s">
        <v>3611</v>
      </c>
      <c r="R196" s="23" t="s">
        <v>3612</v>
      </c>
      <c r="S196" s="2" t="s">
        <v>3613</v>
      </c>
      <c r="T196" s="2" t="s">
        <v>3614</v>
      </c>
      <c r="U196" s="2" t="s">
        <v>3615</v>
      </c>
      <c r="V196" s="23" t="s">
        <v>3616</v>
      </c>
      <c r="W196" s="24" t="s">
        <v>3617</v>
      </c>
      <c r="X196" s="23" t="s">
        <v>3618</v>
      </c>
      <c r="Y196" s="23" t="s">
        <v>3619</v>
      </c>
      <c r="Z196" s="23" t="s">
        <v>3620</v>
      </c>
      <c r="AA196" s="23" t="s">
        <v>3621</v>
      </c>
    </row>
    <row r="197" spans="1:27" ht="15.75" customHeight="1">
      <c r="A197" s="4" t="s">
        <v>389</v>
      </c>
      <c r="B197" s="5">
        <v>2402</v>
      </c>
      <c r="C197" s="6" t="s">
        <v>434</v>
      </c>
      <c r="D197" s="7">
        <v>2022410342</v>
      </c>
      <c r="E197" s="7">
        <v>2201010039</v>
      </c>
      <c r="F197" s="7" t="s">
        <v>1805</v>
      </c>
      <c r="G197" s="7" t="s">
        <v>13</v>
      </c>
      <c r="H197" s="6" t="s">
        <v>435</v>
      </c>
      <c r="I197" s="6" t="s">
        <v>2204</v>
      </c>
      <c r="J197" s="6" t="s">
        <v>2205</v>
      </c>
      <c r="K197" s="6" t="s">
        <v>15</v>
      </c>
      <c r="L197" s="6" t="s">
        <v>149</v>
      </c>
      <c r="M197" s="6" t="s">
        <v>21</v>
      </c>
      <c r="N197" s="7" t="s">
        <v>18</v>
      </c>
      <c r="O197" s="23" t="s">
        <v>3611</v>
      </c>
      <c r="R197" s="23" t="s">
        <v>3612</v>
      </c>
      <c r="S197" s="2" t="s">
        <v>3613</v>
      </c>
      <c r="T197" s="2" t="s">
        <v>3614</v>
      </c>
      <c r="U197" s="2" t="s">
        <v>3615</v>
      </c>
      <c r="V197" s="23" t="s">
        <v>3616</v>
      </c>
      <c r="W197" s="24" t="s">
        <v>3617</v>
      </c>
      <c r="X197" s="23" t="s">
        <v>3618</v>
      </c>
      <c r="Y197" s="23" t="s">
        <v>3619</v>
      </c>
      <c r="Z197" s="23" t="s">
        <v>3620</v>
      </c>
      <c r="AA197" s="23" t="s">
        <v>3621</v>
      </c>
    </row>
    <row r="198" spans="1:27" ht="15.75" customHeight="1">
      <c r="A198" s="4" t="s">
        <v>389</v>
      </c>
      <c r="B198" s="5">
        <v>2402</v>
      </c>
      <c r="C198" s="6" t="s">
        <v>432</v>
      </c>
      <c r="D198" s="7">
        <v>2022405479</v>
      </c>
      <c r="E198" s="7">
        <v>2201010062</v>
      </c>
      <c r="F198" s="7" t="s">
        <v>1805</v>
      </c>
      <c r="G198" s="7" t="s">
        <v>13</v>
      </c>
      <c r="H198" s="6" t="s">
        <v>433</v>
      </c>
      <c r="I198" s="6" t="s">
        <v>2206</v>
      </c>
      <c r="J198" s="6" t="s">
        <v>2207</v>
      </c>
      <c r="K198" s="6" t="s">
        <v>15</v>
      </c>
      <c r="L198" s="6" t="s">
        <v>149</v>
      </c>
      <c r="M198" s="6" t="s">
        <v>21</v>
      </c>
      <c r="N198" s="7" t="s">
        <v>18</v>
      </c>
      <c r="O198" s="23" t="s">
        <v>3611</v>
      </c>
      <c r="R198" s="23" t="s">
        <v>3612</v>
      </c>
      <c r="S198" s="2" t="s">
        <v>3613</v>
      </c>
      <c r="T198" s="2" t="s">
        <v>3614</v>
      </c>
      <c r="U198" s="2" t="s">
        <v>3615</v>
      </c>
      <c r="V198" s="23" t="s">
        <v>3616</v>
      </c>
      <c r="W198" s="24" t="s">
        <v>3617</v>
      </c>
      <c r="X198" s="23" t="s">
        <v>3618</v>
      </c>
      <c r="Y198" s="23" t="s">
        <v>3619</v>
      </c>
      <c r="Z198" s="23" t="s">
        <v>3620</v>
      </c>
      <c r="AA198" s="23" t="s">
        <v>3621</v>
      </c>
    </row>
    <row r="199" spans="1:27" ht="15.75" customHeight="1">
      <c r="A199" s="4" t="s">
        <v>389</v>
      </c>
      <c r="B199" s="5">
        <v>2402</v>
      </c>
      <c r="C199" s="6" t="s">
        <v>446</v>
      </c>
      <c r="D199" s="7">
        <v>2022448964</v>
      </c>
      <c r="E199" s="7">
        <v>2201010080</v>
      </c>
      <c r="F199" s="7" t="s">
        <v>1805</v>
      </c>
      <c r="G199" s="7" t="s">
        <v>13</v>
      </c>
      <c r="H199" s="6" t="s">
        <v>447</v>
      </c>
      <c r="I199" s="6" t="s">
        <v>2208</v>
      </c>
      <c r="J199" s="6" t="s">
        <v>2209</v>
      </c>
      <c r="K199" s="6" t="s">
        <v>15</v>
      </c>
      <c r="L199" s="6" t="s">
        <v>21</v>
      </c>
      <c r="M199" s="6" t="s">
        <v>149</v>
      </c>
      <c r="N199" s="7" t="s">
        <v>18</v>
      </c>
      <c r="O199" s="23" t="s">
        <v>3611</v>
      </c>
      <c r="R199" s="23" t="s">
        <v>3612</v>
      </c>
      <c r="S199" s="2" t="s">
        <v>3613</v>
      </c>
      <c r="T199" s="2" t="s">
        <v>3614</v>
      </c>
      <c r="U199" s="2" t="s">
        <v>3615</v>
      </c>
      <c r="V199" s="23" t="s">
        <v>3616</v>
      </c>
      <c r="W199" s="24" t="s">
        <v>3617</v>
      </c>
      <c r="X199" s="23" t="s">
        <v>3618</v>
      </c>
      <c r="Y199" s="23" t="s">
        <v>3619</v>
      </c>
      <c r="Z199" s="23" t="s">
        <v>3620</v>
      </c>
      <c r="AA199" s="23" t="s">
        <v>3621</v>
      </c>
    </row>
    <row r="200" spans="1:27" ht="15.75" customHeight="1">
      <c r="A200" s="4" t="s">
        <v>389</v>
      </c>
      <c r="B200" s="5">
        <v>2402</v>
      </c>
      <c r="C200" s="6" t="s">
        <v>479</v>
      </c>
      <c r="D200" s="7">
        <v>2022516410</v>
      </c>
      <c r="E200" s="7">
        <v>2201010082</v>
      </c>
      <c r="F200" s="7" t="s">
        <v>1805</v>
      </c>
      <c r="G200" s="7" t="s">
        <v>13</v>
      </c>
      <c r="H200" s="6" t="s">
        <v>480</v>
      </c>
      <c r="I200" s="6" t="s">
        <v>2210</v>
      </c>
      <c r="J200" s="6" t="s">
        <v>2211</v>
      </c>
      <c r="K200" s="6" t="s">
        <v>15</v>
      </c>
      <c r="L200" s="6" t="s">
        <v>21</v>
      </c>
      <c r="M200" s="6" t="s">
        <v>149</v>
      </c>
      <c r="N200" s="7" t="s">
        <v>18</v>
      </c>
      <c r="O200" s="23" t="s">
        <v>3611</v>
      </c>
      <c r="R200" s="23" t="s">
        <v>3612</v>
      </c>
      <c r="S200" s="2" t="s">
        <v>3613</v>
      </c>
      <c r="T200" s="2" t="s">
        <v>3614</v>
      </c>
      <c r="U200" s="2" t="s">
        <v>3615</v>
      </c>
      <c r="V200" s="23" t="s">
        <v>3616</v>
      </c>
      <c r="W200" s="24" t="s">
        <v>3617</v>
      </c>
      <c r="X200" s="23" t="s">
        <v>3618</v>
      </c>
      <c r="Y200" s="23" t="s">
        <v>3619</v>
      </c>
      <c r="Z200" s="23" t="s">
        <v>3620</v>
      </c>
      <c r="AA200" s="23" t="s">
        <v>3621</v>
      </c>
    </row>
    <row r="201" spans="1:27" ht="15.75" customHeight="1">
      <c r="A201" s="4" t="s">
        <v>389</v>
      </c>
      <c r="B201" s="5">
        <v>2402</v>
      </c>
      <c r="C201" s="6" t="s">
        <v>440</v>
      </c>
      <c r="D201" s="7">
        <v>2022433429</v>
      </c>
      <c r="E201" s="7">
        <v>2201010083</v>
      </c>
      <c r="F201" s="7" t="s">
        <v>1805</v>
      </c>
      <c r="G201" s="7" t="s">
        <v>13</v>
      </c>
      <c r="H201" s="6" t="s">
        <v>441</v>
      </c>
      <c r="I201" s="6" t="s">
        <v>2212</v>
      </c>
      <c r="J201" s="6" t="s">
        <v>2213</v>
      </c>
      <c r="K201" s="6" t="s">
        <v>15</v>
      </c>
      <c r="L201" s="6" t="s">
        <v>21</v>
      </c>
      <c r="M201" s="6" t="s">
        <v>104</v>
      </c>
      <c r="N201" s="7" t="s">
        <v>18</v>
      </c>
      <c r="O201" s="23" t="s">
        <v>3611</v>
      </c>
      <c r="R201" s="23" t="s">
        <v>3612</v>
      </c>
      <c r="S201" s="2" t="s">
        <v>3613</v>
      </c>
      <c r="T201" s="2" t="s">
        <v>3614</v>
      </c>
      <c r="U201" s="2" t="s">
        <v>3615</v>
      </c>
      <c r="V201" s="23" t="s">
        <v>3616</v>
      </c>
      <c r="W201" s="24" t="s">
        <v>3617</v>
      </c>
      <c r="X201" s="23" t="s">
        <v>3618</v>
      </c>
      <c r="Y201" s="23" t="s">
        <v>3619</v>
      </c>
      <c r="Z201" s="23" t="s">
        <v>3620</v>
      </c>
      <c r="AA201" s="23" t="s">
        <v>3621</v>
      </c>
    </row>
    <row r="202" spans="1:27" ht="15.75" customHeight="1">
      <c r="A202" s="4" t="s">
        <v>389</v>
      </c>
      <c r="B202" s="5">
        <v>2402</v>
      </c>
      <c r="C202" s="6" t="s">
        <v>501</v>
      </c>
      <c r="D202" s="7">
        <v>2022544781</v>
      </c>
      <c r="E202" s="7">
        <v>2201010131</v>
      </c>
      <c r="F202" s="7" t="s">
        <v>1805</v>
      </c>
      <c r="G202" s="7" t="s">
        <v>13</v>
      </c>
      <c r="H202" s="6" t="s">
        <v>502</v>
      </c>
      <c r="I202" s="6" t="s">
        <v>2214</v>
      </c>
      <c r="J202" s="6" t="s">
        <v>2215</v>
      </c>
      <c r="K202" s="6" t="s">
        <v>15</v>
      </c>
      <c r="L202" s="6" t="e">
        <v>#N/A</v>
      </c>
      <c r="M202" s="6" t="e">
        <v>#N/A</v>
      </c>
      <c r="N202" s="7" t="e">
        <v>#N/A</v>
      </c>
      <c r="O202" s="23" t="s">
        <v>3611</v>
      </c>
      <c r="R202" s="23" t="s">
        <v>3612</v>
      </c>
      <c r="S202" s="2" t="s">
        <v>3613</v>
      </c>
      <c r="T202" s="2" t="s">
        <v>3614</v>
      </c>
      <c r="U202" s="2" t="s">
        <v>3615</v>
      </c>
      <c r="V202" s="23" t="s">
        <v>3616</v>
      </c>
      <c r="W202" s="24" t="s">
        <v>3617</v>
      </c>
      <c r="X202" s="23" t="s">
        <v>3618</v>
      </c>
      <c r="Y202" s="23" t="s">
        <v>3619</v>
      </c>
      <c r="Z202" s="23" t="s">
        <v>3620</v>
      </c>
      <c r="AA202" s="23" t="s">
        <v>3621</v>
      </c>
    </row>
    <row r="203" spans="1:27" ht="15.75" customHeight="1">
      <c r="A203" s="4" t="s">
        <v>389</v>
      </c>
      <c r="B203" s="5">
        <v>2402</v>
      </c>
      <c r="C203" s="6" t="s">
        <v>438</v>
      </c>
      <c r="D203" s="7">
        <v>2022413603</v>
      </c>
      <c r="E203" s="7">
        <v>2201010153</v>
      </c>
      <c r="F203" s="7" t="s">
        <v>1805</v>
      </c>
      <c r="G203" s="7" t="s">
        <v>13</v>
      </c>
      <c r="H203" s="6" t="s">
        <v>439</v>
      </c>
      <c r="I203" s="6" t="s">
        <v>2216</v>
      </c>
      <c r="J203" s="6" t="s">
        <v>2217</v>
      </c>
      <c r="K203" s="6" t="s">
        <v>15</v>
      </c>
      <c r="L203" s="6" t="s">
        <v>149</v>
      </c>
      <c r="M203" s="6" t="s">
        <v>21</v>
      </c>
      <c r="N203" s="7" t="s">
        <v>18</v>
      </c>
      <c r="O203" s="23" t="s">
        <v>3611</v>
      </c>
      <c r="R203" s="23" t="s">
        <v>3612</v>
      </c>
      <c r="S203" s="2" t="s">
        <v>3613</v>
      </c>
      <c r="T203" s="2" t="s">
        <v>3614</v>
      </c>
      <c r="U203" s="2" t="s">
        <v>3615</v>
      </c>
      <c r="V203" s="23" t="s">
        <v>3616</v>
      </c>
      <c r="W203" s="24" t="s">
        <v>3617</v>
      </c>
      <c r="X203" s="23" t="s">
        <v>3618</v>
      </c>
      <c r="Y203" s="23" t="s">
        <v>3619</v>
      </c>
      <c r="Z203" s="23" t="s">
        <v>3620</v>
      </c>
      <c r="AA203" s="23" t="s">
        <v>3621</v>
      </c>
    </row>
    <row r="204" spans="1:27" ht="15.75" customHeight="1">
      <c r="A204" s="4" t="s">
        <v>389</v>
      </c>
      <c r="B204" s="5">
        <v>2402</v>
      </c>
      <c r="C204" s="6" t="s">
        <v>493</v>
      </c>
      <c r="D204" s="7">
        <v>2022531916</v>
      </c>
      <c r="E204" s="7">
        <v>2201010163</v>
      </c>
      <c r="F204" s="7" t="s">
        <v>1805</v>
      </c>
      <c r="G204" s="7" t="s">
        <v>13</v>
      </c>
      <c r="H204" s="6" t="s">
        <v>494</v>
      </c>
      <c r="I204" s="6" t="s">
        <v>2218</v>
      </c>
      <c r="J204" s="6" t="s">
        <v>2219</v>
      </c>
      <c r="K204" s="6" t="s">
        <v>15</v>
      </c>
      <c r="L204" s="6" t="s">
        <v>21</v>
      </c>
      <c r="M204" s="6" t="s">
        <v>26</v>
      </c>
      <c r="N204" s="7" t="s">
        <v>18</v>
      </c>
      <c r="O204" s="23" t="s">
        <v>3611</v>
      </c>
      <c r="R204" s="23" t="s">
        <v>3612</v>
      </c>
      <c r="S204" s="2" t="s">
        <v>3613</v>
      </c>
      <c r="T204" s="2" t="s">
        <v>3614</v>
      </c>
      <c r="U204" s="2" t="s">
        <v>3615</v>
      </c>
      <c r="V204" s="23" t="s">
        <v>3616</v>
      </c>
      <c r="W204" s="24" t="s">
        <v>3617</v>
      </c>
      <c r="X204" s="23" t="s">
        <v>3618</v>
      </c>
      <c r="Y204" s="23" t="s">
        <v>3619</v>
      </c>
      <c r="Z204" s="23" t="s">
        <v>3620</v>
      </c>
      <c r="AA204" s="23" t="s">
        <v>3621</v>
      </c>
    </row>
    <row r="205" spans="1:27" ht="15.75" customHeight="1">
      <c r="A205" s="4" t="s">
        <v>389</v>
      </c>
      <c r="B205" s="5">
        <v>2402</v>
      </c>
      <c r="C205" s="6" t="s">
        <v>483</v>
      </c>
      <c r="D205" s="7">
        <v>2022519020</v>
      </c>
      <c r="E205" s="7">
        <v>2201010185</v>
      </c>
      <c r="F205" s="7" t="s">
        <v>1805</v>
      </c>
      <c r="G205" s="7" t="s">
        <v>13</v>
      </c>
      <c r="H205" s="6" t="s">
        <v>484</v>
      </c>
      <c r="I205" s="6" t="s">
        <v>2220</v>
      </c>
      <c r="J205" s="6" t="s">
        <v>2221</v>
      </c>
      <c r="K205" s="6" t="s">
        <v>15</v>
      </c>
      <c r="L205" s="6" t="s">
        <v>149</v>
      </c>
      <c r="M205" s="6" t="s">
        <v>117</v>
      </c>
      <c r="N205" s="7" t="s">
        <v>18</v>
      </c>
      <c r="O205" s="23" t="s">
        <v>3611</v>
      </c>
      <c r="R205" s="23" t="s">
        <v>3612</v>
      </c>
      <c r="S205" s="2" t="s">
        <v>3613</v>
      </c>
      <c r="T205" s="2" t="s">
        <v>3614</v>
      </c>
      <c r="U205" s="2" t="s">
        <v>3615</v>
      </c>
      <c r="V205" s="23" t="s">
        <v>3616</v>
      </c>
      <c r="W205" s="24" t="s">
        <v>3617</v>
      </c>
      <c r="X205" s="23" t="s">
        <v>3618</v>
      </c>
      <c r="Y205" s="23" t="s">
        <v>3619</v>
      </c>
      <c r="Z205" s="23" t="s">
        <v>3620</v>
      </c>
      <c r="AA205" s="23" t="s">
        <v>3621</v>
      </c>
    </row>
    <row r="206" spans="1:27" ht="15.75" customHeight="1">
      <c r="A206" s="4" t="s">
        <v>389</v>
      </c>
      <c r="B206" s="5">
        <v>2402</v>
      </c>
      <c r="C206" s="6" t="s">
        <v>491</v>
      </c>
      <c r="D206" s="7">
        <v>2022528415</v>
      </c>
      <c r="E206" s="7">
        <v>2201010188</v>
      </c>
      <c r="F206" s="7" t="s">
        <v>1805</v>
      </c>
      <c r="G206" s="7" t="s">
        <v>13</v>
      </c>
      <c r="H206" s="6" t="s">
        <v>492</v>
      </c>
      <c r="I206" s="6" t="s">
        <v>2222</v>
      </c>
      <c r="J206" s="6">
        <v>0</v>
      </c>
      <c r="K206" s="6" t="s">
        <v>15</v>
      </c>
      <c r="L206" s="6" t="s">
        <v>21</v>
      </c>
      <c r="M206" s="6" t="s">
        <v>17</v>
      </c>
      <c r="N206" s="7" t="s">
        <v>18</v>
      </c>
      <c r="O206" s="23" t="s">
        <v>3611</v>
      </c>
      <c r="R206" s="23" t="s">
        <v>3612</v>
      </c>
      <c r="S206" s="2" t="s">
        <v>3613</v>
      </c>
      <c r="T206" s="2" t="s">
        <v>3614</v>
      </c>
      <c r="U206" s="2" t="s">
        <v>3615</v>
      </c>
      <c r="V206" s="23" t="s">
        <v>3616</v>
      </c>
      <c r="W206" s="24" t="s">
        <v>3617</v>
      </c>
      <c r="X206" s="23" t="s">
        <v>3618</v>
      </c>
      <c r="Y206" s="23" t="s">
        <v>3619</v>
      </c>
      <c r="Z206" s="23" t="s">
        <v>3620</v>
      </c>
      <c r="AA206" s="23" t="s">
        <v>3621</v>
      </c>
    </row>
    <row r="207" spans="1:27" ht="15.75" customHeight="1">
      <c r="A207" s="4" t="s">
        <v>389</v>
      </c>
      <c r="B207" s="5">
        <v>2402</v>
      </c>
      <c r="C207" s="6" t="s">
        <v>398</v>
      </c>
      <c r="D207" s="7">
        <v>2022003287</v>
      </c>
      <c r="E207" s="7">
        <v>2201010190</v>
      </c>
      <c r="F207" s="7" t="s">
        <v>1805</v>
      </c>
      <c r="G207" s="7" t="s">
        <v>13</v>
      </c>
      <c r="H207" s="6" t="s">
        <v>399</v>
      </c>
      <c r="I207" s="6" t="s">
        <v>2223</v>
      </c>
      <c r="J207" s="6" t="s">
        <v>2224</v>
      </c>
      <c r="K207" s="6" t="s">
        <v>15</v>
      </c>
      <c r="L207" s="6" t="s">
        <v>21</v>
      </c>
      <c r="M207" s="6" t="s">
        <v>16</v>
      </c>
      <c r="N207" s="7" t="s">
        <v>18</v>
      </c>
      <c r="O207" s="23" t="s">
        <v>3611</v>
      </c>
      <c r="R207" s="23" t="s">
        <v>3612</v>
      </c>
      <c r="S207" s="2" t="s">
        <v>3613</v>
      </c>
      <c r="T207" s="2" t="s">
        <v>3614</v>
      </c>
      <c r="U207" s="2" t="s">
        <v>3615</v>
      </c>
      <c r="V207" s="23" t="s">
        <v>3616</v>
      </c>
      <c r="W207" s="24" t="s">
        <v>3617</v>
      </c>
      <c r="X207" s="23" t="s">
        <v>3618</v>
      </c>
      <c r="Y207" s="23" t="s">
        <v>3619</v>
      </c>
      <c r="Z207" s="23" t="s">
        <v>3620</v>
      </c>
      <c r="AA207" s="23" t="s">
        <v>3621</v>
      </c>
    </row>
    <row r="208" spans="1:27" ht="15.75" customHeight="1">
      <c r="A208" s="4" t="s">
        <v>389</v>
      </c>
      <c r="B208" s="5">
        <v>2402</v>
      </c>
      <c r="C208" s="6" t="s">
        <v>475</v>
      </c>
      <c r="D208" s="7">
        <v>2022514536</v>
      </c>
      <c r="E208" s="7">
        <v>2201010203</v>
      </c>
      <c r="F208" s="7" t="s">
        <v>1805</v>
      </c>
      <c r="G208" s="7" t="s">
        <v>13</v>
      </c>
      <c r="H208" s="6" t="s">
        <v>476</v>
      </c>
      <c r="I208" s="6" t="s">
        <v>2225</v>
      </c>
      <c r="J208" s="6" t="s">
        <v>2226</v>
      </c>
      <c r="K208" s="6" t="s">
        <v>15</v>
      </c>
      <c r="L208" s="6" t="s">
        <v>21</v>
      </c>
      <c r="M208" s="6" t="s">
        <v>21</v>
      </c>
      <c r="N208" s="7" t="s">
        <v>18</v>
      </c>
      <c r="O208" s="23" t="s">
        <v>3611</v>
      </c>
      <c r="R208" s="23" t="s">
        <v>3612</v>
      </c>
      <c r="S208" s="2" t="s">
        <v>3613</v>
      </c>
      <c r="T208" s="2" t="s">
        <v>3614</v>
      </c>
      <c r="U208" s="2" t="s">
        <v>3615</v>
      </c>
      <c r="V208" s="23" t="s">
        <v>3616</v>
      </c>
      <c r="W208" s="24" t="s">
        <v>3617</v>
      </c>
      <c r="X208" s="23" t="s">
        <v>3618</v>
      </c>
      <c r="Y208" s="23" t="s">
        <v>3619</v>
      </c>
      <c r="Z208" s="23" t="s">
        <v>3620</v>
      </c>
      <c r="AA208" s="23" t="s">
        <v>3621</v>
      </c>
    </row>
    <row r="209" spans="1:30" ht="15.75" customHeight="1">
      <c r="A209" s="4" t="s">
        <v>389</v>
      </c>
      <c r="B209" s="5">
        <v>2402</v>
      </c>
      <c r="C209" s="6" t="s">
        <v>460</v>
      </c>
      <c r="D209" s="7">
        <v>2022481431</v>
      </c>
      <c r="E209" s="7">
        <v>2201010213</v>
      </c>
      <c r="F209" s="7" t="s">
        <v>1805</v>
      </c>
      <c r="G209" s="7" t="s">
        <v>13</v>
      </c>
      <c r="H209" s="6" t="s">
        <v>461</v>
      </c>
      <c r="I209" s="6" t="s">
        <v>2227</v>
      </c>
      <c r="J209" s="6" t="s">
        <v>2228</v>
      </c>
      <c r="K209" s="6" t="s">
        <v>15</v>
      </c>
      <c r="L209" s="6" t="s">
        <v>149</v>
      </c>
      <c r="M209" s="6" t="s">
        <v>17</v>
      </c>
      <c r="N209" s="7" t="s">
        <v>18</v>
      </c>
      <c r="O209" s="23" t="s">
        <v>3611</v>
      </c>
      <c r="R209" s="23" t="s">
        <v>3612</v>
      </c>
      <c r="S209" s="2" t="s">
        <v>3613</v>
      </c>
      <c r="T209" s="2" t="s">
        <v>3614</v>
      </c>
      <c r="U209" s="2" t="s">
        <v>3615</v>
      </c>
      <c r="V209" s="23" t="s">
        <v>3616</v>
      </c>
      <c r="W209" s="24" t="s">
        <v>3617</v>
      </c>
      <c r="X209" s="23" t="s">
        <v>3618</v>
      </c>
      <c r="Y209" s="23" t="s">
        <v>3619</v>
      </c>
      <c r="Z209" s="23" t="s">
        <v>3620</v>
      </c>
      <c r="AA209" s="23" t="s">
        <v>3621</v>
      </c>
    </row>
    <row r="210" spans="1:30" ht="15.75" customHeight="1">
      <c r="A210" s="4" t="s">
        <v>389</v>
      </c>
      <c r="B210" s="5">
        <v>2402</v>
      </c>
      <c r="C210" s="6" t="s">
        <v>467</v>
      </c>
      <c r="D210" s="7">
        <v>2022497244</v>
      </c>
      <c r="E210" s="7">
        <v>2201010237</v>
      </c>
      <c r="F210" s="7" t="s">
        <v>1805</v>
      </c>
      <c r="G210" s="7" t="s">
        <v>13</v>
      </c>
      <c r="H210" s="6" t="s">
        <v>468</v>
      </c>
      <c r="I210" s="6" t="s">
        <v>2229</v>
      </c>
      <c r="J210" s="6" t="s">
        <v>2230</v>
      </c>
      <c r="K210" s="6" t="s">
        <v>15</v>
      </c>
      <c r="L210" s="6" t="s">
        <v>149</v>
      </c>
      <c r="M210" s="6" t="s">
        <v>21</v>
      </c>
      <c r="N210" s="7" t="s">
        <v>18</v>
      </c>
      <c r="O210" s="23" t="s">
        <v>3611</v>
      </c>
      <c r="R210" s="23" t="s">
        <v>3612</v>
      </c>
      <c r="S210" s="2" t="s">
        <v>3613</v>
      </c>
      <c r="T210" s="2" t="s">
        <v>3614</v>
      </c>
      <c r="U210" s="2" t="s">
        <v>3615</v>
      </c>
      <c r="V210" s="23" t="s">
        <v>3616</v>
      </c>
      <c r="W210" s="24" t="s">
        <v>3617</v>
      </c>
      <c r="X210" s="23" t="s">
        <v>3618</v>
      </c>
      <c r="Y210" s="23" t="s">
        <v>3619</v>
      </c>
      <c r="Z210" s="23" t="s">
        <v>3620</v>
      </c>
      <c r="AA210" s="23" t="s">
        <v>3621</v>
      </c>
    </row>
    <row r="211" spans="1:30" ht="15.75" customHeight="1">
      <c r="A211" s="4" t="s">
        <v>389</v>
      </c>
      <c r="B211" s="5">
        <v>2402</v>
      </c>
      <c r="C211" s="6" t="s">
        <v>509</v>
      </c>
      <c r="D211" s="7">
        <v>2022000239</v>
      </c>
      <c r="E211" s="7">
        <v>2201010239</v>
      </c>
      <c r="F211" s="7" t="s">
        <v>1805</v>
      </c>
      <c r="G211" s="7" t="s">
        <v>13</v>
      </c>
      <c r="H211" s="6" t="s">
        <v>510</v>
      </c>
      <c r="I211" s="6" t="s">
        <v>2231</v>
      </c>
      <c r="J211" s="6" t="s">
        <v>2232</v>
      </c>
      <c r="K211" s="6" t="s">
        <v>15</v>
      </c>
      <c r="L211" s="6" t="s">
        <v>21</v>
      </c>
      <c r="M211" s="6" t="s">
        <v>16</v>
      </c>
      <c r="N211" s="7" t="s">
        <v>18</v>
      </c>
      <c r="O211" s="23" t="s">
        <v>3611</v>
      </c>
      <c r="R211" s="23" t="s">
        <v>3612</v>
      </c>
      <c r="S211" s="2" t="s">
        <v>3613</v>
      </c>
      <c r="T211" s="2" t="s">
        <v>3614</v>
      </c>
      <c r="U211" s="2" t="s">
        <v>3615</v>
      </c>
      <c r="V211" s="23" t="s">
        <v>3616</v>
      </c>
      <c r="W211" s="24" t="s">
        <v>3617</v>
      </c>
      <c r="X211" s="23" t="s">
        <v>3618</v>
      </c>
      <c r="Y211" s="23" t="s">
        <v>3619</v>
      </c>
      <c r="Z211" s="23" t="s">
        <v>3620</v>
      </c>
      <c r="AA211" s="23" t="s">
        <v>3621</v>
      </c>
    </row>
    <row r="212" spans="1:30" ht="15.75" customHeight="1">
      <c r="A212" s="4" t="s">
        <v>389</v>
      </c>
      <c r="B212" s="5">
        <v>2402</v>
      </c>
      <c r="C212" s="6" t="s">
        <v>402</v>
      </c>
      <c r="D212" s="7">
        <v>2022003691</v>
      </c>
      <c r="E212" s="7">
        <v>2201010245</v>
      </c>
      <c r="F212" s="7" t="s">
        <v>1805</v>
      </c>
      <c r="G212" s="7" t="s">
        <v>13</v>
      </c>
      <c r="H212" s="6" t="s">
        <v>403</v>
      </c>
      <c r="I212" s="6" t="s">
        <v>2233</v>
      </c>
      <c r="J212" s="6" t="s">
        <v>2234</v>
      </c>
      <c r="K212" s="6" t="s">
        <v>15</v>
      </c>
      <c r="L212" s="6" t="s">
        <v>149</v>
      </c>
      <c r="M212" s="6" t="s">
        <v>26</v>
      </c>
      <c r="N212" s="7" t="s">
        <v>18</v>
      </c>
      <c r="O212" s="23" t="s">
        <v>3611</v>
      </c>
      <c r="R212" s="23" t="s">
        <v>3612</v>
      </c>
      <c r="S212" s="2" t="s">
        <v>3613</v>
      </c>
      <c r="T212" s="2" t="s">
        <v>3614</v>
      </c>
      <c r="U212" s="2" t="s">
        <v>3615</v>
      </c>
      <c r="V212" s="23" t="s">
        <v>3616</v>
      </c>
      <c r="W212" s="24" t="s">
        <v>3617</v>
      </c>
      <c r="X212" s="23" t="s">
        <v>3618</v>
      </c>
      <c r="Y212" s="23" t="s">
        <v>3619</v>
      </c>
      <c r="Z212" s="23" t="s">
        <v>3620</v>
      </c>
      <c r="AA212" s="23" t="s">
        <v>3621</v>
      </c>
    </row>
    <row r="213" spans="1:30" ht="15.75" customHeight="1">
      <c r="A213" s="4" t="s">
        <v>389</v>
      </c>
      <c r="B213" s="5">
        <v>2402</v>
      </c>
      <c r="C213" s="6" t="s">
        <v>497</v>
      </c>
      <c r="D213" s="7">
        <v>2022540214</v>
      </c>
      <c r="E213" s="7">
        <v>2201010246</v>
      </c>
      <c r="F213" s="7" t="s">
        <v>1805</v>
      </c>
      <c r="G213" s="7" t="s">
        <v>13</v>
      </c>
      <c r="H213" s="6" t="s">
        <v>498</v>
      </c>
      <c r="I213" s="6" t="s">
        <v>2235</v>
      </c>
      <c r="J213" s="6" t="s">
        <v>2236</v>
      </c>
      <c r="K213" s="6" t="s">
        <v>15</v>
      </c>
      <c r="L213" s="6" t="s">
        <v>21</v>
      </c>
      <c r="M213" s="6" t="s">
        <v>17</v>
      </c>
      <c r="N213" s="7" t="s">
        <v>18</v>
      </c>
      <c r="O213" s="23" t="s">
        <v>3611</v>
      </c>
      <c r="R213" s="23" t="s">
        <v>3612</v>
      </c>
      <c r="S213" s="2" t="s">
        <v>3613</v>
      </c>
      <c r="T213" s="2" t="s">
        <v>3614</v>
      </c>
      <c r="U213" s="2" t="s">
        <v>3615</v>
      </c>
      <c r="V213" s="23" t="s">
        <v>3616</v>
      </c>
      <c r="W213" s="24" t="s">
        <v>3617</v>
      </c>
      <c r="X213" s="23" t="s">
        <v>3618</v>
      </c>
      <c r="Y213" s="23" t="s">
        <v>3619</v>
      </c>
      <c r="Z213" s="23" t="s">
        <v>3620</v>
      </c>
      <c r="AA213" s="23" t="s">
        <v>3621</v>
      </c>
      <c r="AB213" s="8"/>
      <c r="AC213" s="8"/>
      <c r="AD213" s="8"/>
    </row>
    <row r="214" spans="1:30" ht="15.75" customHeight="1">
      <c r="A214" s="4" t="s">
        <v>389</v>
      </c>
      <c r="B214" s="5">
        <v>2402</v>
      </c>
      <c r="C214" s="6" t="s">
        <v>436</v>
      </c>
      <c r="D214" s="7">
        <v>2022413331</v>
      </c>
      <c r="E214" s="7">
        <v>2201010271</v>
      </c>
      <c r="F214" s="7" t="s">
        <v>1805</v>
      </c>
      <c r="G214" s="7" t="s">
        <v>13</v>
      </c>
      <c r="H214" s="6" t="s">
        <v>437</v>
      </c>
      <c r="I214" s="6" t="s">
        <v>2237</v>
      </c>
      <c r="J214" s="6" t="s">
        <v>2238</v>
      </c>
      <c r="K214" s="6" t="s">
        <v>15</v>
      </c>
      <c r="L214" s="6" t="s">
        <v>21</v>
      </c>
      <c r="M214" s="6" t="s">
        <v>149</v>
      </c>
      <c r="N214" s="7" t="s">
        <v>18</v>
      </c>
      <c r="O214" s="23" t="s">
        <v>3611</v>
      </c>
      <c r="R214" s="23" t="s">
        <v>3612</v>
      </c>
      <c r="S214" s="2" t="s">
        <v>3613</v>
      </c>
      <c r="T214" s="2" t="s">
        <v>3614</v>
      </c>
      <c r="U214" s="2" t="s">
        <v>3615</v>
      </c>
      <c r="V214" s="23" t="s">
        <v>3616</v>
      </c>
      <c r="W214" s="24" t="s">
        <v>3617</v>
      </c>
      <c r="X214" s="23" t="s">
        <v>3618</v>
      </c>
      <c r="Y214" s="23" t="s">
        <v>3619</v>
      </c>
      <c r="Z214" s="23" t="s">
        <v>3620</v>
      </c>
      <c r="AA214" s="23" t="s">
        <v>3621</v>
      </c>
      <c r="AB214" s="8"/>
      <c r="AC214" s="8"/>
      <c r="AD214" s="8"/>
    </row>
    <row r="215" spans="1:30" ht="15.75" customHeight="1">
      <c r="A215" s="4" t="s">
        <v>389</v>
      </c>
      <c r="B215" s="5">
        <v>2402</v>
      </c>
      <c r="C215" s="6" t="s">
        <v>408</v>
      </c>
      <c r="D215" s="7">
        <v>2022005252</v>
      </c>
      <c r="E215" s="7">
        <v>2201010278</v>
      </c>
      <c r="F215" s="7" t="s">
        <v>1805</v>
      </c>
      <c r="G215" s="7" t="s">
        <v>13</v>
      </c>
      <c r="H215" s="6" t="s">
        <v>409</v>
      </c>
      <c r="I215" s="6" t="s">
        <v>2239</v>
      </c>
      <c r="J215" s="6" t="s">
        <v>2240</v>
      </c>
      <c r="K215" s="6" t="s">
        <v>15</v>
      </c>
      <c r="L215" s="6" t="s">
        <v>16</v>
      </c>
      <c r="M215" s="6" t="s">
        <v>149</v>
      </c>
      <c r="N215" s="7" t="s">
        <v>18</v>
      </c>
      <c r="O215" s="23" t="s">
        <v>3611</v>
      </c>
      <c r="R215" s="23" t="s">
        <v>3612</v>
      </c>
      <c r="S215" s="2" t="s">
        <v>3613</v>
      </c>
      <c r="T215" s="2" t="s">
        <v>3614</v>
      </c>
      <c r="U215" s="2" t="s">
        <v>3615</v>
      </c>
      <c r="V215" s="23" t="s">
        <v>3616</v>
      </c>
      <c r="W215" s="24" t="s">
        <v>3617</v>
      </c>
      <c r="X215" s="23" t="s">
        <v>3618</v>
      </c>
      <c r="Y215" s="23" t="s">
        <v>3619</v>
      </c>
      <c r="Z215" s="23" t="s">
        <v>3620</v>
      </c>
      <c r="AA215" s="23" t="s">
        <v>3621</v>
      </c>
    </row>
    <row r="216" spans="1:30" ht="15.75" customHeight="1">
      <c r="A216" s="4" t="s">
        <v>389</v>
      </c>
      <c r="B216" s="5">
        <v>2402</v>
      </c>
      <c r="C216" s="6" t="s">
        <v>414</v>
      </c>
      <c r="D216" s="7">
        <v>2022006470</v>
      </c>
      <c r="E216" s="7">
        <v>2201010281</v>
      </c>
      <c r="F216" s="7" t="s">
        <v>1805</v>
      </c>
      <c r="G216" s="7" t="s">
        <v>13</v>
      </c>
      <c r="H216" s="6" t="s">
        <v>415</v>
      </c>
      <c r="I216" s="6" t="s">
        <v>2241</v>
      </c>
      <c r="J216" s="6" t="s">
        <v>2242</v>
      </c>
      <c r="K216" s="6" t="s">
        <v>15</v>
      </c>
      <c r="L216" s="6" t="s">
        <v>21</v>
      </c>
      <c r="M216" s="6" t="s">
        <v>16</v>
      </c>
      <c r="N216" s="7" t="s">
        <v>18</v>
      </c>
      <c r="O216" s="23" t="s">
        <v>3611</v>
      </c>
      <c r="R216" s="23" t="s">
        <v>3612</v>
      </c>
      <c r="S216" s="2" t="s">
        <v>3613</v>
      </c>
      <c r="T216" s="2" t="s">
        <v>3614</v>
      </c>
      <c r="U216" s="2" t="s">
        <v>3615</v>
      </c>
      <c r="V216" s="23" t="s">
        <v>3616</v>
      </c>
      <c r="W216" s="24" t="s">
        <v>3617</v>
      </c>
      <c r="X216" s="23" t="s">
        <v>3618</v>
      </c>
      <c r="Y216" s="23" t="s">
        <v>3619</v>
      </c>
      <c r="Z216" s="23" t="s">
        <v>3620</v>
      </c>
      <c r="AA216" s="23" t="s">
        <v>3621</v>
      </c>
    </row>
    <row r="217" spans="1:30" ht="15.75" customHeight="1">
      <c r="A217" s="4" t="s">
        <v>389</v>
      </c>
      <c r="B217" s="5">
        <v>2402</v>
      </c>
      <c r="C217" s="6" t="s">
        <v>313</v>
      </c>
      <c r="D217" s="7">
        <v>2022484179</v>
      </c>
      <c r="E217" s="7">
        <v>2201010285</v>
      </c>
      <c r="F217" s="7" t="s">
        <v>1805</v>
      </c>
      <c r="G217" s="7" t="s">
        <v>13</v>
      </c>
      <c r="H217" s="6" t="s">
        <v>462</v>
      </c>
      <c r="I217" s="6" t="s">
        <v>2243</v>
      </c>
      <c r="J217" s="6" t="s">
        <v>2244</v>
      </c>
      <c r="K217" s="6" t="s">
        <v>15</v>
      </c>
      <c r="L217" s="6" t="s">
        <v>149</v>
      </c>
      <c r="M217" s="6" t="s">
        <v>104</v>
      </c>
      <c r="N217" s="7" t="s">
        <v>18</v>
      </c>
      <c r="O217" s="23" t="s">
        <v>3611</v>
      </c>
      <c r="R217" s="23" t="s">
        <v>3612</v>
      </c>
      <c r="S217" s="2" t="s">
        <v>3613</v>
      </c>
      <c r="T217" s="2" t="s">
        <v>3614</v>
      </c>
      <c r="U217" s="2" t="s">
        <v>3615</v>
      </c>
      <c r="V217" s="23" t="s">
        <v>3616</v>
      </c>
      <c r="W217" s="24" t="s">
        <v>3617</v>
      </c>
      <c r="X217" s="23" t="s">
        <v>3618</v>
      </c>
      <c r="Y217" s="23" t="s">
        <v>3619</v>
      </c>
      <c r="Z217" s="23" t="s">
        <v>3620</v>
      </c>
      <c r="AA217" s="23" t="s">
        <v>3621</v>
      </c>
    </row>
    <row r="218" spans="1:30" ht="15.75" customHeight="1">
      <c r="A218" s="4" t="s">
        <v>389</v>
      </c>
      <c r="B218" s="5">
        <v>2402</v>
      </c>
      <c r="C218" s="6" t="s">
        <v>452</v>
      </c>
      <c r="D218" s="7">
        <v>2022469745</v>
      </c>
      <c r="E218" s="7">
        <v>2201010306</v>
      </c>
      <c r="F218" s="7" t="s">
        <v>1805</v>
      </c>
      <c r="G218" s="7" t="s">
        <v>13</v>
      </c>
      <c r="H218" s="6" t="s">
        <v>453</v>
      </c>
      <c r="I218" s="6" t="s">
        <v>2245</v>
      </c>
      <c r="J218" s="6" t="s">
        <v>2246</v>
      </c>
      <c r="K218" s="6" t="s">
        <v>15</v>
      </c>
      <c r="L218" s="6" t="s">
        <v>21</v>
      </c>
      <c r="M218" s="6" t="s">
        <v>117</v>
      </c>
      <c r="N218" s="7" t="s">
        <v>18</v>
      </c>
      <c r="O218" s="23" t="s">
        <v>3611</v>
      </c>
      <c r="R218" s="23" t="s">
        <v>3612</v>
      </c>
      <c r="S218" s="2" t="s">
        <v>3613</v>
      </c>
      <c r="T218" s="2" t="s">
        <v>3614</v>
      </c>
      <c r="U218" s="2" t="s">
        <v>3615</v>
      </c>
      <c r="V218" s="23" t="s">
        <v>3616</v>
      </c>
      <c r="W218" s="24" t="s">
        <v>3617</v>
      </c>
      <c r="X218" s="23" t="s">
        <v>3618</v>
      </c>
      <c r="Y218" s="23" t="s">
        <v>3619</v>
      </c>
      <c r="Z218" s="23" t="s">
        <v>3620</v>
      </c>
      <c r="AA218" s="23" t="s">
        <v>3621</v>
      </c>
    </row>
    <row r="219" spans="1:30" ht="15.75" customHeight="1">
      <c r="A219" s="4" t="s">
        <v>389</v>
      </c>
      <c r="B219" s="5">
        <v>2402</v>
      </c>
      <c r="C219" s="6" t="s">
        <v>410</v>
      </c>
      <c r="D219" s="7">
        <v>2022005495</v>
      </c>
      <c r="E219" s="7">
        <v>2201010329</v>
      </c>
      <c r="F219" s="7" t="s">
        <v>1805</v>
      </c>
      <c r="G219" s="7" t="s">
        <v>13</v>
      </c>
      <c r="H219" s="6" t="s">
        <v>411</v>
      </c>
      <c r="I219" s="6" t="s">
        <v>2247</v>
      </c>
      <c r="J219" s="6" t="s">
        <v>2248</v>
      </c>
      <c r="K219" s="6" t="s">
        <v>15</v>
      </c>
      <c r="L219" s="6" t="s">
        <v>21</v>
      </c>
      <c r="M219" s="6" t="s">
        <v>17</v>
      </c>
      <c r="N219" s="7" t="s">
        <v>18</v>
      </c>
      <c r="O219" s="23" t="s">
        <v>3611</v>
      </c>
      <c r="R219" s="23" t="s">
        <v>3612</v>
      </c>
      <c r="S219" s="2" t="s">
        <v>3613</v>
      </c>
      <c r="T219" s="2" t="s">
        <v>3614</v>
      </c>
      <c r="U219" s="2" t="s">
        <v>3615</v>
      </c>
      <c r="V219" s="23" t="s">
        <v>3616</v>
      </c>
      <c r="W219" s="24" t="s">
        <v>3617</v>
      </c>
      <c r="X219" s="23" t="s">
        <v>3618</v>
      </c>
      <c r="Y219" s="23" t="s">
        <v>3619</v>
      </c>
      <c r="Z219" s="23" t="s">
        <v>3620</v>
      </c>
      <c r="AA219" s="23" t="s">
        <v>3621</v>
      </c>
    </row>
    <row r="220" spans="1:30" ht="15.75" customHeight="1">
      <c r="A220" s="4" t="s">
        <v>389</v>
      </c>
      <c r="B220" s="5">
        <v>2402</v>
      </c>
      <c r="C220" s="6" t="s">
        <v>390</v>
      </c>
      <c r="D220" s="7">
        <v>2022567867</v>
      </c>
      <c r="E220" s="7">
        <v>2201010333</v>
      </c>
      <c r="F220" s="7" t="s">
        <v>1805</v>
      </c>
      <c r="G220" s="7" t="s">
        <v>13</v>
      </c>
      <c r="H220" s="6" t="s">
        <v>391</v>
      </c>
      <c r="I220" s="6" t="s">
        <v>2249</v>
      </c>
      <c r="J220" s="6" t="s">
        <v>2250</v>
      </c>
      <c r="K220" s="6" t="s">
        <v>15</v>
      </c>
      <c r="L220" s="6" t="s">
        <v>149</v>
      </c>
      <c r="M220" s="6" t="s">
        <v>21</v>
      </c>
      <c r="N220" s="7" t="s">
        <v>18</v>
      </c>
      <c r="O220" s="23" t="s">
        <v>3611</v>
      </c>
      <c r="R220" s="23" t="s">
        <v>3612</v>
      </c>
      <c r="S220" s="2" t="s">
        <v>3613</v>
      </c>
      <c r="T220" s="2" t="s">
        <v>3614</v>
      </c>
      <c r="U220" s="2" t="s">
        <v>3615</v>
      </c>
      <c r="V220" s="23" t="s">
        <v>3616</v>
      </c>
      <c r="W220" s="24" t="s">
        <v>3617</v>
      </c>
      <c r="X220" s="23" t="s">
        <v>3618</v>
      </c>
      <c r="Y220" s="23" t="s">
        <v>3619</v>
      </c>
      <c r="Z220" s="23" t="s">
        <v>3620</v>
      </c>
      <c r="AA220" s="23" t="s">
        <v>3621</v>
      </c>
      <c r="AB220" s="9"/>
      <c r="AC220" s="9"/>
      <c r="AD220" s="9"/>
    </row>
    <row r="221" spans="1:30" ht="15.75" customHeight="1">
      <c r="A221" s="4" t="s">
        <v>389</v>
      </c>
      <c r="B221" s="5">
        <v>2402</v>
      </c>
      <c r="C221" s="6" t="s">
        <v>513</v>
      </c>
      <c r="D221" s="7">
        <v>2022395723</v>
      </c>
      <c r="E221" s="7">
        <v>2201010346</v>
      </c>
      <c r="F221" s="7" t="s">
        <v>1805</v>
      </c>
      <c r="G221" s="7" t="s">
        <v>13</v>
      </c>
      <c r="H221" s="6" t="s">
        <v>514</v>
      </c>
      <c r="I221" s="6" t="s">
        <v>2251</v>
      </c>
      <c r="J221" s="6" t="s">
        <v>2252</v>
      </c>
      <c r="K221" s="6" t="s">
        <v>15</v>
      </c>
      <c r="L221" s="6" t="s">
        <v>21</v>
      </c>
      <c r="M221" s="6" t="s">
        <v>16</v>
      </c>
      <c r="N221" s="7" t="s">
        <v>18</v>
      </c>
      <c r="O221" s="23" t="s">
        <v>3611</v>
      </c>
      <c r="R221" s="23" t="s">
        <v>3612</v>
      </c>
      <c r="S221" s="2" t="s">
        <v>3613</v>
      </c>
      <c r="T221" s="2" t="s">
        <v>3614</v>
      </c>
      <c r="U221" s="2" t="s">
        <v>3615</v>
      </c>
      <c r="V221" s="23" t="s">
        <v>3616</v>
      </c>
      <c r="W221" s="24" t="s">
        <v>3617</v>
      </c>
      <c r="X221" s="23" t="s">
        <v>3618</v>
      </c>
      <c r="Y221" s="23" t="s">
        <v>3619</v>
      </c>
      <c r="Z221" s="23" t="s">
        <v>3620</v>
      </c>
      <c r="AA221" s="23" t="s">
        <v>3621</v>
      </c>
      <c r="AB221" s="9"/>
      <c r="AC221" s="9"/>
      <c r="AD221" s="9"/>
    </row>
    <row r="222" spans="1:30" ht="15.75" customHeight="1">
      <c r="A222" s="4" t="s">
        <v>389</v>
      </c>
      <c r="B222" s="5">
        <v>2402</v>
      </c>
      <c r="C222" s="6" t="s">
        <v>477</v>
      </c>
      <c r="D222" s="7">
        <v>2022515249</v>
      </c>
      <c r="E222" s="7">
        <v>2201010352</v>
      </c>
      <c r="F222" s="7" t="s">
        <v>1805</v>
      </c>
      <c r="G222" s="7" t="s">
        <v>13</v>
      </c>
      <c r="H222" s="6" t="s">
        <v>478</v>
      </c>
      <c r="I222" s="6" t="s">
        <v>2253</v>
      </c>
      <c r="J222" s="6" t="s">
        <v>2254</v>
      </c>
      <c r="K222" s="6" t="s">
        <v>15</v>
      </c>
      <c r="L222" s="6" t="s">
        <v>149</v>
      </c>
      <c r="M222" s="6" t="s">
        <v>21</v>
      </c>
      <c r="N222" s="7" t="s">
        <v>18</v>
      </c>
      <c r="O222" s="23" t="s">
        <v>3611</v>
      </c>
      <c r="R222" s="23" t="s">
        <v>3612</v>
      </c>
      <c r="S222" s="2" t="s">
        <v>3613</v>
      </c>
      <c r="T222" s="2" t="s">
        <v>3614</v>
      </c>
      <c r="U222" s="2" t="s">
        <v>3615</v>
      </c>
      <c r="V222" s="23" t="s">
        <v>3616</v>
      </c>
      <c r="W222" s="24" t="s">
        <v>3617</v>
      </c>
      <c r="X222" s="23" t="s">
        <v>3618</v>
      </c>
      <c r="Y222" s="23" t="s">
        <v>3619</v>
      </c>
      <c r="Z222" s="23" t="s">
        <v>3620</v>
      </c>
      <c r="AA222" s="23" t="s">
        <v>3621</v>
      </c>
      <c r="AB222" s="9"/>
      <c r="AC222" s="9"/>
      <c r="AD222" s="9"/>
    </row>
    <row r="223" spans="1:30" ht="15.75" customHeight="1">
      <c r="A223" s="4" t="s">
        <v>389</v>
      </c>
      <c r="B223" s="5">
        <v>2402</v>
      </c>
      <c r="C223" s="6" t="s">
        <v>511</v>
      </c>
      <c r="D223" s="7">
        <v>2022369814</v>
      </c>
      <c r="E223" s="7">
        <v>2201010367</v>
      </c>
      <c r="F223" s="7" t="s">
        <v>1805</v>
      </c>
      <c r="G223" s="7" t="s">
        <v>13</v>
      </c>
      <c r="H223" s="6" t="s">
        <v>512</v>
      </c>
      <c r="I223" s="6" t="s">
        <v>2255</v>
      </c>
      <c r="J223" s="6" t="s">
        <v>2256</v>
      </c>
      <c r="K223" s="6" t="s">
        <v>15</v>
      </c>
      <c r="L223" s="6" t="s">
        <v>21</v>
      </c>
      <c r="M223" s="6" t="s">
        <v>16</v>
      </c>
      <c r="N223" s="7" t="s">
        <v>18</v>
      </c>
      <c r="O223" s="23" t="s">
        <v>3611</v>
      </c>
      <c r="R223" s="23" t="s">
        <v>3612</v>
      </c>
      <c r="S223" s="2" t="s">
        <v>3613</v>
      </c>
      <c r="T223" s="2" t="s">
        <v>3614</v>
      </c>
      <c r="U223" s="2" t="s">
        <v>3615</v>
      </c>
      <c r="V223" s="23" t="s">
        <v>3616</v>
      </c>
      <c r="W223" s="24" t="s">
        <v>3617</v>
      </c>
      <c r="X223" s="23" t="s">
        <v>3618</v>
      </c>
      <c r="Y223" s="23" t="s">
        <v>3619</v>
      </c>
      <c r="Z223" s="23" t="s">
        <v>3620</v>
      </c>
      <c r="AA223" s="23" t="s">
        <v>3621</v>
      </c>
    </row>
    <row r="224" spans="1:30" ht="15.75" customHeight="1">
      <c r="A224" s="4" t="s">
        <v>389</v>
      </c>
      <c r="B224" s="5">
        <v>2402</v>
      </c>
      <c r="C224" s="6" t="s">
        <v>481</v>
      </c>
      <c r="D224" s="7">
        <v>2022517877</v>
      </c>
      <c r="E224" s="7">
        <v>2201010401</v>
      </c>
      <c r="F224" s="7" t="s">
        <v>1805</v>
      </c>
      <c r="G224" s="7" t="s">
        <v>13</v>
      </c>
      <c r="H224" s="6" t="s">
        <v>482</v>
      </c>
      <c r="I224" s="6" t="s">
        <v>2257</v>
      </c>
      <c r="J224" s="6" t="s">
        <v>2258</v>
      </c>
      <c r="K224" s="6" t="s">
        <v>15</v>
      </c>
      <c r="L224" s="6" t="s">
        <v>149</v>
      </c>
      <c r="M224" s="6" t="s">
        <v>21</v>
      </c>
      <c r="N224" s="7" t="s">
        <v>18</v>
      </c>
      <c r="O224" s="23" t="s">
        <v>3611</v>
      </c>
      <c r="R224" s="23" t="s">
        <v>3612</v>
      </c>
      <c r="S224" s="2" t="s">
        <v>3613</v>
      </c>
      <c r="T224" s="2" t="s">
        <v>3614</v>
      </c>
      <c r="U224" s="2" t="s">
        <v>3615</v>
      </c>
      <c r="V224" s="23" t="s">
        <v>3616</v>
      </c>
      <c r="W224" s="24" t="s">
        <v>3617</v>
      </c>
      <c r="X224" s="23" t="s">
        <v>3618</v>
      </c>
      <c r="Y224" s="23" t="s">
        <v>3619</v>
      </c>
      <c r="Z224" s="23" t="s">
        <v>3620</v>
      </c>
      <c r="AA224" s="23" t="s">
        <v>3621</v>
      </c>
    </row>
    <row r="225" spans="1:27" ht="15.75" customHeight="1">
      <c r="A225" s="4" t="s">
        <v>389</v>
      </c>
      <c r="B225" s="5">
        <v>2402</v>
      </c>
      <c r="C225" s="6" t="s">
        <v>424</v>
      </c>
      <c r="D225" s="7">
        <v>2022366848</v>
      </c>
      <c r="E225" s="7">
        <v>2201010414</v>
      </c>
      <c r="F225" s="7" t="s">
        <v>1805</v>
      </c>
      <c r="G225" s="7" t="s">
        <v>13</v>
      </c>
      <c r="H225" s="6" t="s">
        <v>425</v>
      </c>
      <c r="I225" s="6" t="s">
        <v>2259</v>
      </c>
      <c r="J225" s="6" t="s">
        <v>2260</v>
      </c>
      <c r="K225" s="6" t="s">
        <v>15</v>
      </c>
      <c r="L225" s="6" t="s">
        <v>21</v>
      </c>
      <c r="M225" s="6" t="s">
        <v>149</v>
      </c>
      <c r="N225" s="7" t="s">
        <v>18</v>
      </c>
      <c r="O225" s="23" t="s">
        <v>3611</v>
      </c>
      <c r="R225" s="23" t="s">
        <v>3612</v>
      </c>
      <c r="S225" s="2" t="s">
        <v>3613</v>
      </c>
      <c r="T225" s="2" t="s">
        <v>3614</v>
      </c>
      <c r="U225" s="2" t="s">
        <v>3615</v>
      </c>
      <c r="V225" s="23" t="s">
        <v>3616</v>
      </c>
      <c r="W225" s="24" t="s">
        <v>3617</v>
      </c>
      <c r="X225" s="23" t="s">
        <v>3618</v>
      </c>
      <c r="Y225" s="23" t="s">
        <v>3619</v>
      </c>
      <c r="Z225" s="23" t="s">
        <v>3620</v>
      </c>
      <c r="AA225" s="23" t="s">
        <v>3621</v>
      </c>
    </row>
    <row r="226" spans="1:27" ht="15.75" customHeight="1">
      <c r="A226" s="4" t="s">
        <v>389</v>
      </c>
      <c r="B226" s="5">
        <v>2402</v>
      </c>
      <c r="C226" s="6" t="s">
        <v>404</v>
      </c>
      <c r="D226" s="7">
        <v>2022003834</v>
      </c>
      <c r="E226" s="7">
        <v>2201010418</v>
      </c>
      <c r="F226" s="7" t="s">
        <v>1805</v>
      </c>
      <c r="G226" s="7" t="s">
        <v>13</v>
      </c>
      <c r="H226" s="6" t="s">
        <v>405</v>
      </c>
      <c r="I226" s="6" t="s">
        <v>2261</v>
      </c>
      <c r="J226" s="6" t="s">
        <v>2262</v>
      </c>
      <c r="K226" s="6" t="s">
        <v>15</v>
      </c>
      <c r="L226" s="6" t="s">
        <v>149</v>
      </c>
      <c r="M226" s="6" t="s">
        <v>16</v>
      </c>
      <c r="N226" s="7" t="s">
        <v>18</v>
      </c>
      <c r="O226" s="23" t="s">
        <v>3611</v>
      </c>
      <c r="R226" s="23" t="s">
        <v>3612</v>
      </c>
      <c r="S226" s="2" t="s">
        <v>3613</v>
      </c>
      <c r="T226" s="2" t="s">
        <v>3614</v>
      </c>
      <c r="U226" s="2" t="s">
        <v>3615</v>
      </c>
      <c r="V226" s="23" t="s">
        <v>3616</v>
      </c>
      <c r="W226" s="24" t="s">
        <v>3617</v>
      </c>
      <c r="X226" s="23" t="s">
        <v>3618</v>
      </c>
      <c r="Y226" s="23" t="s">
        <v>3619</v>
      </c>
      <c r="Z226" s="23" t="s">
        <v>3620</v>
      </c>
      <c r="AA226" s="23" t="s">
        <v>3621</v>
      </c>
    </row>
    <row r="227" spans="1:27" ht="15.75" customHeight="1">
      <c r="A227" s="4" t="s">
        <v>389</v>
      </c>
      <c r="B227" s="5">
        <v>2402</v>
      </c>
      <c r="C227" s="6" t="s">
        <v>507</v>
      </c>
      <c r="D227" s="7">
        <v>2022808929</v>
      </c>
      <c r="E227" s="7">
        <v>2201010445</v>
      </c>
      <c r="F227" s="7" t="s">
        <v>1805</v>
      </c>
      <c r="G227" s="7" t="s">
        <v>13</v>
      </c>
      <c r="H227" s="6" t="s">
        <v>508</v>
      </c>
      <c r="I227" s="6" t="s">
        <v>2263</v>
      </c>
      <c r="J227" s="6" t="s">
        <v>2264</v>
      </c>
      <c r="K227" s="6" t="s">
        <v>15</v>
      </c>
      <c r="L227" s="6" t="s">
        <v>49</v>
      </c>
      <c r="M227" s="6" t="s">
        <v>117</v>
      </c>
      <c r="N227" s="7" t="s">
        <v>18</v>
      </c>
      <c r="O227" s="23" t="s">
        <v>3611</v>
      </c>
      <c r="R227" s="23" t="s">
        <v>3612</v>
      </c>
      <c r="S227" s="2" t="s">
        <v>3613</v>
      </c>
      <c r="T227" s="2" t="s">
        <v>3614</v>
      </c>
      <c r="U227" s="2" t="s">
        <v>3615</v>
      </c>
      <c r="V227" s="23" t="s">
        <v>3616</v>
      </c>
      <c r="W227" s="24" t="s">
        <v>3617</v>
      </c>
      <c r="X227" s="23" t="s">
        <v>3618</v>
      </c>
      <c r="Y227" s="23" t="s">
        <v>3619</v>
      </c>
      <c r="Z227" s="23" t="s">
        <v>3620</v>
      </c>
      <c r="AA227" s="23" t="s">
        <v>3621</v>
      </c>
    </row>
    <row r="228" spans="1:27" ht="15.75" customHeight="1">
      <c r="A228" s="4" t="s">
        <v>389</v>
      </c>
      <c r="B228" s="5">
        <v>2402</v>
      </c>
      <c r="C228" s="6" t="s">
        <v>499</v>
      </c>
      <c r="D228" s="7">
        <v>2022541296</v>
      </c>
      <c r="E228" s="7">
        <v>2201010466</v>
      </c>
      <c r="F228" s="7" t="s">
        <v>1805</v>
      </c>
      <c r="G228" s="7" t="s">
        <v>13</v>
      </c>
      <c r="H228" s="6" t="s">
        <v>500</v>
      </c>
      <c r="I228" s="6" t="s">
        <v>2265</v>
      </c>
      <c r="J228" s="6" t="s">
        <v>2266</v>
      </c>
      <c r="K228" s="6" t="s">
        <v>15</v>
      </c>
      <c r="L228" s="6" t="s">
        <v>21</v>
      </c>
      <c r="M228" s="6" t="s">
        <v>17</v>
      </c>
      <c r="N228" s="7" t="s">
        <v>18</v>
      </c>
      <c r="O228" s="23" t="s">
        <v>3611</v>
      </c>
      <c r="R228" s="23" t="s">
        <v>3612</v>
      </c>
      <c r="S228" s="2" t="s">
        <v>3613</v>
      </c>
      <c r="T228" s="2" t="s">
        <v>3614</v>
      </c>
      <c r="U228" s="2" t="s">
        <v>3615</v>
      </c>
      <c r="V228" s="23" t="s">
        <v>3616</v>
      </c>
      <c r="W228" s="24" t="s">
        <v>3617</v>
      </c>
      <c r="X228" s="23" t="s">
        <v>3618</v>
      </c>
      <c r="Y228" s="23" t="s">
        <v>3619</v>
      </c>
      <c r="Z228" s="23" t="s">
        <v>3620</v>
      </c>
      <c r="AA228" s="23" t="s">
        <v>3621</v>
      </c>
    </row>
    <row r="229" spans="1:27" ht="15.75" customHeight="1">
      <c r="A229" s="4" t="s">
        <v>389</v>
      </c>
      <c r="B229" s="5">
        <v>2402</v>
      </c>
      <c r="C229" s="6" t="s">
        <v>503</v>
      </c>
      <c r="D229" s="7">
        <v>2022544783</v>
      </c>
      <c r="E229" s="7">
        <v>2201010481</v>
      </c>
      <c r="F229" s="7" t="s">
        <v>1805</v>
      </c>
      <c r="G229" s="7" t="s">
        <v>13</v>
      </c>
      <c r="H229" s="6" t="s">
        <v>504</v>
      </c>
      <c r="I229" s="6" t="s">
        <v>2267</v>
      </c>
      <c r="J229" s="6" t="s">
        <v>2268</v>
      </c>
      <c r="K229" s="6" t="s">
        <v>15</v>
      </c>
      <c r="L229" s="6" t="s">
        <v>21</v>
      </c>
      <c r="M229" s="6" t="s">
        <v>149</v>
      </c>
      <c r="N229" s="7" t="s">
        <v>18</v>
      </c>
      <c r="O229" s="23" t="s">
        <v>3611</v>
      </c>
      <c r="R229" s="23" t="s">
        <v>3612</v>
      </c>
      <c r="S229" s="2" t="s">
        <v>3613</v>
      </c>
      <c r="T229" s="2" t="s">
        <v>3614</v>
      </c>
      <c r="U229" s="2" t="s">
        <v>3615</v>
      </c>
      <c r="V229" s="23" t="s">
        <v>3616</v>
      </c>
      <c r="W229" s="24" t="s">
        <v>3617</v>
      </c>
      <c r="X229" s="23" t="s">
        <v>3618</v>
      </c>
      <c r="Y229" s="23" t="s">
        <v>3619</v>
      </c>
      <c r="Z229" s="23" t="s">
        <v>3620</v>
      </c>
      <c r="AA229" s="23" t="s">
        <v>3621</v>
      </c>
    </row>
    <row r="230" spans="1:27" ht="15.75" customHeight="1">
      <c r="A230" s="4" t="s">
        <v>389</v>
      </c>
      <c r="B230" s="5">
        <v>2402</v>
      </c>
      <c r="C230" s="6" t="s">
        <v>422</v>
      </c>
      <c r="D230" s="7">
        <v>2022346624</v>
      </c>
      <c r="E230" s="7">
        <v>2201010537</v>
      </c>
      <c r="F230" s="7" t="s">
        <v>1805</v>
      </c>
      <c r="G230" s="7" t="s">
        <v>13</v>
      </c>
      <c r="H230" s="6" t="s">
        <v>423</v>
      </c>
      <c r="I230" s="6" t="s">
        <v>2269</v>
      </c>
      <c r="J230" s="6" t="s">
        <v>2270</v>
      </c>
      <c r="K230" s="6" t="s">
        <v>15</v>
      </c>
      <c r="L230" s="6" t="s">
        <v>17</v>
      </c>
      <c r="M230" s="6" t="s">
        <v>21</v>
      </c>
      <c r="N230" s="7" t="s">
        <v>18</v>
      </c>
      <c r="O230" s="23" t="s">
        <v>3611</v>
      </c>
      <c r="R230" s="23" t="s">
        <v>3612</v>
      </c>
      <c r="S230" s="2" t="s">
        <v>3613</v>
      </c>
      <c r="T230" s="2" t="s">
        <v>3614</v>
      </c>
      <c r="U230" s="2" t="s">
        <v>3615</v>
      </c>
      <c r="V230" s="23" t="s">
        <v>3616</v>
      </c>
      <c r="W230" s="24" t="s">
        <v>3617</v>
      </c>
      <c r="X230" s="23" t="s">
        <v>3618</v>
      </c>
      <c r="Y230" s="23" t="s">
        <v>3619</v>
      </c>
      <c r="Z230" s="23" t="s">
        <v>3620</v>
      </c>
      <c r="AA230" s="23" t="s">
        <v>3621</v>
      </c>
    </row>
    <row r="231" spans="1:27" ht="15.75" customHeight="1">
      <c r="A231" s="4" t="s">
        <v>389</v>
      </c>
      <c r="B231" s="5">
        <v>2402</v>
      </c>
      <c r="C231" s="6" t="s">
        <v>442</v>
      </c>
      <c r="D231" s="7">
        <v>2022443216</v>
      </c>
      <c r="E231" s="7">
        <v>2201010545</v>
      </c>
      <c r="F231" s="7" t="s">
        <v>1805</v>
      </c>
      <c r="G231" s="7" t="s">
        <v>13</v>
      </c>
      <c r="H231" s="6" t="s">
        <v>443</v>
      </c>
      <c r="I231" s="6" t="s">
        <v>2271</v>
      </c>
      <c r="J231" s="6" t="s">
        <v>2272</v>
      </c>
      <c r="K231" s="6" t="s">
        <v>15</v>
      </c>
      <c r="L231" s="6" t="s">
        <v>21</v>
      </c>
      <c r="M231" s="6" t="s">
        <v>17</v>
      </c>
      <c r="N231" s="7" t="s">
        <v>18</v>
      </c>
      <c r="O231" s="23" t="s">
        <v>3611</v>
      </c>
      <c r="R231" s="23" t="s">
        <v>3612</v>
      </c>
      <c r="S231" s="2" t="s">
        <v>3613</v>
      </c>
      <c r="T231" s="2" t="s">
        <v>3614</v>
      </c>
      <c r="U231" s="2" t="s">
        <v>3615</v>
      </c>
      <c r="V231" s="23" t="s">
        <v>3616</v>
      </c>
      <c r="W231" s="24" t="s">
        <v>3617</v>
      </c>
      <c r="X231" s="23" t="s">
        <v>3618</v>
      </c>
      <c r="Y231" s="23" t="s">
        <v>3619</v>
      </c>
      <c r="Z231" s="23" t="s">
        <v>3620</v>
      </c>
      <c r="AA231" s="23" t="s">
        <v>3621</v>
      </c>
    </row>
    <row r="232" spans="1:27" ht="15.75" customHeight="1">
      <c r="A232" s="4" t="s">
        <v>389</v>
      </c>
      <c r="B232" s="5">
        <v>2402</v>
      </c>
      <c r="C232" s="6" t="s">
        <v>456</v>
      </c>
      <c r="D232" s="7">
        <v>2022474990</v>
      </c>
      <c r="E232" s="7">
        <v>2201010553</v>
      </c>
      <c r="F232" s="7" t="s">
        <v>1805</v>
      </c>
      <c r="G232" s="7" t="s">
        <v>13</v>
      </c>
      <c r="H232" s="6" t="s">
        <v>457</v>
      </c>
      <c r="I232" s="6" t="s">
        <v>2273</v>
      </c>
      <c r="J232" s="6" t="s">
        <v>2274</v>
      </c>
      <c r="K232" s="6" t="s">
        <v>15</v>
      </c>
      <c r="L232" s="6" t="e">
        <v>#N/A</v>
      </c>
      <c r="M232" s="6" t="e">
        <v>#N/A</v>
      </c>
      <c r="N232" s="7" t="e">
        <v>#N/A</v>
      </c>
      <c r="O232" s="23" t="s">
        <v>3611</v>
      </c>
      <c r="R232" s="23" t="s">
        <v>3612</v>
      </c>
      <c r="S232" s="2" t="s">
        <v>3613</v>
      </c>
      <c r="T232" s="2" t="s">
        <v>3614</v>
      </c>
      <c r="U232" s="2" t="s">
        <v>3615</v>
      </c>
      <c r="V232" s="23" t="s">
        <v>3616</v>
      </c>
      <c r="W232" s="24" t="s">
        <v>3617</v>
      </c>
      <c r="X232" s="23" t="s">
        <v>3618</v>
      </c>
      <c r="Y232" s="23" t="s">
        <v>3619</v>
      </c>
      <c r="Z232" s="23" t="s">
        <v>3620</v>
      </c>
      <c r="AA232" s="23" t="s">
        <v>3621</v>
      </c>
    </row>
    <row r="233" spans="1:27" ht="15.75" customHeight="1">
      <c r="A233" s="4" t="s">
        <v>389</v>
      </c>
      <c r="B233" s="5">
        <v>2402</v>
      </c>
      <c r="C233" s="6" t="s">
        <v>420</v>
      </c>
      <c r="D233" s="7">
        <v>2022312023</v>
      </c>
      <c r="E233" s="7">
        <v>2201010569</v>
      </c>
      <c r="F233" s="7" t="s">
        <v>1805</v>
      </c>
      <c r="G233" s="7" t="s">
        <v>13</v>
      </c>
      <c r="H233" s="6" t="s">
        <v>421</v>
      </c>
      <c r="I233" s="6" t="s">
        <v>2275</v>
      </c>
      <c r="J233" s="6" t="s">
        <v>2276</v>
      </c>
      <c r="K233" s="6" t="s">
        <v>15</v>
      </c>
      <c r="L233" s="6" t="s">
        <v>21</v>
      </c>
      <c r="M233" s="6" t="s">
        <v>117</v>
      </c>
      <c r="N233" s="7" t="s">
        <v>18</v>
      </c>
      <c r="O233" s="23" t="s">
        <v>3611</v>
      </c>
      <c r="R233" s="23" t="s">
        <v>3612</v>
      </c>
      <c r="S233" s="2" t="s">
        <v>3613</v>
      </c>
      <c r="T233" s="2" t="s">
        <v>3614</v>
      </c>
      <c r="U233" s="2" t="s">
        <v>3615</v>
      </c>
      <c r="V233" s="23" t="s">
        <v>3616</v>
      </c>
      <c r="W233" s="24" t="s">
        <v>3617</v>
      </c>
      <c r="X233" s="23" t="s">
        <v>3618</v>
      </c>
      <c r="Y233" s="23" t="s">
        <v>3619</v>
      </c>
      <c r="Z233" s="23" t="s">
        <v>3620</v>
      </c>
      <c r="AA233" s="23" t="s">
        <v>3621</v>
      </c>
    </row>
    <row r="234" spans="1:27" ht="15.75" customHeight="1">
      <c r="A234" s="4" t="s">
        <v>389</v>
      </c>
      <c r="B234" s="5">
        <v>2402</v>
      </c>
      <c r="C234" s="6" t="s">
        <v>444</v>
      </c>
      <c r="D234" s="7">
        <v>2022448095</v>
      </c>
      <c r="E234" s="7">
        <v>2201010575</v>
      </c>
      <c r="F234" s="7" t="s">
        <v>1805</v>
      </c>
      <c r="G234" s="7" t="s">
        <v>13</v>
      </c>
      <c r="H234" s="6" t="s">
        <v>445</v>
      </c>
      <c r="I234" s="6" t="s">
        <v>2277</v>
      </c>
      <c r="J234" s="6" t="s">
        <v>2278</v>
      </c>
      <c r="K234" s="6" t="s">
        <v>15</v>
      </c>
      <c r="L234" s="6" t="s">
        <v>21</v>
      </c>
      <c r="M234" s="6" t="s">
        <v>149</v>
      </c>
      <c r="N234" s="7" t="s">
        <v>18</v>
      </c>
      <c r="O234" s="23" t="s">
        <v>3611</v>
      </c>
      <c r="R234" s="23" t="s">
        <v>3612</v>
      </c>
      <c r="S234" s="2" t="s">
        <v>3613</v>
      </c>
      <c r="T234" s="2" t="s">
        <v>3614</v>
      </c>
      <c r="U234" s="2" t="s">
        <v>3615</v>
      </c>
      <c r="V234" s="23" t="s">
        <v>3616</v>
      </c>
      <c r="W234" s="24" t="s">
        <v>3617</v>
      </c>
      <c r="X234" s="23" t="s">
        <v>3618</v>
      </c>
      <c r="Y234" s="23" t="s">
        <v>3619</v>
      </c>
      <c r="Z234" s="23" t="s">
        <v>3620</v>
      </c>
      <c r="AA234" s="23" t="s">
        <v>3621</v>
      </c>
    </row>
    <row r="235" spans="1:27" ht="15.75" customHeight="1">
      <c r="A235" s="4" t="s">
        <v>389</v>
      </c>
      <c r="B235" s="5">
        <v>2402</v>
      </c>
      <c r="C235" s="6" t="s">
        <v>489</v>
      </c>
      <c r="D235" s="7">
        <v>2022526985</v>
      </c>
      <c r="E235" s="7">
        <v>2201010581</v>
      </c>
      <c r="F235" s="7" t="s">
        <v>1805</v>
      </c>
      <c r="G235" s="7" t="s">
        <v>13</v>
      </c>
      <c r="H235" s="6" t="s">
        <v>490</v>
      </c>
      <c r="I235" s="6" t="s">
        <v>2279</v>
      </c>
      <c r="J235" s="6" t="s">
        <v>2280</v>
      </c>
      <c r="K235" s="6" t="s">
        <v>15</v>
      </c>
      <c r="L235" s="6" t="s">
        <v>16</v>
      </c>
      <c r="M235" s="6" t="s">
        <v>149</v>
      </c>
      <c r="N235" s="7" t="s">
        <v>18</v>
      </c>
      <c r="O235" s="23" t="s">
        <v>3611</v>
      </c>
      <c r="R235" s="23" t="s">
        <v>3612</v>
      </c>
      <c r="S235" s="2" t="s">
        <v>3613</v>
      </c>
      <c r="T235" s="2" t="s">
        <v>3614</v>
      </c>
      <c r="U235" s="2" t="s">
        <v>3615</v>
      </c>
      <c r="V235" s="23" t="s">
        <v>3616</v>
      </c>
      <c r="W235" s="24" t="s">
        <v>3617</v>
      </c>
      <c r="X235" s="23" t="s">
        <v>3618</v>
      </c>
      <c r="Y235" s="23" t="s">
        <v>3619</v>
      </c>
      <c r="Z235" s="23" t="s">
        <v>3620</v>
      </c>
      <c r="AA235" s="23" t="s">
        <v>3621</v>
      </c>
    </row>
    <row r="236" spans="1:27" ht="15.75" customHeight="1">
      <c r="A236" s="4" t="s">
        <v>389</v>
      </c>
      <c r="B236" s="5">
        <v>2402</v>
      </c>
      <c r="C236" s="6" t="s">
        <v>428</v>
      </c>
      <c r="D236" s="7">
        <v>2022404040</v>
      </c>
      <c r="E236" s="7">
        <v>2201010583</v>
      </c>
      <c r="F236" s="7" t="s">
        <v>1805</v>
      </c>
      <c r="G236" s="7" t="s">
        <v>13</v>
      </c>
      <c r="H236" s="6" t="s">
        <v>429</v>
      </c>
      <c r="I236" s="6" t="s">
        <v>2281</v>
      </c>
      <c r="J236" s="6" t="s">
        <v>2282</v>
      </c>
      <c r="K236" s="6" t="s">
        <v>15</v>
      </c>
      <c r="L236" s="6" t="s">
        <v>21</v>
      </c>
      <c r="M236" s="6" t="s">
        <v>16</v>
      </c>
      <c r="N236" s="7" t="s">
        <v>18</v>
      </c>
      <c r="O236" s="23" t="s">
        <v>3611</v>
      </c>
      <c r="R236" s="23" t="s">
        <v>3612</v>
      </c>
      <c r="S236" s="2" t="s">
        <v>3613</v>
      </c>
      <c r="T236" s="2" t="s">
        <v>3614</v>
      </c>
      <c r="U236" s="2" t="s">
        <v>3615</v>
      </c>
      <c r="V236" s="23" t="s">
        <v>3616</v>
      </c>
      <c r="W236" s="24" t="s">
        <v>3617</v>
      </c>
      <c r="X236" s="23" t="s">
        <v>3618</v>
      </c>
      <c r="Y236" s="23" t="s">
        <v>3619</v>
      </c>
      <c r="Z236" s="23" t="s">
        <v>3620</v>
      </c>
      <c r="AA236" s="23" t="s">
        <v>3621</v>
      </c>
    </row>
    <row r="237" spans="1:27" ht="15.75" customHeight="1">
      <c r="A237" s="4" t="s">
        <v>389</v>
      </c>
      <c r="B237" s="5">
        <v>2402</v>
      </c>
      <c r="C237" s="6" t="s">
        <v>406</v>
      </c>
      <c r="D237" s="7">
        <v>2022004280</v>
      </c>
      <c r="E237" s="7">
        <v>2201010591</v>
      </c>
      <c r="F237" s="7" t="s">
        <v>1805</v>
      </c>
      <c r="G237" s="7" t="s">
        <v>13</v>
      </c>
      <c r="H237" s="6" t="s">
        <v>407</v>
      </c>
      <c r="I237" s="6" t="s">
        <v>2283</v>
      </c>
      <c r="J237" s="6" t="s">
        <v>2284</v>
      </c>
      <c r="K237" s="6" t="s">
        <v>15</v>
      </c>
      <c r="L237" s="6" t="s">
        <v>21</v>
      </c>
      <c r="M237" s="6" t="s">
        <v>149</v>
      </c>
      <c r="N237" s="7" t="s">
        <v>18</v>
      </c>
      <c r="O237" s="23" t="s">
        <v>3611</v>
      </c>
      <c r="R237" s="23" t="s">
        <v>3612</v>
      </c>
      <c r="S237" s="2" t="s">
        <v>3613</v>
      </c>
      <c r="T237" s="2" t="s">
        <v>3614</v>
      </c>
      <c r="U237" s="2" t="s">
        <v>3615</v>
      </c>
      <c r="V237" s="23" t="s">
        <v>3616</v>
      </c>
      <c r="W237" s="24" t="s">
        <v>3617</v>
      </c>
      <c r="X237" s="23" t="s">
        <v>3618</v>
      </c>
      <c r="Y237" s="23" t="s">
        <v>3619</v>
      </c>
      <c r="Z237" s="23" t="s">
        <v>3620</v>
      </c>
      <c r="AA237" s="23" t="s">
        <v>3621</v>
      </c>
    </row>
    <row r="238" spans="1:27" ht="15.75" customHeight="1">
      <c r="A238" s="4" t="s">
        <v>389</v>
      </c>
      <c r="B238" s="5">
        <v>2402</v>
      </c>
      <c r="C238" s="6" t="s">
        <v>469</v>
      </c>
      <c r="D238" s="7">
        <v>2022501361</v>
      </c>
      <c r="E238" s="7">
        <v>2201010601</v>
      </c>
      <c r="F238" s="7" t="s">
        <v>1805</v>
      </c>
      <c r="G238" s="7" t="s">
        <v>13</v>
      </c>
      <c r="H238" s="6" t="s">
        <v>470</v>
      </c>
      <c r="I238" s="6" t="s">
        <v>2285</v>
      </c>
      <c r="J238" s="6" t="s">
        <v>2286</v>
      </c>
      <c r="K238" s="6" t="s">
        <v>15</v>
      </c>
      <c r="L238" s="6" t="s">
        <v>21</v>
      </c>
      <c r="M238" s="6" t="s">
        <v>149</v>
      </c>
      <c r="N238" s="7" t="s">
        <v>18</v>
      </c>
      <c r="O238" s="23" t="s">
        <v>3611</v>
      </c>
      <c r="R238" s="23" t="s">
        <v>3612</v>
      </c>
      <c r="S238" s="2" t="s">
        <v>3613</v>
      </c>
      <c r="T238" s="2" t="s">
        <v>3614</v>
      </c>
      <c r="U238" s="2" t="s">
        <v>3615</v>
      </c>
      <c r="V238" s="23" t="s">
        <v>3616</v>
      </c>
      <c r="W238" s="24" t="s">
        <v>3617</v>
      </c>
      <c r="X238" s="23" t="s">
        <v>3618</v>
      </c>
      <c r="Y238" s="23" t="s">
        <v>3619</v>
      </c>
      <c r="Z238" s="23" t="s">
        <v>3620</v>
      </c>
      <c r="AA238" s="23" t="s">
        <v>3621</v>
      </c>
    </row>
    <row r="239" spans="1:27" ht="15.75" customHeight="1">
      <c r="A239" s="4" t="s">
        <v>389</v>
      </c>
      <c r="B239" s="5">
        <v>2402</v>
      </c>
      <c r="C239" s="6" t="s">
        <v>448</v>
      </c>
      <c r="D239" s="7">
        <v>2022452725</v>
      </c>
      <c r="E239" s="7">
        <v>2201010603</v>
      </c>
      <c r="F239" s="7" t="s">
        <v>1805</v>
      </c>
      <c r="G239" s="7" t="s">
        <v>13</v>
      </c>
      <c r="H239" s="6" t="s">
        <v>449</v>
      </c>
      <c r="I239" s="6" t="s">
        <v>2287</v>
      </c>
      <c r="J239" s="6" t="s">
        <v>2288</v>
      </c>
      <c r="K239" s="6" t="s">
        <v>15</v>
      </c>
      <c r="L239" s="6" t="s">
        <v>16</v>
      </c>
      <c r="M239" s="6" t="s">
        <v>26</v>
      </c>
      <c r="N239" s="7" t="s">
        <v>18</v>
      </c>
      <c r="O239" s="23" t="s">
        <v>3611</v>
      </c>
      <c r="R239" s="23" t="s">
        <v>3612</v>
      </c>
      <c r="S239" s="2" t="s">
        <v>3613</v>
      </c>
      <c r="T239" s="2" t="s">
        <v>3614</v>
      </c>
      <c r="U239" s="2" t="s">
        <v>3615</v>
      </c>
      <c r="V239" s="23" t="s">
        <v>3616</v>
      </c>
      <c r="W239" s="24" t="s">
        <v>3617</v>
      </c>
      <c r="X239" s="23" t="s">
        <v>3618</v>
      </c>
      <c r="Y239" s="23" t="s">
        <v>3619</v>
      </c>
      <c r="Z239" s="23" t="s">
        <v>3620</v>
      </c>
      <c r="AA239" s="23" t="s">
        <v>3621</v>
      </c>
    </row>
    <row r="240" spans="1:27" ht="15.75" customHeight="1">
      <c r="A240" s="4" t="s">
        <v>389</v>
      </c>
      <c r="B240" s="5">
        <v>2402</v>
      </c>
      <c r="C240" s="6" t="s">
        <v>394</v>
      </c>
      <c r="D240" s="7">
        <v>2022001775</v>
      </c>
      <c r="E240" s="7">
        <v>2201010641</v>
      </c>
      <c r="F240" s="7" t="s">
        <v>1805</v>
      </c>
      <c r="G240" s="7" t="s">
        <v>13</v>
      </c>
      <c r="H240" s="6" t="s">
        <v>395</v>
      </c>
      <c r="I240" s="6" t="s">
        <v>2289</v>
      </c>
      <c r="J240" s="6" t="s">
        <v>2290</v>
      </c>
      <c r="K240" s="6" t="s">
        <v>15</v>
      </c>
      <c r="L240" s="6" t="s">
        <v>49</v>
      </c>
      <c r="M240" s="6" t="s">
        <v>21</v>
      </c>
      <c r="N240" s="7" t="s">
        <v>18</v>
      </c>
      <c r="O240" s="23" t="s">
        <v>3611</v>
      </c>
      <c r="R240" s="23" t="s">
        <v>3612</v>
      </c>
      <c r="S240" s="2" t="s">
        <v>3613</v>
      </c>
      <c r="T240" s="2" t="s">
        <v>3614</v>
      </c>
      <c r="U240" s="2" t="s">
        <v>3615</v>
      </c>
      <c r="V240" s="23" t="s">
        <v>3616</v>
      </c>
      <c r="W240" s="24" t="s">
        <v>3617</v>
      </c>
      <c r="X240" s="23" t="s">
        <v>3618</v>
      </c>
      <c r="Y240" s="23" t="s">
        <v>3619</v>
      </c>
      <c r="Z240" s="23" t="s">
        <v>3620</v>
      </c>
      <c r="AA240" s="23" t="s">
        <v>3621</v>
      </c>
    </row>
    <row r="241" spans="1:30" ht="15.75" customHeight="1">
      <c r="A241" s="4" t="s">
        <v>389</v>
      </c>
      <c r="B241" s="5">
        <v>2402</v>
      </c>
      <c r="C241" s="6" t="s">
        <v>458</v>
      </c>
      <c r="D241" s="7">
        <v>2022475752</v>
      </c>
      <c r="E241" s="7">
        <v>2201010645</v>
      </c>
      <c r="F241" s="7" t="s">
        <v>1805</v>
      </c>
      <c r="G241" s="7" t="s">
        <v>13</v>
      </c>
      <c r="H241" s="6" t="s">
        <v>459</v>
      </c>
      <c r="I241" s="6" t="s">
        <v>2291</v>
      </c>
      <c r="J241" s="6" t="s">
        <v>2292</v>
      </c>
      <c r="K241" s="6" t="s">
        <v>15</v>
      </c>
      <c r="L241" s="6" t="s">
        <v>21</v>
      </c>
      <c r="M241" s="6" t="s">
        <v>16</v>
      </c>
      <c r="N241" s="7" t="s">
        <v>18</v>
      </c>
      <c r="O241" s="23" t="s">
        <v>3611</v>
      </c>
      <c r="R241" s="23" t="s">
        <v>3612</v>
      </c>
      <c r="S241" s="2" t="s">
        <v>3613</v>
      </c>
      <c r="T241" s="2" t="s">
        <v>3614</v>
      </c>
      <c r="U241" s="2" t="s">
        <v>3615</v>
      </c>
      <c r="V241" s="23" t="s">
        <v>3616</v>
      </c>
      <c r="W241" s="24" t="s">
        <v>3617</v>
      </c>
      <c r="X241" s="23" t="s">
        <v>3618</v>
      </c>
      <c r="Y241" s="23" t="s">
        <v>3619</v>
      </c>
      <c r="Z241" s="23" t="s">
        <v>3620</v>
      </c>
      <c r="AA241" s="23" t="s">
        <v>3621</v>
      </c>
    </row>
    <row r="242" spans="1:30" ht="15.75" customHeight="1">
      <c r="A242" s="4" t="s">
        <v>389</v>
      </c>
      <c r="B242" s="5">
        <v>2402</v>
      </c>
      <c r="C242" s="6" t="s">
        <v>487</v>
      </c>
      <c r="D242" s="7">
        <v>2022526278</v>
      </c>
      <c r="E242" s="7">
        <v>2201010651</v>
      </c>
      <c r="F242" s="7" t="s">
        <v>1805</v>
      </c>
      <c r="G242" s="7" t="s">
        <v>13</v>
      </c>
      <c r="H242" s="6" t="s">
        <v>488</v>
      </c>
      <c r="I242" s="6" t="s">
        <v>2293</v>
      </c>
      <c r="J242" s="6" t="s">
        <v>2294</v>
      </c>
      <c r="K242" s="6" t="s">
        <v>15</v>
      </c>
      <c r="L242" s="6" t="s">
        <v>21</v>
      </c>
      <c r="M242" s="6" t="s">
        <v>117</v>
      </c>
      <c r="N242" s="7" t="s">
        <v>18</v>
      </c>
      <c r="O242" s="23" t="s">
        <v>3611</v>
      </c>
      <c r="R242" s="23" t="s">
        <v>3612</v>
      </c>
      <c r="S242" s="2" t="s">
        <v>3613</v>
      </c>
      <c r="T242" s="2" t="s">
        <v>3614</v>
      </c>
      <c r="U242" s="2" t="s">
        <v>3615</v>
      </c>
      <c r="V242" s="23" t="s">
        <v>3616</v>
      </c>
      <c r="W242" s="24" t="s">
        <v>3617</v>
      </c>
      <c r="X242" s="23" t="s">
        <v>3618</v>
      </c>
      <c r="Y242" s="23" t="s">
        <v>3619</v>
      </c>
      <c r="Z242" s="23" t="s">
        <v>3620</v>
      </c>
      <c r="AA242" s="23" t="s">
        <v>3621</v>
      </c>
    </row>
    <row r="243" spans="1:30" ht="15.75" customHeight="1">
      <c r="A243" s="4" t="s">
        <v>389</v>
      </c>
      <c r="B243" s="5">
        <v>2402</v>
      </c>
      <c r="C243" s="6" t="s">
        <v>430</v>
      </c>
      <c r="D243" s="7">
        <v>2022404783</v>
      </c>
      <c r="E243" s="7">
        <v>2201010679</v>
      </c>
      <c r="F243" s="7" t="s">
        <v>1805</v>
      </c>
      <c r="G243" s="7" t="s">
        <v>13</v>
      </c>
      <c r="H243" s="6" t="s">
        <v>431</v>
      </c>
      <c r="I243" s="6" t="s">
        <v>2295</v>
      </c>
      <c r="J243" s="6" t="s">
        <v>2296</v>
      </c>
      <c r="K243" s="6" t="s">
        <v>15</v>
      </c>
      <c r="L243" s="6" t="s">
        <v>21</v>
      </c>
      <c r="M243" s="6" t="s">
        <v>17</v>
      </c>
      <c r="N243" s="7" t="s">
        <v>18</v>
      </c>
      <c r="O243" s="23" t="s">
        <v>3611</v>
      </c>
      <c r="R243" s="23" t="s">
        <v>3612</v>
      </c>
      <c r="S243" s="2" t="s">
        <v>3613</v>
      </c>
      <c r="T243" s="2" t="s">
        <v>3614</v>
      </c>
      <c r="U243" s="2" t="s">
        <v>3615</v>
      </c>
      <c r="V243" s="23" t="s">
        <v>3616</v>
      </c>
      <c r="W243" s="24" t="s">
        <v>3617</v>
      </c>
      <c r="X243" s="23" t="s">
        <v>3618</v>
      </c>
      <c r="Y243" s="23" t="s">
        <v>3619</v>
      </c>
      <c r="Z243" s="23" t="s">
        <v>3620</v>
      </c>
      <c r="AA243" s="23" t="s">
        <v>3621</v>
      </c>
    </row>
    <row r="244" spans="1:30" ht="15.75" customHeight="1">
      <c r="A244" s="4" t="s">
        <v>389</v>
      </c>
      <c r="B244" s="5">
        <v>2402</v>
      </c>
      <c r="C244" s="6" t="s">
        <v>471</v>
      </c>
      <c r="D244" s="7">
        <v>2022502947</v>
      </c>
      <c r="E244" s="7">
        <v>2201010698</v>
      </c>
      <c r="F244" s="7" t="s">
        <v>1805</v>
      </c>
      <c r="G244" s="7" t="s">
        <v>13</v>
      </c>
      <c r="H244" s="6" t="s">
        <v>472</v>
      </c>
      <c r="I244" s="6" t="s">
        <v>2297</v>
      </c>
      <c r="J244" s="6" t="s">
        <v>2298</v>
      </c>
      <c r="K244" s="6" t="s">
        <v>15</v>
      </c>
      <c r="L244" s="6" t="s">
        <v>49</v>
      </c>
      <c r="M244" s="6" t="s">
        <v>117</v>
      </c>
      <c r="N244" s="7" t="s">
        <v>18</v>
      </c>
      <c r="O244" s="23" t="s">
        <v>3611</v>
      </c>
      <c r="R244" s="23" t="s">
        <v>3612</v>
      </c>
      <c r="S244" s="2" t="s">
        <v>3613</v>
      </c>
      <c r="T244" s="2" t="s">
        <v>3614</v>
      </c>
      <c r="U244" s="2" t="s">
        <v>3615</v>
      </c>
      <c r="V244" s="23" t="s">
        <v>3616</v>
      </c>
      <c r="W244" s="24" t="s">
        <v>3617</v>
      </c>
      <c r="X244" s="23" t="s">
        <v>3618</v>
      </c>
      <c r="Y244" s="23" t="s">
        <v>3619</v>
      </c>
      <c r="Z244" s="23" t="s">
        <v>3620</v>
      </c>
      <c r="AA244" s="23" t="s">
        <v>3621</v>
      </c>
    </row>
    <row r="245" spans="1:30" ht="15.75" customHeight="1">
      <c r="A245" s="4" t="s">
        <v>389</v>
      </c>
      <c r="B245" s="5">
        <v>2402</v>
      </c>
      <c r="C245" s="6" t="s">
        <v>485</v>
      </c>
      <c r="D245" s="7">
        <v>2022521244</v>
      </c>
      <c r="E245" s="7">
        <v>2201010700</v>
      </c>
      <c r="F245" s="7" t="s">
        <v>1805</v>
      </c>
      <c r="G245" s="7" t="s">
        <v>13</v>
      </c>
      <c r="H245" s="6" t="s">
        <v>486</v>
      </c>
      <c r="I245" s="6" t="s">
        <v>2299</v>
      </c>
      <c r="J245" s="6" t="s">
        <v>2300</v>
      </c>
      <c r="K245" s="6" t="s">
        <v>15</v>
      </c>
      <c r="L245" s="6" t="s">
        <v>21</v>
      </c>
      <c r="M245" s="6" t="s">
        <v>149</v>
      </c>
      <c r="N245" s="7" t="s">
        <v>18</v>
      </c>
      <c r="O245" s="23" t="s">
        <v>3611</v>
      </c>
      <c r="R245" s="23" t="s">
        <v>3612</v>
      </c>
      <c r="S245" s="2" t="s">
        <v>3613</v>
      </c>
      <c r="T245" s="2" t="s">
        <v>3614</v>
      </c>
      <c r="U245" s="2" t="s">
        <v>3615</v>
      </c>
      <c r="V245" s="23" t="s">
        <v>3616</v>
      </c>
      <c r="W245" s="24" t="s">
        <v>3617</v>
      </c>
      <c r="X245" s="23" t="s">
        <v>3618</v>
      </c>
      <c r="Y245" s="23" t="s">
        <v>3619</v>
      </c>
      <c r="Z245" s="23" t="s">
        <v>3620</v>
      </c>
      <c r="AA245" s="23" t="s">
        <v>3621</v>
      </c>
    </row>
    <row r="246" spans="1:30" ht="15.75" customHeight="1">
      <c r="A246" s="4" t="s">
        <v>389</v>
      </c>
      <c r="B246" s="5">
        <v>2402</v>
      </c>
      <c r="C246" s="6" t="s">
        <v>426</v>
      </c>
      <c r="D246" s="7">
        <v>2022387392</v>
      </c>
      <c r="E246" s="7">
        <v>2201010713</v>
      </c>
      <c r="F246" s="7" t="s">
        <v>1805</v>
      </c>
      <c r="G246" s="7" t="s">
        <v>13</v>
      </c>
      <c r="H246" s="6" t="s">
        <v>427</v>
      </c>
      <c r="I246" s="6" t="s">
        <v>2301</v>
      </c>
      <c r="J246" s="6" t="s">
        <v>2302</v>
      </c>
      <c r="K246" s="6" t="s">
        <v>15</v>
      </c>
      <c r="L246" s="6" t="s">
        <v>21</v>
      </c>
      <c r="M246" s="6" t="s">
        <v>26</v>
      </c>
      <c r="N246" s="7" t="s">
        <v>174</v>
      </c>
      <c r="O246" s="23" t="s">
        <v>3611</v>
      </c>
      <c r="R246" s="23" t="s">
        <v>3612</v>
      </c>
      <c r="S246" s="2" t="s">
        <v>3613</v>
      </c>
      <c r="T246" s="2" t="s">
        <v>3614</v>
      </c>
      <c r="U246" s="2" t="s">
        <v>3615</v>
      </c>
      <c r="V246" s="23" t="s">
        <v>3616</v>
      </c>
      <c r="W246" s="24" t="s">
        <v>3617</v>
      </c>
      <c r="X246" s="23" t="s">
        <v>3618</v>
      </c>
      <c r="Y246" s="23" t="s">
        <v>3619</v>
      </c>
      <c r="Z246" s="23" t="s">
        <v>3620</v>
      </c>
      <c r="AA246" s="23" t="s">
        <v>3621</v>
      </c>
      <c r="AB246" s="9"/>
      <c r="AC246" s="9"/>
      <c r="AD246" s="9"/>
    </row>
    <row r="247" spans="1:30" ht="15.75" customHeight="1">
      <c r="A247" s="4" t="s">
        <v>389</v>
      </c>
      <c r="B247" s="5">
        <v>2402</v>
      </c>
      <c r="C247" s="6" t="s">
        <v>463</v>
      </c>
      <c r="D247" s="7">
        <v>2022484252</v>
      </c>
      <c r="E247" s="7">
        <v>2201010731</v>
      </c>
      <c r="F247" s="7" t="s">
        <v>1805</v>
      </c>
      <c r="G247" s="7" t="s">
        <v>13</v>
      </c>
      <c r="H247" s="6" t="s">
        <v>464</v>
      </c>
      <c r="I247" s="6" t="s">
        <v>2303</v>
      </c>
      <c r="J247" s="6" t="s">
        <v>2304</v>
      </c>
      <c r="K247" s="6" t="s">
        <v>15</v>
      </c>
      <c r="L247" s="6" t="s">
        <v>149</v>
      </c>
      <c r="M247" s="6" t="s">
        <v>21</v>
      </c>
      <c r="N247" s="7" t="s">
        <v>18</v>
      </c>
      <c r="O247" s="23" t="s">
        <v>3611</v>
      </c>
      <c r="R247" s="23" t="s">
        <v>3612</v>
      </c>
      <c r="S247" s="2" t="s">
        <v>3613</v>
      </c>
      <c r="T247" s="2" t="s">
        <v>3614</v>
      </c>
      <c r="U247" s="2" t="s">
        <v>3615</v>
      </c>
      <c r="V247" s="23" t="s">
        <v>3616</v>
      </c>
      <c r="W247" s="24" t="s">
        <v>3617</v>
      </c>
      <c r="X247" s="23" t="s">
        <v>3618</v>
      </c>
      <c r="Y247" s="23" t="s">
        <v>3619</v>
      </c>
      <c r="Z247" s="23" t="s">
        <v>3620</v>
      </c>
      <c r="AA247" s="23" t="s">
        <v>3621</v>
      </c>
    </row>
    <row r="248" spans="1:30" ht="15.75" customHeight="1">
      <c r="A248" s="4" t="s">
        <v>389</v>
      </c>
      <c r="B248" s="5">
        <v>2402</v>
      </c>
      <c r="C248" s="6" t="s">
        <v>515</v>
      </c>
      <c r="D248" s="7">
        <v>2022413369</v>
      </c>
      <c r="E248" s="7">
        <v>2201010732</v>
      </c>
      <c r="F248" s="7" t="s">
        <v>1805</v>
      </c>
      <c r="G248" s="7" t="s">
        <v>13</v>
      </c>
      <c r="H248" s="6" t="s">
        <v>516</v>
      </c>
      <c r="I248" s="6" t="s">
        <v>2305</v>
      </c>
      <c r="J248" s="6" t="s">
        <v>2306</v>
      </c>
      <c r="K248" s="6" t="s">
        <v>15</v>
      </c>
      <c r="L248" s="6" t="s">
        <v>21</v>
      </c>
      <c r="M248" s="6" t="s">
        <v>16</v>
      </c>
      <c r="N248" s="7" t="s">
        <v>18</v>
      </c>
      <c r="O248" s="23" t="s">
        <v>3611</v>
      </c>
      <c r="R248" s="23" t="s">
        <v>3612</v>
      </c>
      <c r="S248" s="2" t="s">
        <v>3613</v>
      </c>
      <c r="T248" s="2" t="s">
        <v>3614</v>
      </c>
      <c r="U248" s="2" t="s">
        <v>3615</v>
      </c>
      <c r="V248" s="23" t="s">
        <v>3616</v>
      </c>
      <c r="W248" s="24" t="s">
        <v>3617</v>
      </c>
      <c r="X248" s="23" t="s">
        <v>3618</v>
      </c>
      <c r="Y248" s="23" t="s">
        <v>3619</v>
      </c>
      <c r="Z248" s="23" t="s">
        <v>3620</v>
      </c>
      <c r="AA248" s="23" t="s">
        <v>3621</v>
      </c>
    </row>
    <row r="249" spans="1:30" ht="15.75" customHeight="1">
      <c r="A249" s="4" t="s">
        <v>389</v>
      </c>
      <c r="B249" s="5">
        <v>2402</v>
      </c>
      <c r="C249" s="6" t="s">
        <v>412</v>
      </c>
      <c r="D249" s="7">
        <v>2022005800</v>
      </c>
      <c r="E249" s="7">
        <v>2201010740</v>
      </c>
      <c r="F249" s="7" t="s">
        <v>1805</v>
      </c>
      <c r="G249" s="7" t="s">
        <v>13</v>
      </c>
      <c r="H249" s="6" t="s">
        <v>413</v>
      </c>
      <c r="I249" s="6" t="s">
        <v>2307</v>
      </c>
      <c r="J249" s="6" t="s">
        <v>2308</v>
      </c>
      <c r="K249" s="6" t="s">
        <v>15</v>
      </c>
      <c r="L249" s="6" t="s">
        <v>21</v>
      </c>
      <c r="M249" s="6" t="s">
        <v>149</v>
      </c>
      <c r="N249" s="7" t="s">
        <v>18</v>
      </c>
      <c r="O249" s="23" t="s">
        <v>3611</v>
      </c>
      <c r="R249" s="23" t="s">
        <v>3612</v>
      </c>
      <c r="S249" s="2" t="s">
        <v>3613</v>
      </c>
      <c r="T249" s="2" t="s">
        <v>3614</v>
      </c>
      <c r="U249" s="2" t="s">
        <v>3615</v>
      </c>
      <c r="V249" s="23" t="s">
        <v>3616</v>
      </c>
      <c r="W249" s="24" t="s">
        <v>3617</v>
      </c>
      <c r="X249" s="23" t="s">
        <v>3618</v>
      </c>
      <c r="Y249" s="23" t="s">
        <v>3619</v>
      </c>
      <c r="Z249" s="23" t="s">
        <v>3620</v>
      </c>
      <c r="AA249" s="23" t="s">
        <v>3621</v>
      </c>
    </row>
    <row r="250" spans="1:30" ht="15.75" customHeight="1">
      <c r="A250" s="4" t="s">
        <v>389</v>
      </c>
      <c r="B250" s="5">
        <v>2402</v>
      </c>
      <c r="C250" s="6" t="s">
        <v>450</v>
      </c>
      <c r="D250" s="7">
        <v>2022457752</v>
      </c>
      <c r="E250" s="7">
        <v>2201010741</v>
      </c>
      <c r="F250" s="7" t="s">
        <v>1805</v>
      </c>
      <c r="G250" s="7" t="s">
        <v>13</v>
      </c>
      <c r="H250" s="6" t="s">
        <v>451</v>
      </c>
      <c r="I250" s="6" t="s">
        <v>2309</v>
      </c>
      <c r="J250" s="6" t="s">
        <v>2310</v>
      </c>
      <c r="K250" s="6" t="s">
        <v>15</v>
      </c>
      <c r="L250" s="6" t="s">
        <v>104</v>
      </c>
      <c r="M250" s="6" t="s">
        <v>26</v>
      </c>
      <c r="N250" s="7" t="s">
        <v>18</v>
      </c>
      <c r="O250" s="23" t="s">
        <v>3611</v>
      </c>
      <c r="R250" s="23" t="s">
        <v>3612</v>
      </c>
      <c r="S250" s="2" t="s">
        <v>3613</v>
      </c>
      <c r="T250" s="2" t="s">
        <v>3614</v>
      </c>
      <c r="U250" s="2" t="s">
        <v>3615</v>
      </c>
      <c r="V250" s="23" t="s">
        <v>3616</v>
      </c>
      <c r="W250" s="24" t="s">
        <v>3617</v>
      </c>
      <c r="X250" s="23" t="s">
        <v>3618</v>
      </c>
      <c r="Y250" s="23" t="s">
        <v>3619</v>
      </c>
      <c r="Z250" s="23" t="s">
        <v>3620</v>
      </c>
      <c r="AA250" s="23" t="s">
        <v>3621</v>
      </c>
    </row>
    <row r="251" spans="1:30" ht="15.75" customHeight="1">
      <c r="A251" s="4" t="s">
        <v>389</v>
      </c>
      <c r="B251" s="5">
        <v>2402</v>
      </c>
      <c r="C251" s="6" t="s">
        <v>400</v>
      </c>
      <c r="D251" s="7">
        <v>2022003580</v>
      </c>
      <c r="E251" s="7">
        <v>2201010782</v>
      </c>
      <c r="F251" s="7" t="s">
        <v>1805</v>
      </c>
      <c r="G251" s="7" t="s">
        <v>13</v>
      </c>
      <c r="H251" s="6" t="s">
        <v>401</v>
      </c>
      <c r="I251" s="6" t="s">
        <v>2311</v>
      </c>
      <c r="J251" s="6" t="s">
        <v>2312</v>
      </c>
      <c r="K251" s="6" t="s">
        <v>15</v>
      </c>
      <c r="L251" s="6" t="s">
        <v>17</v>
      </c>
      <c r="M251" s="6" t="s">
        <v>21</v>
      </c>
      <c r="N251" s="7" t="s">
        <v>18</v>
      </c>
      <c r="O251" s="23" t="s">
        <v>3611</v>
      </c>
      <c r="R251" s="23" t="s">
        <v>3612</v>
      </c>
      <c r="S251" s="2" t="s">
        <v>3613</v>
      </c>
      <c r="T251" s="2" t="s">
        <v>3614</v>
      </c>
      <c r="U251" s="2" t="s">
        <v>3615</v>
      </c>
      <c r="V251" s="23" t="s">
        <v>3616</v>
      </c>
      <c r="W251" s="24" t="s">
        <v>3617</v>
      </c>
      <c r="X251" s="23" t="s">
        <v>3618</v>
      </c>
      <c r="Y251" s="23" t="s">
        <v>3619</v>
      </c>
      <c r="Z251" s="23" t="s">
        <v>3620</v>
      </c>
      <c r="AA251" s="23" t="s">
        <v>3621</v>
      </c>
    </row>
    <row r="252" spans="1:30" ht="15.75" customHeight="1">
      <c r="A252" s="4" t="s">
        <v>389</v>
      </c>
      <c r="B252" s="5">
        <v>2402</v>
      </c>
      <c r="C252" s="6" t="s">
        <v>465</v>
      </c>
      <c r="D252" s="7">
        <v>2022484682</v>
      </c>
      <c r="E252" s="7">
        <v>2201010807</v>
      </c>
      <c r="F252" s="7" t="s">
        <v>1805</v>
      </c>
      <c r="G252" s="7" t="s">
        <v>13</v>
      </c>
      <c r="H252" s="6" t="s">
        <v>466</v>
      </c>
      <c r="I252" s="6" t="s">
        <v>2313</v>
      </c>
      <c r="J252" s="6" t="s">
        <v>2314</v>
      </c>
      <c r="K252" s="6" t="s">
        <v>15</v>
      </c>
      <c r="L252" s="6" t="s">
        <v>149</v>
      </c>
      <c r="M252" s="6" t="s">
        <v>117</v>
      </c>
      <c r="N252" s="7" t="s">
        <v>18</v>
      </c>
      <c r="O252" s="23" t="s">
        <v>3611</v>
      </c>
      <c r="R252" s="23" t="s">
        <v>3612</v>
      </c>
      <c r="S252" s="2" t="s">
        <v>3613</v>
      </c>
      <c r="T252" s="2" t="s">
        <v>3614</v>
      </c>
      <c r="U252" s="2" t="s">
        <v>3615</v>
      </c>
      <c r="V252" s="23" t="s">
        <v>3616</v>
      </c>
      <c r="W252" s="24" t="s">
        <v>3617</v>
      </c>
      <c r="X252" s="23" t="s">
        <v>3618</v>
      </c>
      <c r="Y252" s="23" t="s">
        <v>3619</v>
      </c>
      <c r="Z252" s="23" t="s">
        <v>3620</v>
      </c>
      <c r="AA252" s="23" t="s">
        <v>3621</v>
      </c>
    </row>
    <row r="253" spans="1:30" ht="15.75" customHeight="1">
      <c r="A253" s="4" t="s">
        <v>389</v>
      </c>
      <c r="B253" s="5">
        <v>2402</v>
      </c>
      <c r="C253" s="6" t="s">
        <v>396</v>
      </c>
      <c r="D253" s="7">
        <v>2022003238</v>
      </c>
      <c r="E253" s="7">
        <v>2201010817</v>
      </c>
      <c r="F253" s="7" t="s">
        <v>1805</v>
      </c>
      <c r="G253" s="7" t="s">
        <v>13</v>
      </c>
      <c r="H253" s="6" t="s">
        <v>397</v>
      </c>
      <c r="I253" s="6" t="s">
        <v>2315</v>
      </c>
      <c r="J253" s="6" t="s">
        <v>2316</v>
      </c>
      <c r="K253" s="6" t="s">
        <v>15</v>
      </c>
      <c r="L253" s="6" t="s">
        <v>21</v>
      </c>
      <c r="M253" s="6" t="s">
        <v>49</v>
      </c>
      <c r="N253" s="7" t="s">
        <v>18</v>
      </c>
      <c r="O253" s="23" t="s">
        <v>3611</v>
      </c>
      <c r="R253" s="23" t="s">
        <v>3612</v>
      </c>
      <c r="S253" s="2" t="s">
        <v>3613</v>
      </c>
      <c r="T253" s="2" t="s">
        <v>3614</v>
      </c>
      <c r="U253" s="2" t="s">
        <v>3615</v>
      </c>
      <c r="V253" s="23" t="s">
        <v>3616</v>
      </c>
      <c r="W253" s="24" t="s">
        <v>3617</v>
      </c>
      <c r="X253" s="23" t="s">
        <v>3618</v>
      </c>
      <c r="Y253" s="23" t="s">
        <v>3619</v>
      </c>
      <c r="Z253" s="23" t="s">
        <v>3620</v>
      </c>
      <c r="AA253" s="23" t="s">
        <v>3621</v>
      </c>
    </row>
    <row r="254" spans="1:30" ht="15.75" customHeight="1">
      <c r="A254" s="4" t="s">
        <v>389</v>
      </c>
      <c r="B254" s="5">
        <v>2402</v>
      </c>
      <c r="C254" s="6" t="s">
        <v>416</v>
      </c>
      <c r="D254" s="7">
        <v>2022007543</v>
      </c>
      <c r="E254" s="7">
        <v>2201010851</v>
      </c>
      <c r="F254" s="7" t="s">
        <v>1805</v>
      </c>
      <c r="G254" s="7" t="s">
        <v>13</v>
      </c>
      <c r="H254" s="6" t="s">
        <v>417</v>
      </c>
      <c r="I254" s="6" t="s">
        <v>2317</v>
      </c>
      <c r="J254" s="6" t="s">
        <v>2318</v>
      </c>
      <c r="K254" s="6" t="s">
        <v>15</v>
      </c>
      <c r="L254" s="6" t="s">
        <v>149</v>
      </c>
      <c r="M254" s="6" t="s">
        <v>21</v>
      </c>
      <c r="N254" s="7" t="s">
        <v>18</v>
      </c>
      <c r="O254" s="23" t="s">
        <v>3611</v>
      </c>
      <c r="R254" s="23" t="s">
        <v>3612</v>
      </c>
      <c r="S254" s="2" t="s">
        <v>3613</v>
      </c>
      <c r="T254" s="2" t="s">
        <v>3614</v>
      </c>
      <c r="U254" s="2" t="s">
        <v>3615</v>
      </c>
      <c r="V254" s="23" t="s">
        <v>3616</v>
      </c>
      <c r="W254" s="24" t="s">
        <v>3617</v>
      </c>
      <c r="X254" s="23" t="s">
        <v>3618</v>
      </c>
      <c r="Y254" s="23" t="s">
        <v>3619</v>
      </c>
      <c r="Z254" s="23" t="s">
        <v>3620</v>
      </c>
      <c r="AA254" s="23" t="s">
        <v>3621</v>
      </c>
    </row>
    <row r="255" spans="1:30" ht="15.75" customHeight="1">
      <c r="A255" s="4" t="s">
        <v>389</v>
      </c>
      <c r="B255" s="5">
        <v>2402</v>
      </c>
      <c r="C255" s="6" t="s">
        <v>418</v>
      </c>
      <c r="D255" s="7">
        <v>2022007728</v>
      </c>
      <c r="E255" s="7">
        <v>2201010862</v>
      </c>
      <c r="F255" s="7" t="s">
        <v>1805</v>
      </c>
      <c r="G255" s="7" t="s">
        <v>13</v>
      </c>
      <c r="H255" s="6" t="s">
        <v>419</v>
      </c>
      <c r="I255" s="6" t="s">
        <v>2319</v>
      </c>
      <c r="J255" s="6" t="s">
        <v>2320</v>
      </c>
      <c r="K255" s="6" t="s">
        <v>15</v>
      </c>
      <c r="L255" s="6" t="s">
        <v>21</v>
      </c>
      <c r="M255" s="6" t="s">
        <v>17</v>
      </c>
      <c r="N255" s="7" t="s">
        <v>18</v>
      </c>
      <c r="O255" s="23" t="s">
        <v>3611</v>
      </c>
      <c r="R255" s="23" t="s">
        <v>3612</v>
      </c>
      <c r="S255" s="2" t="s">
        <v>3613</v>
      </c>
      <c r="T255" s="2" t="s">
        <v>3614</v>
      </c>
      <c r="U255" s="2" t="s">
        <v>3615</v>
      </c>
      <c r="V255" s="23" t="s">
        <v>3616</v>
      </c>
      <c r="W255" s="24" t="s">
        <v>3617</v>
      </c>
      <c r="X255" s="23" t="s">
        <v>3618</v>
      </c>
      <c r="Y255" s="23" t="s">
        <v>3619</v>
      </c>
      <c r="Z255" s="23" t="s">
        <v>3620</v>
      </c>
      <c r="AA255" s="23" t="s">
        <v>3621</v>
      </c>
      <c r="AB255" s="8"/>
      <c r="AC255" s="8"/>
      <c r="AD255" s="8"/>
    </row>
    <row r="256" spans="1:30" ht="15.75" customHeight="1">
      <c r="A256" s="4" t="s">
        <v>389</v>
      </c>
      <c r="B256" s="5">
        <v>2402</v>
      </c>
      <c r="C256" s="6" t="s">
        <v>495</v>
      </c>
      <c r="D256" s="7">
        <v>2022536274</v>
      </c>
      <c r="E256" s="7">
        <v>2201010878</v>
      </c>
      <c r="F256" s="7" t="s">
        <v>1805</v>
      </c>
      <c r="G256" s="7" t="s">
        <v>13</v>
      </c>
      <c r="H256" s="6" t="s">
        <v>496</v>
      </c>
      <c r="I256" s="6" t="s">
        <v>2321</v>
      </c>
      <c r="J256" s="6" t="s">
        <v>2322</v>
      </c>
      <c r="K256" s="6" t="s">
        <v>15</v>
      </c>
      <c r="L256" s="6" t="s">
        <v>21</v>
      </c>
      <c r="M256" s="6" t="s">
        <v>104</v>
      </c>
      <c r="N256" s="7" t="s">
        <v>18</v>
      </c>
      <c r="O256" s="23" t="s">
        <v>3611</v>
      </c>
      <c r="R256" s="23" t="s">
        <v>3612</v>
      </c>
      <c r="S256" s="2" t="s">
        <v>3613</v>
      </c>
      <c r="T256" s="2" t="s">
        <v>3614</v>
      </c>
      <c r="U256" s="2" t="s">
        <v>3615</v>
      </c>
      <c r="V256" s="23" t="s">
        <v>3616</v>
      </c>
      <c r="W256" s="24" t="s">
        <v>3617</v>
      </c>
      <c r="X256" s="23" t="s">
        <v>3618</v>
      </c>
      <c r="Y256" s="23" t="s">
        <v>3619</v>
      </c>
      <c r="Z256" s="23" t="s">
        <v>3620</v>
      </c>
      <c r="AA256" s="23" t="s">
        <v>3621</v>
      </c>
    </row>
    <row r="257" spans="1:30" ht="15.75" customHeight="1">
      <c r="A257" s="4" t="s">
        <v>389</v>
      </c>
      <c r="B257" s="5">
        <v>2402</v>
      </c>
      <c r="C257" s="6" t="s">
        <v>392</v>
      </c>
      <c r="D257" s="7">
        <v>2022607404</v>
      </c>
      <c r="E257" s="7">
        <v>2201010896</v>
      </c>
      <c r="F257" s="7" t="s">
        <v>1805</v>
      </c>
      <c r="G257" s="7" t="s">
        <v>13</v>
      </c>
      <c r="H257" s="6" t="s">
        <v>393</v>
      </c>
      <c r="I257" s="6" t="s">
        <v>2323</v>
      </c>
      <c r="J257" s="6" t="s">
        <v>2324</v>
      </c>
      <c r="K257" s="6" t="s">
        <v>15</v>
      </c>
      <c r="L257" s="6" t="s">
        <v>149</v>
      </c>
      <c r="M257" s="6" t="s">
        <v>21</v>
      </c>
      <c r="N257" s="7" t="s">
        <v>18</v>
      </c>
      <c r="O257" s="23" t="s">
        <v>3611</v>
      </c>
      <c r="R257" s="23" t="s">
        <v>3612</v>
      </c>
      <c r="S257" s="2" t="s">
        <v>3613</v>
      </c>
      <c r="T257" s="2" t="s">
        <v>3614</v>
      </c>
      <c r="U257" s="2" t="s">
        <v>3615</v>
      </c>
      <c r="V257" s="23" t="s">
        <v>3616</v>
      </c>
      <c r="W257" s="24" t="s">
        <v>3617</v>
      </c>
      <c r="X257" s="23" t="s">
        <v>3618</v>
      </c>
      <c r="Y257" s="23" t="s">
        <v>3619</v>
      </c>
      <c r="Z257" s="23" t="s">
        <v>3620</v>
      </c>
      <c r="AA257" s="23" t="s">
        <v>3621</v>
      </c>
    </row>
    <row r="258" spans="1:30" ht="15.75" customHeight="1">
      <c r="A258" s="4" t="s">
        <v>389</v>
      </c>
      <c r="B258" s="5">
        <v>2402</v>
      </c>
      <c r="C258" s="6" t="s">
        <v>776</v>
      </c>
      <c r="D258" s="7">
        <v>2023000910</v>
      </c>
      <c r="E258" s="7">
        <v>2301017001</v>
      </c>
      <c r="F258" s="7" t="s">
        <v>1805</v>
      </c>
      <c r="G258" s="7" t="s">
        <v>13</v>
      </c>
      <c r="H258" s="11" t="s">
        <v>777</v>
      </c>
      <c r="I258" s="6" t="s">
        <v>2325</v>
      </c>
      <c r="J258" s="6" t="s">
        <v>2326</v>
      </c>
      <c r="K258" s="6" t="s">
        <v>15</v>
      </c>
      <c r="L258" s="6" t="s">
        <v>149</v>
      </c>
      <c r="M258" s="6" t="s">
        <v>21</v>
      </c>
      <c r="N258" s="7" t="s">
        <v>18</v>
      </c>
      <c r="O258" s="23" t="s">
        <v>3611</v>
      </c>
      <c r="R258" s="23" t="s">
        <v>3612</v>
      </c>
      <c r="S258" s="2" t="s">
        <v>3613</v>
      </c>
      <c r="T258" s="2" t="s">
        <v>3614</v>
      </c>
      <c r="U258" s="2" t="s">
        <v>3615</v>
      </c>
      <c r="V258" s="23" t="s">
        <v>3616</v>
      </c>
      <c r="W258" s="24" t="s">
        <v>3617</v>
      </c>
      <c r="X258" s="23" t="s">
        <v>3618</v>
      </c>
      <c r="Y258" s="23" t="s">
        <v>3619</v>
      </c>
      <c r="Z258" s="23" t="s">
        <v>3620</v>
      </c>
      <c r="AA258" s="23" t="s">
        <v>3621</v>
      </c>
    </row>
    <row r="259" spans="1:30" ht="15.75" customHeight="1">
      <c r="A259" s="12" t="s">
        <v>517</v>
      </c>
      <c r="B259" s="5">
        <v>2402</v>
      </c>
      <c r="C259" s="6" t="s">
        <v>520</v>
      </c>
      <c r="D259" s="7">
        <v>2021369177</v>
      </c>
      <c r="E259" s="7">
        <v>210101120</v>
      </c>
      <c r="F259" s="7" t="s">
        <v>1806</v>
      </c>
      <c r="G259" s="7" t="s">
        <v>13</v>
      </c>
      <c r="H259" s="11" t="s">
        <v>521</v>
      </c>
      <c r="I259" s="6" t="s">
        <v>2327</v>
      </c>
      <c r="J259" s="6" t="s">
        <v>2328</v>
      </c>
      <c r="K259" s="6" t="s">
        <v>15</v>
      </c>
      <c r="L259" s="6" t="e">
        <v>#N/A</v>
      </c>
      <c r="M259" s="6" t="e">
        <v>#N/A</v>
      </c>
      <c r="N259" s="7" t="e">
        <v>#N/A</v>
      </c>
      <c r="O259" s="23" t="s">
        <v>3611</v>
      </c>
      <c r="R259" s="23" t="s">
        <v>3612</v>
      </c>
      <c r="S259" s="2" t="s">
        <v>3613</v>
      </c>
      <c r="T259" s="2" t="s">
        <v>3614</v>
      </c>
      <c r="U259" s="2" t="s">
        <v>3615</v>
      </c>
      <c r="V259" s="23" t="s">
        <v>3616</v>
      </c>
      <c r="W259" s="24" t="s">
        <v>3617</v>
      </c>
      <c r="X259" s="23" t="s">
        <v>3618</v>
      </c>
      <c r="Y259" s="23" t="s">
        <v>3619</v>
      </c>
      <c r="Z259" s="23" t="s">
        <v>3620</v>
      </c>
      <c r="AA259" s="23" t="s">
        <v>3621</v>
      </c>
    </row>
    <row r="260" spans="1:30" ht="15.75" customHeight="1">
      <c r="A260" s="12" t="s">
        <v>517</v>
      </c>
      <c r="B260" s="5">
        <v>2402</v>
      </c>
      <c r="C260" s="6" t="s">
        <v>522</v>
      </c>
      <c r="D260" s="7">
        <v>2021375907</v>
      </c>
      <c r="E260" s="7">
        <v>210101149</v>
      </c>
      <c r="F260" s="7" t="s">
        <v>1806</v>
      </c>
      <c r="G260" s="7" t="s">
        <v>13</v>
      </c>
      <c r="H260" s="6" t="s">
        <v>523</v>
      </c>
      <c r="I260" s="6" t="s">
        <v>2329</v>
      </c>
      <c r="J260" s="6" t="s">
        <v>2330</v>
      </c>
      <c r="K260" s="6" t="s">
        <v>15</v>
      </c>
      <c r="L260" s="6" t="e">
        <v>#N/A</v>
      </c>
      <c r="M260" s="6" t="e">
        <v>#N/A</v>
      </c>
      <c r="N260" s="7" t="e">
        <v>#N/A</v>
      </c>
      <c r="O260" s="23" t="s">
        <v>3611</v>
      </c>
      <c r="R260" s="23" t="s">
        <v>3612</v>
      </c>
      <c r="S260" s="2" t="s">
        <v>3613</v>
      </c>
      <c r="T260" s="2" t="s">
        <v>3614</v>
      </c>
      <c r="U260" s="2" t="s">
        <v>3615</v>
      </c>
      <c r="V260" s="23" t="s">
        <v>3616</v>
      </c>
      <c r="W260" s="24" t="s">
        <v>3617</v>
      </c>
      <c r="X260" s="23" t="s">
        <v>3618</v>
      </c>
      <c r="Y260" s="23" t="s">
        <v>3619</v>
      </c>
      <c r="Z260" s="23" t="s">
        <v>3620</v>
      </c>
      <c r="AA260" s="23" t="s">
        <v>3621</v>
      </c>
    </row>
    <row r="261" spans="1:30" ht="15.75" customHeight="1">
      <c r="A261" s="12" t="s">
        <v>517</v>
      </c>
      <c r="B261" s="5">
        <v>2402</v>
      </c>
      <c r="C261" s="6" t="s">
        <v>518</v>
      </c>
      <c r="D261" s="7">
        <v>2021001342</v>
      </c>
      <c r="E261" s="7">
        <v>210101351</v>
      </c>
      <c r="F261" s="7" t="s">
        <v>1806</v>
      </c>
      <c r="G261" s="7" t="s">
        <v>13</v>
      </c>
      <c r="H261" s="11" t="s">
        <v>519</v>
      </c>
      <c r="I261" s="6" t="s">
        <v>2331</v>
      </c>
      <c r="J261" s="6" t="s">
        <v>2332</v>
      </c>
      <c r="K261" s="6" t="s">
        <v>15</v>
      </c>
      <c r="L261" s="6" t="e">
        <v>#N/A</v>
      </c>
      <c r="M261" s="6" t="e">
        <v>#N/A</v>
      </c>
      <c r="N261" s="7" t="e">
        <v>#N/A</v>
      </c>
      <c r="O261" s="23" t="s">
        <v>3611</v>
      </c>
      <c r="R261" s="23" t="s">
        <v>3612</v>
      </c>
      <c r="S261" s="2" t="s">
        <v>3613</v>
      </c>
      <c r="T261" s="2" t="s">
        <v>3614</v>
      </c>
      <c r="U261" s="2" t="s">
        <v>3615</v>
      </c>
      <c r="V261" s="23" t="s">
        <v>3616</v>
      </c>
      <c r="W261" s="24" t="s">
        <v>3617</v>
      </c>
      <c r="X261" s="23" t="s">
        <v>3618</v>
      </c>
      <c r="Y261" s="23" t="s">
        <v>3619</v>
      </c>
      <c r="Z261" s="23" t="s">
        <v>3620</v>
      </c>
      <c r="AA261" s="23" t="s">
        <v>3621</v>
      </c>
    </row>
    <row r="262" spans="1:30" ht="15.75" customHeight="1">
      <c r="A262" s="12" t="s">
        <v>517</v>
      </c>
      <c r="B262" s="5">
        <v>2402</v>
      </c>
      <c r="C262" s="6" t="s">
        <v>524</v>
      </c>
      <c r="D262" s="7">
        <v>2022007029</v>
      </c>
      <c r="E262" s="7">
        <v>2201010009</v>
      </c>
      <c r="F262" s="7" t="s">
        <v>1806</v>
      </c>
      <c r="G262" s="7" t="s">
        <v>13</v>
      </c>
      <c r="H262" s="6" t="s">
        <v>525</v>
      </c>
      <c r="I262" s="6" t="s">
        <v>2333</v>
      </c>
      <c r="J262" s="6" t="s">
        <v>2334</v>
      </c>
      <c r="K262" s="6" t="s">
        <v>15</v>
      </c>
      <c r="L262" s="6" t="s">
        <v>21</v>
      </c>
      <c r="M262" s="6" t="s">
        <v>139</v>
      </c>
      <c r="N262" s="7" t="s">
        <v>18</v>
      </c>
      <c r="O262" s="23" t="s">
        <v>3611</v>
      </c>
      <c r="R262" s="23" t="s">
        <v>3612</v>
      </c>
      <c r="S262" s="2" t="s">
        <v>3613</v>
      </c>
      <c r="T262" s="2" t="s">
        <v>3614</v>
      </c>
      <c r="U262" s="2" t="s">
        <v>3615</v>
      </c>
      <c r="V262" s="23" t="s">
        <v>3616</v>
      </c>
      <c r="W262" s="24" t="s">
        <v>3617</v>
      </c>
      <c r="X262" s="23" t="s">
        <v>3618</v>
      </c>
      <c r="Y262" s="23" t="s">
        <v>3619</v>
      </c>
      <c r="Z262" s="23" t="s">
        <v>3620</v>
      </c>
      <c r="AA262" s="23" t="s">
        <v>3621</v>
      </c>
    </row>
    <row r="263" spans="1:30" ht="15.75" customHeight="1">
      <c r="A263" s="12" t="s">
        <v>517</v>
      </c>
      <c r="B263" s="5">
        <v>2402</v>
      </c>
      <c r="C263" s="6" t="s">
        <v>581</v>
      </c>
      <c r="D263" s="7">
        <v>2022438394</v>
      </c>
      <c r="E263" s="7">
        <v>2201010012</v>
      </c>
      <c r="F263" s="7" t="s">
        <v>1806</v>
      </c>
      <c r="G263" s="7" t="s">
        <v>13</v>
      </c>
      <c r="H263" s="6" t="s">
        <v>582</v>
      </c>
      <c r="I263" s="6" t="s">
        <v>2335</v>
      </c>
      <c r="J263" s="6" t="s">
        <v>2336</v>
      </c>
      <c r="K263" s="6" t="s">
        <v>15</v>
      </c>
      <c r="L263" s="6" t="s">
        <v>21</v>
      </c>
      <c r="M263" s="6" t="s">
        <v>149</v>
      </c>
      <c r="N263" s="7" t="s">
        <v>18</v>
      </c>
      <c r="O263" s="23" t="s">
        <v>3611</v>
      </c>
      <c r="R263" s="23" t="s">
        <v>3612</v>
      </c>
      <c r="S263" s="2" t="s">
        <v>3613</v>
      </c>
      <c r="T263" s="2" t="s">
        <v>3614</v>
      </c>
      <c r="U263" s="2" t="s">
        <v>3615</v>
      </c>
      <c r="V263" s="23" t="s">
        <v>3616</v>
      </c>
      <c r="W263" s="24" t="s">
        <v>3617</v>
      </c>
      <c r="X263" s="23" t="s">
        <v>3618</v>
      </c>
      <c r="Y263" s="23" t="s">
        <v>3619</v>
      </c>
      <c r="Z263" s="23" t="s">
        <v>3620</v>
      </c>
      <c r="AA263" s="23" t="s">
        <v>3621</v>
      </c>
    </row>
    <row r="264" spans="1:30" ht="15.75" customHeight="1">
      <c r="A264" s="12" t="s">
        <v>517</v>
      </c>
      <c r="B264" s="5">
        <v>2402</v>
      </c>
      <c r="C264" s="6" t="s">
        <v>577</v>
      </c>
      <c r="D264" s="7">
        <v>2022433132</v>
      </c>
      <c r="E264" s="7">
        <v>2201010015</v>
      </c>
      <c r="F264" s="7" t="s">
        <v>1806</v>
      </c>
      <c r="G264" s="7" t="s">
        <v>13</v>
      </c>
      <c r="H264" s="6" t="s">
        <v>578</v>
      </c>
      <c r="I264" s="6" t="s">
        <v>2337</v>
      </c>
      <c r="J264" s="6" t="s">
        <v>2338</v>
      </c>
      <c r="K264" s="6" t="s">
        <v>15</v>
      </c>
      <c r="L264" s="6" t="s">
        <v>21</v>
      </c>
      <c r="M264" s="6" t="s">
        <v>17</v>
      </c>
      <c r="N264" s="7" t="s">
        <v>18</v>
      </c>
      <c r="O264" s="23" t="s">
        <v>3611</v>
      </c>
      <c r="R264" s="23" t="s">
        <v>3612</v>
      </c>
      <c r="S264" s="2" t="s">
        <v>3613</v>
      </c>
      <c r="T264" s="2" t="s">
        <v>3614</v>
      </c>
      <c r="U264" s="2" t="s">
        <v>3615</v>
      </c>
      <c r="V264" s="23" t="s">
        <v>3616</v>
      </c>
      <c r="W264" s="24" t="s">
        <v>3617</v>
      </c>
      <c r="X264" s="23" t="s">
        <v>3618</v>
      </c>
      <c r="Y264" s="23" t="s">
        <v>3619</v>
      </c>
      <c r="Z264" s="23" t="s">
        <v>3620</v>
      </c>
      <c r="AA264" s="23" t="s">
        <v>3621</v>
      </c>
    </row>
    <row r="265" spans="1:30" ht="15.75" customHeight="1">
      <c r="A265" s="12" t="s">
        <v>517</v>
      </c>
      <c r="B265" s="5">
        <v>2402</v>
      </c>
      <c r="C265" s="6" t="s">
        <v>543</v>
      </c>
      <c r="D265" s="7">
        <v>2022004546</v>
      </c>
      <c r="E265" s="7">
        <v>2201010038</v>
      </c>
      <c r="F265" s="7" t="s">
        <v>1806</v>
      </c>
      <c r="G265" s="7" t="s">
        <v>13</v>
      </c>
      <c r="H265" s="6" t="s">
        <v>544</v>
      </c>
      <c r="I265" s="6" t="s">
        <v>2339</v>
      </c>
      <c r="J265" s="6" t="s">
        <v>2340</v>
      </c>
      <c r="K265" s="6" t="s">
        <v>15</v>
      </c>
      <c r="L265" s="6" t="s">
        <v>149</v>
      </c>
      <c r="M265" s="6" t="s">
        <v>21</v>
      </c>
      <c r="N265" s="7" t="s">
        <v>18</v>
      </c>
      <c r="O265" s="23" t="s">
        <v>3611</v>
      </c>
      <c r="R265" s="23" t="s">
        <v>3612</v>
      </c>
      <c r="S265" s="2" t="s">
        <v>3613</v>
      </c>
      <c r="T265" s="2" t="s">
        <v>3614</v>
      </c>
      <c r="U265" s="2" t="s">
        <v>3615</v>
      </c>
      <c r="V265" s="23" t="s">
        <v>3616</v>
      </c>
      <c r="W265" s="24" t="s">
        <v>3617</v>
      </c>
      <c r="X265" s="23" t="s">
        <v>3618</v>
      </c>
      <c r="Y265" s="23" t="s">
        <v>3619</v>
      </c>
      <c r="Z265" s="23" t="s">
        <v>3620</v>
      </c>
      <c r="AA265" s="23" t="s">
        <v>3621</v>
      </c>
    </row>
    <row r="266" spans="1:30" ht="15.75" customHeight="1">
      <c r="A266" s="12" t="s">
        <v>517</v>
      </c>
      <c r="B266" s="5">
        <v>2402</v>
      </c>
      <c r="C266" s="6" t="s">
        <v>622</v>
      </c>
      <c r="D266" s="7">
        <v>2022535859</v>
      </c>
      <c r="E266" s="7">
        <v>2201010043</v>
      </c>
      <c r="F266" s="7" t="s">
        <v>1806</v>
      </c>
      <c r="G266" s="7" t="s">
        <v>13</v>
      </c>
      <c r="H266" s="6" t="s">
        <v>623</v>
      </c>
      <c r="I266" s="6" t="s">
        <v>2341</v>
      </c>
      <c r="J266" s="6" t="s">
        <v>2342</v>
      </c>
      <c r="K266" s="6" t="s">
        <v>15</v>
      </c>
      <c r="L266" s="6" t="s">
        <v>21</v>
      </c>
      <c r="M266" s="6" t="s">
        <v>49</v>
      </c>
      <c r="N266" s="7" t="s">
        <v>174</v>
      </c>
      <c r="O266" s="23" t="s">
        <v>3611</v>
      </c>
      <c r="R266" s="23" t="s">
        <v>3612</v>
      </c>
      <c r="S266" s="2" t="s">
        <v>3613</v>
      </c>
      <c r="T266" s="2" t="s">
        <v>3614</v>
      </c>
      <c r="U266" s="2" t="s">
        <v>3615</v>
      </c>
      <c r="V266" s="23" t="s">
        <v>3616</v>
      </c>
      <c r="W266" s="24" t="s">
        <v>3617</v>
      </c>
      <c r="X266" s="23" t="s">
        <v>3618</v>
      </c>
      <c r="Y266" s="23" t="s">
        <v>3619</v>
      </c>
      <c r="Z266" s="23" t="s">
        <v>3620</v>
      </c>
      <c r="AA266" s="23" t="s">
        <v>3621</v>
      </c>
      <c r="AB266" s="9"/>
      <c r="AC266" s="9"/>
      <c r="AD266" s="9"/>
    </row>
    <row r="267" spans="1:30" ht="15.75" customHeight="1">
      <c r="A267" s="12" t="s">
        <v>517</v>
      </c>
      <c r="B267" s="5">
        <v>2402</v>
      </c>
      <c r="C267" s="6" t="s">
        <v>219</v>
      </c>
      <c r="D267" s="7">
        <v>2022536473</v>
      </c>
      <c r="E267" s="7">
        <v>2201010049</v>
      </c>
      <c r="F267" s="7" t="s">
        <v>1806</v>
      </c>
      <c r="G267" s="7" t="s">
        <v>13</v>
      </c>
      <c r="H267" s="6" t="s">
        <v>624</v>
      </c>
      <c r="I267" s="6" t="s">
        <v>2343</v>
      </c>
      <c r="J267" s="6" t="s">
        <v>2344</v>
      </c>
      <c r="K267" s="6" t="s">
        <v>15</v>
      </c>
      <c r="L267" s="6" t="s">
        <v>21</v>
      </c>
      <c r="M267" s="6" t="s">
        <v>16</v>
      </c>
      <c r="N267" s="7" t="s">
        <v>18</v>
      </c>
      <c r="O267" s="23" t="s">
        <v>3611</v>
      </c>
      <c r="R267" s="23" t="s">
        <v>3612</v>
      </c>
      <c r="S267" s="2" t="s">
        <v>3613</v>
      </c>
      <c r="T267" s="2" t="s">
        <v>3614</v>
      </c>
      <c r="U267" s="2" t="s">
        <v>3615</v>
      </c>
      <c r="V267" s="23" t="s">
        <v>3616</v>
      </c>
      <c r="W267" s="24" t="s">
        <v>3617</v>
      </c>
      <c r="X267" s="23" t="s">
        <v>3618</v>
      </c>
      <c r="Y267" s="23" t="s">
        <v>3619</v>
      </c>
      <c r="Z267" s="23" t="s">
        <v>3620</v>
      </c>
      <c r="AA267" s="23" t="s">
        <v>3621</v>
      </c>
    </row>
    <row r="268" spans="1:30" ht="15.75" customHeight="1">
      <c r="A268" s="12" t="s">
        <v>517</v>
      </c>
      <c r="B268" s="5">
        <v>2402</v>
      </c>
      <c r="C268" s="6" t="s">
        <v>535</v>
      </c>
      <c r="D268" s="7">
        <v>2022001884</v>
      </c>
      <c r="E268" s="7">
        <v>2201010055</v>
      </c>
      <c r="F268" s="7" t="s">
        <v>1806</v>
      </c>
      <c r="G268" s="7" t="s">
        <v>13</v>
      </c>
      <c r="H268" s="6" t="s">
        <v>536</v>
      </c>
      <c r="I268" s="6" t="s">
        <v>2345</v>
      </c>
      <c r="J268" s="6" t="s">
        <v>2346</v>
      </c>
      <c r="K268" s="6" t="s">
        <v>15</v>
      </c>
      <c r="L268" s="6" t="s">
        <v>149</v>
      </c>
      <c r="M268" s="6" t="s">
        <v>21</v>
      </c>
      <c r="N268" s="7" t="s">
        <v>18</v>
      </c>
      <c r="O268" s="23" t="s">
        <v>3611</v>
      </c>
      <c r="R268" s="23" t="s">
        <v>3612</v>
      </c>
      <c r="S268" s="2" t="s">
        <v>3613</v>
      </c>
      <c r="T268" s="2" t="s">
        <v>3614</v>
      </c>
      <c r="U268" s="2" t="s">
        <v>3615</v>
      </c>
      <c r="V268" s="23" t="s">
        <v>3616</v>
      </c>
      <c r="W268" s="24" t="s">
        <v>3617</v>
      </c>
      <c r="X268" s="23" t="s">
        <v>3618</v>
      </c>
      <c r="Y268" s="23" t="s">
        <v>3619</v>
      </c>
      <c r="Z268" s="23" t="s">
        <v>3620</v>
      </c>
      <c r="AA268" s="23" t="s">
        <v>3621</v>
      </c>
    </row>
    <row r="269" spans="1:30" ht="15.75" customHeight="1">
      <c r="A269" s="12" t="s">
        <v>517</v>
      </c>
      <c r="B269" s="5">
        <v>2402</v>
      </c>
      <c r="C269" s="6" t="s">
        <v>631</v>
      </c>
      <c r="D269" s="7">
        <v>2022559297</v>
      </c>
      <c r="E269" s="7">
        <v>2201010066</v>
      </c>
      <c r="F269" s="7" t="s">
        <v>1806</v>
      </c>
      <c r="G269" s="7" t="s">
        <v>13</v>
      </c>
      <c r="H269" s="6" t="s">
        <v>632</v>
      </c>
      <c r="I269" s="6" t="s">
        <v>2347</v>
      </c>
      <c r="J269" s="6" t="s">
        <v>2348</v>
      </c>
      <c r="K269" s="6" t="s">
        <v>15</v>
      </c>
      <c r="L269" s="6" t="s">
        <v>21</v>
      </c>
      <c r="M269" s="6" t="s">
        <v>17</v>
      </c>
      <c r="N269" s="7" t="s">
        <v>18</v>
      </c>
      <c r="O269" s="23" t="s">
        <v>3611</v>
      </c>
      <c r="R269" s="23" t="s">
        <v>3612</v>
      </c>
      <c r="S269" s="2" t="s">
        <v>3613</v>
      </c>
      <c r="T269" s="2" t="s">
        <v>3614</v>
      </c>
      <c r="U269" s="2" t="s">
        <v>3615</v>
      </c>
      <c r="V269" s="23" t="s">
        <v>3616</v>
      </c>
      <c r="W269" s="24" t="s">
        <v>3617</v>
      </c>
      <c r="X269" s="23" t="s">
        <v>3618</v>
      </c>
      <c r="Y269" s="23" t="s">
        <v>3619</v>
      </c>
      <c r="Z269" s="23" t="s">
        <v>3620</v>
      </c>
      <c r="AA269" s="23" t="s">
        <v>3621</v>
      </c>
    </row>
    <row r="270" spans="1:30" ht="15.75" customHeight="1">
      <c r="A270" s="12" t="s">
        <v>517</v>
      </c>
      <c r="B270" s="5">
        <v>2402</v>
      </c>
      <c r="C270" s="6" t="s">
        <v>610</v>
      </c>
      <c r="D270" s="7">
        <v>2022516167</v>
      </c>
      <c r="E270" s="7">
        <v>2201010073</v>
      </c>
      <c r="F270" s="7" t="s">
        <v>1806</v>
      </c>
      <c r="G270" s="7" t="s">
        <v>13</v>
      </c>
      <c r="H270" s="6" t="s">
        <v>611</v>
      </c>
      <c r="I270" s="6" t="s">
        <v>2349</v>
      </c>
      <c r="J270" s="6" t="s">
        <v>2350</v>
      </c>
      <c r="K270" s="6" t="s">
        <v>15</v>
      </c>
      <c r="L270" s="6" t="s">
        <v>21</v>
      </c>
      <c r="M270" s="6" t="s">
        <v>139</v>
      </c>
      <c r="N270" s="7" t="s">
        <v>18</v>
      </c>
      <c r="O270" s="23" t="s">
        <v>3611</v>
      </c>
      <c r="R270" s="23" t="s">
        <v>3612</v>
      </c>
      <c r="S270" s="2" t="s">
        <v>3613</v>
      </c>
      <c r="T270" s="2" t="s">
        <v>3614</v>
      </c>
      <c r="U270" s="2" t="s">
        <v>3615</v>
      </c>
      <c r="V270" s="23" t="s">
        <v>3616</v>
      </c>
      <c r="W270" s="24" t="s">
        <v>3617</v>
      </c>
      <c r="X270" s="23" t="s">
        <v>3618</v>
      </c>
      <c r="Y270" s="23" t="s">
        <v>3619</v>
      </c>
      <c r="Z270" s="23" t="s">
        <v>3620</v>
      </c>
      <c r="AA270" s="23" t="s">
        <v>3621</v>
      </c>
    </row>
    <row r="271" spans="1:30" ht="15.75" customHeight="1">
      <c r="A271" s="12" t="s">
        <v>517</v>
      </c>
      <c r="B271" s="5">
        <v>2402</v>
      </c>
      <c r="C271" s="6" t="s">
        <v>549</v>
      </c>
      <c r="D271" s="7">
        <v>2022006210</v>
      </c>
      <c r="E271" s="7">
        <v>2201010109</v>
      </c>
      <c r="F271" s="7" t="s">
        <v>1806</v>
      </c>
      <c r="G271" s="7" t="s">
        <v>13</v>
      </c>
      <c r="H271" s="6" t="s">
        <v>550</v>
      </c>
      <c r="I271" s="6" t="s">
        <v>2351</v>
      </c>
      <c r="J271" s="6" t="s">
        <v>2352</v>
      </c>
      <c r="K271" s="6" t="s">
        <v>15</v>
      </c>
      <c r="L271" s="6" t="s">
        <v>21</v>
      </c>
      <c r="M271" s="6" t="s">
        <v>21</v>
      </c>
      <c r="N271" s="7" t="s">
        <v>18</v>
      </c>
      <c r="O271" s="23" t="s">
        <v>3611</v>
      </c>
      <c r="R271" s="23" t="s">
        <v>3612</v>
      </c>
      <c r="S271" s="2" t="s">
        <v>3613</v>
      </c>
      <c r="T271" s="2" t="s">
        <v>3614</v>
      </c>
      <c r="U271" s="2" t="s">
        <v>3615</v>
      </c>
      <c r="V271" s="23" t="s">
        <v>3616</v>
      </c>
      <c r="W271" s="24" t="s">
        <v>3617</v>
      </c>
      <c r="X271" s="23" t="s">
        <v>3618</v>
      </c>
      <c r="Y271" s="23" t="s">
        <v>3619</v>
      </c>
      <c r="Z271" s="23" t="s">
        <v>3620</v>
      </c>
      <c r="AA271" s="23" t="s">
        <v>3621</v>
      </c>
    </row>
    <row r="272" spans="1:30" ht="15.75" customHeight="1">
      <c r="A272" s="12" t="s">
        <v>517</v>
      </c>
      <c r="B272" s="5">
        <v>2402</v>
      </c>
      <c r="C272" s="6" t="s">
        <v>604</v>
      </c>
      <c r="D272" s="7">
        <v>2022508678</v>
      </c>
      <c r="E272" s="7">
        <v>2201010116</v>
      </c>
      <c r="F272" s="7" t="s">
        <v>1806</v>
      </c>
      <c r="G272" s="7" t="s">
        <v>13</v>
      </c>
      <c r="H272" s="6" t="s">
        <v>605</v>
      </c>
      <c r="I272" s="6" t="s">
        <v>2353</v>
      </c>
      <c r="J272" s="6" t="s">
        <v>2354</v>
      </c>
      <c r="K272" s="6" t="s">
        <v>15</v>
      </c>
      <c r="L272" s="6" t="s">
        <v>21</v>
      </c>
      <c r="M272" s="6" t="s">
        <v>16</v>
      </c>
      <c r="N272" s="7" t="s">
        <v>18</v>
      </c>
      <c r="O272" s="23" t="s">
        <v>3611</v>
      </c>
      <c r="R272" s="23" t="s">
        <v>3612</v>
      </c>
      <c r="S272" s="2" t="s">
        <v>3613</v>
      </c>
      <c r="T272" s="2" t="s">
        <v>3614</v>
      </c>
      <c r="U272" s="2" t="s">
        <v>3615</v>
      </c>
      <c r="V272" s="23" t="s">
        <v>3616</v>
      </c>
      <c r="W272" s="24" t="s">
        <v>3617</v>
      </c>
      <c r="X272" s="23" t="s">
        <v>3618</v>
      </c>
      <c r="Y272" s="23" t="s">
        <v>3619</v>
      </c>
      <c r="Z272" s="23" t="s">
        <v>3620</v>
      </c>
      <c r="AA272" s="23" t="s">
        <v>3621</v>
      </c>
    </row>
    <row r="273" spans="1:30" ht="15.75" customHeight="1">
      <c r="A273" s="12" t="s">
        <v>517</v>
      </c>
      <c r="B273" s="5">
        <v>2402</v>
      </c>
      <c r="C273" s="6" t="s">
        <v>625</v>
      </c>
      <c r="D273" s="7">
        <v>2022540466</v>
      </c>
      <c r="E273" s="7">
        <v>2201010135</v>
      </c>
      <c r="F273" s="7" t="s">
        <v>1806</v>
      </c>
      <c r="G273" s="7" t="s">
        <v>13</v>
      </c>
      <c r="H273" s="6" t="s">
        <v>626</v>
      </c>
      <c r="I273" s="6" t="s">
        <v>2355</v>
      </c>
      <c r="J273" s="6" t="s">
        <v>2356</v>
      </c>
      <c r="K273" s="6" t="s">
        <v>15</v>
      </c>
      <c r="L273" s="6" t="s">
        <v>149</v>
      </c>
      <c r="M273" s="6" t="s">
        <v>117</v>
      </c>
      <c r="N273" s="7" t="s">
        <v>18</v>
      </c>
      <c r="O273" s="23" t="s">
        <v>3611</v>
      </c>
      <c r="R273" s="23" t="s">
        <v>3612</v>
      </c>
      <c r="S273" s="2" t="s">
        <v>3613</v>
      </c>
      <c r="T273" s="2" t="s">
        <v>3614</v>
      </c>
      <c r="U273" s="2" t="s">
        <v>3615</v>
      </c>
      <c r="V273" s="23" t="s">
        <v>3616</v>
      </c>
      <c r="W273" s="24" t="s">
        <v>3617</v>
      </c>
      <c r="X273" s="23" t="s">
        <v>3618</v>
      </c>
      <c r="Y273" s="23" t="s">
        <v>3619</v>
      </c>
      <c r="Z273" s="23" t="s">
        <v>3620</v>
      </c>
      <c r="AA273" s="23" t="s">
        <v>3621</v>
      </c>
      <c r="AB273" s="9"/>
      <c r="AC273" s="9"/>
      <c r="AD273" s="9"/>
    </row>
    <row r="274" spans="1:30" ht="15.75" customHeight="1">
      <c r="A274" s="12" t="s">
        <v>517</v>
      </c>
      <c r="B274" s="5">
        <v>2402</v>
      </c>
      <c r="C274" s="6" t="s">
        <v>561</v>
      </c>
      <c r="D274" s="7">
        <v>2022334212</v>
      </c>
      <c r="E274" s="7">
        <v>2201010157</v>
      </c>
      <c r="F274" s="7" t="s">
        <v>1806</v>
      </c>
      <c r="G274" s="7" t="s">
        <v>13</v>
      </c>
      <c r="H274" s="6" t="s">
        <v>562</v>
      </c>
      <c r="I274" s="6" t="s">
        <v>2357</v>
      </c>
      <c r="J274" s="6" t="s">
        <v>2358</v>
      </c>
      <c r="K274" s="6" t="s">
        <v>15</v>
      </c>
      <c r="L274" s="6" t="s">
        <v>17</v>
      </c>
      <c r="M274" s="6" t="s">
        <v>49</v>
      </c>
      <c r="N274" s="7" t="s">
        <v>18</v>
      </c>
      <c r="O274" s="23" t="s">
        <v>3611</v>
      </c>
      <c r="R274" s="23" t="s">
        <v>3612</v>
      </c>
      <c r="S274" s="2" t="s">
        <v>3613</v>
      </c>
      <c r="T274" s="2" t="s">
        <v>3614</v>
      </c>
      <c r="U274" s="2" t="s">
        <v>3615</v>
      </c>
      <c r="V274" s="23" t="s">
        <v>3616</v>
      </c>
      <c r="W274" s="24" t="s">
        <v>3617</v>
      </c>
      <c r="X274" s="23" t="s">
        <v>3618</v>
      </c>
      <c r="Y274" s="23" t="s">
        <v>3619</v>
      </c>
      <c r="Z274" s="23" t="s">
        <v>3620</v>
      </c>
      <c r="AA274" s="23" t="s">
        <v>3621</v>
      </c>
      <c r="AB274" s="8"/>
      <c r="AC274" s="8"/>
      <c r="AD274" s="8"/>
    </row>
    <row r="275" spans="1:30" ht="15.75" customHeight="1">
      <c r="A275" s="12" t="s">
        <v>517</v>
      </c>
      <c r="B275" s="5">
        <v>2402</v>
      </c>
      <c r="C275" s="6" t="s">
        <v>563</v>
      </c>
      <c r="D275" s="7">
        <v>2022345566</v>
      </c>
      <c r="E275" s="7">
        <v>2201010189</v>
      </c>
      <c r="F275" s="7" t="s">
        <v>1806</v>
      </c>
      <c r="G275" s="7" t="s">
        <v>13</v>
      </c>
      <c r="H275" s="6" t="s">
        <v>564</v>
      </c>
      <c r="I275" s="6" t="s">
        <v>2359</v>
      </c>
      <c r="J275" s="6" t="s">
        <v>2360</v>
      </c>
      <c r="K275" s="6" t="s">
        <v>15</v>
      </c>
      <c r="L275" s="6" t="s">
        <v>21</v>
      </c>
      <c r="M275" s="6" t="s">
        <v>17</v>
      </c>
      <c r="N275" s="7" t="s">
        <v>18</v>
      </c>
      <c r="O275" s="23" t="s">
        <v>3611</v>
      </c>
      <c r="R275" s="23" t="s">
        <v>3612</v>
      </c>
      <c r="S275" s="2" t="s">
        <v>3613</v>
      </c>
      <c r="T275" s="2" t="s">
        <v>3614</v>
      </c>
      <c r="U275" s="2" t="s">
        <v>3615</v>
      </c>
      <c r="V275" s="23" t="s">
        <v>3616</v>
      </c>
      <c r="W275" s="24" t="s">
        <v>3617</v>
      </c>
      <c r="X275" s="23" t="s">
        <v>3618</v>
      </c>
      <c r="Y275" s="23" t="s">
        <v>3619</v>
      </c>
      <c r="Z275" s="23" t="s">
        <v>3620</v>
      </c>
      <c r="AA275" s="23" t="s">
        <v>3621</v>
      </c>
      <c r="AB275" s="8"/>
      <c r="AC275" s="8"/>
      <c r="AD275" s="8"/>
    </row>
    <row r="276" spans="1:30" ht="15.75" customHeight="1">
      <c r="A276" s="12" t="s">
        <v>517</v>
      </c>
      <c r="B276" s="5">
        <v>2402</v>
      </c>
      <c r="C276" s="6" t="s">
        <v>643</v>
      </c>
      <c r="D276" s="7">
        <v>2022006402</v>
      </c>
      <c r="E276" s="7">
        <v>2201010229</v>
      </c>
      <c r="F276" s="7" t="s">
        <v>1806</v>
      </c>
      <c r="G276" s="7" t="s">
        <v>13</v>
      </c>
      <c r="H276" s="6" t="s">
        <v>644</v>
      </c>
      <c r="I276" s="6" t="s">
        <v>2361</v>
      </c>
      <c r="J276" s="6" t="s">
        <v>2362</v>
      </c>
      <c r="K276" s="6" t="s">
        <v>15</v>
      </c>
      <c r="L276" s="6" t="s">
        <v>21</v>
      </c>
      <c r="M276" s="6" t="s">
        <v>16</v>
      </c>
      <c r="N276" s="7" t="s">
        <v>174</v>
      </c>
      <c r="O276" s="23" t="s">
        <v>3611</v>
      </c>
      <c r="R276" s="23" t="s">
        <v>3612</v>
      </c>
      <c r="S276" s="2" t="s">
        <v>3613</v>
      </c>
      <c r="T276" s="2" t="s">
        <v>3614</v>
      </c>
      <c r="U276" s="2" t="s">
        <v>3615</v>
      </c>
      <c r="V276" s="23" t="s">
        <v>3616</v>
      </c>
      <c r="W276" s="24" t="s">
        <v>3617</v>
      </c>
      <c r="X276" s="23" t="s">
        <v>3618</v>
      </c>
      <c r="Y276" s="23" t="s">
        <v>3619</v>
      </c>
      <c r="Z276" s="23" t="s">
        <v>3620</v>
      </c>
      <c r="AA276" s="23" t="s">
        <v>3621</v>
      </c>
      <c r="AB276" s="8"/>
      <c r="AC276" s="8"/>
      <c r="AD276" s="8"/>
    </row>
    <row r="277" spans="1:30" ht="15.75" customHeight="1">
      <c r="A277" s="12" t="s">
        <v>517</v>
      </c>
      <c r="B277" s="5">
        <v>2402</v>
      </c>
      <c r="C277" s="6" t="s">
        <v>557</v>
      </c>
      <c r="D277" s="7">
        <v>2022307961</v>
      </c>
      <c r="E277" s="7">
        <v>2201010238</v>
      </c>
      <c r="F277" s="7" t="s">
        <v>1806</v>
      </c>
      <c r="G277" s="7" t="s">
        <v>13</v>
      </c>
      <c r="H277" s="6" t="s">
        <v>558</v>
      </c>
      <c r="I277" s="6" t="s">
        <v>2363</v>
      </c>
      <c r="J277" s="6" t="s">
        <v>2364</v>
      </c>
      <c r="K277" s="6" t="s">
        <v>15</v>
      </c>
      <c r="L277" s="6" t="s">
        <v>21</v>
      </c>
      <c r="M277" s="6" t="s">
        <v>149</v>
      </c>
      <c r="N277" s="7" t="s">
        <v>18</v>
      </c>
      <c r="O277" s="23" t="s">
        <v>3611</v>
      </c>
      <c r="R277" s="23" t="s">
        <v>3612</v>
      </c>
      <c r="S277" s="2" t="s">
        <v>3613</v>
      </c>
      <c r="T277" s="2" t="s">
        <v>3614</v>
      </c>
      <c r="U277" s="2" t="s">
        <v>3615</v>
      </c>
      <c r="V277" s="23" t="s">
        <v>3616</v>
      </c>
      <c r="W277" s="24" t="s">
        <v>3617</v>
      </c>
      <c r="X277" s="23" t="s">
        <v>3618</v>
      </c>
      <c r="Y277" s="23" t="s">
        <v>3619</v>
      </c>
      <c r="Z277" s="23" t="s">
        <v>3620</v>
      </c>
      <c r="AA277" s="23" t="s">
        <v>3621</v>
      </c>
      <c r="AB277" s="8"/>
      <c r="AC277" s="8"/>
      <c r="AD277" s="8"/>
    </row>
    <row r="278" spans="1:30" ht="15.75" customHeight="1">
      <c r="A278" s="12" t="s">
        <v>517</v>
      </c>
      <c r="B278" s="5">
        <v>2402</v>
      </c>
      <c r="C278" s="6" t="s">
        <v>551</v>
      </c>
      <c r="D278" s="7">
        <v>2022006272</v>
      </c>
      <c r="E278" s="7">
        <v>2201010269</v>
      </c>
      <c r="F278" s="7" t="s">
        <v>1806</v>
      </c>
      <c r="G278" s="7" t="s">
        <v>13</v>
      </c>
      <c r="H278" s="6" t="s">
        <v>552</v>
      </c>
      <c r="I278" s="6" t="s">
        <v>2365</v>
      </c>
      <c r="J278" s="6" t="s">
        <v>2366</v>
      </c>
      <c r="K278" s="6" t="s">
        <v>15</v>
      </c>
      <c r="L278" s="6" t="s">
        <v>21</v>
      </c>
      <c r="M278" s="6" t="s">
        <v>117</v>
      </c>
      <c r="N278" s="7" t="s">
        <v>18</v>
      </c>
      <c r="O278" s="23" t="s">
        <v>3611</v>
      </c>
      <c r="R278" s="23" t="s">
        <v>3612</v>
      </c>
      <c r="S278" s="2" t="s">
        <v>3613</v>
      </c>
      <c r="T278" s="2" t="s">
        <v>3614</v>
      </c>
      <c r="U278" s="2" t="s">
        <v>3615</v>
      </c>
      <c r="V278" s="23" t="s">
        <v>3616</v>
      </c>
      <c r="W278" s="24" t="s">
        <v>3617</v>
      </c>
      <c r="X278" s="23" t="s">
        <v>3618</v>
      </c>
      <c r="Y278" s="23" t="s">
        <v>3619</v>
      </c>
      <c r="Z278" s="23" t="s">
        <v>3620</v>
      </c>
      <c r="AA278" s="23" t="s">
        <v>3621</v>
      </c>
      <c r="AB278" s="8"/>
      <c r="AC278" s="8"/>
      <c r="AD278" s="8"/>
    </row>
    <row r="279" spans="1:30" ht="15.75" customHeight="1">
      <c r="A279" s="12" t="s">
        <v>517</v>
      </c>
      <c r="B279" s="5">
        <v>2402</v>
      </c>
      <c r="C279" s="6" t="s">
        <v>618</v>
      </c>
      <c r="D279" s="7">
        <v>2022530377</v>
      </c>
      <c r="E279" s="7">
        <v>2201010273</v>
      </c>
      <c r="F279" s="7" t="s">
        <v>1806</v>
      </c>
      <c r="G279" s="7" t="s">
        <v>13</v>
      </c>
      <c r="H279" s="6" t="s">
        <v>619</v>
      </c>
      <c r="I279" s="6" t="s">
        <v>2367</v>
      </c>
      <c r="J279" s="6" t="s">
        <v>2368</v>
      </c>
      <c r="K279" s="6" t="s">
        <v>15</v>
      </c>
      <c r="L279" s="6" t="s">
        <v>21</v>
      </c>
      <c r="M279" s="6" t="s">
        <v>49</v>
      </c>
      <c r="N279" s="7" t="s">
        <v>18</v>
      </c>
      <c r="O279" s="23" t="s">
        <v>3611</v>
      </c>
      <c r="R279" s="23" t="s">
        <v>3612</v>
      </c>
      <c r="S279" s="2" t="s">
        <v>3613</v>
      </c>
      <c r="T279" s="2" t="s">
        <v>3614</v>
      </c>
      <c r="U279" s="2" t="s">
        <v>3615</v>
      </c>
      <c r="V279" s="23" t="s">
        <v>3616</v>
      </c>
      <c r="W279" s="24" t="s">
        <v>3617</v>
      </c>
      <c r="X279" s="23" t="s">
        <v>3618</v>
      </c>
      <c r="Y279" s="23" t="s">
        <v>3619</v>
      </c>
      <c r="Z279" s="23" t="s">
        <v>3620</v>
      </c>
      <c r="AA279" s="23" t="s">
        <v>3621</v>
      </c>
    </row>
    <row r="280" spans="1:30" ht="15.75" customHeight="1">
      <c r="A280" s="12" t="s">
        <v>517</v>
      </c>
      <c r="B280" s="5">
        <v>2402</v>
      </c>
      <c r="C280" s="6" t="s">
        <v>598</v>
      </c>
      <c r="D280" s="7">
        <v>2022506880</v>
      </c>
      <c r="E280" s="7">
        <v>2201010275</v>
      </c>
      <c r="F280" s="7" t="s">
        <v>1806</v>
      </c>
      <c r="G280" s="7" t="s">
        <v>13</v>
      </c>
      <c r="H280" s="6" t="s">
        <v>599</v>
      </c>
      <c r="I280" s="6" t="s">
        <v>2369</v>
      </c>
      <c r="J280" s="6" t="s">
        <v>2370</v>
      </c>
      <c r="K280" s="6" t="s">
        <v>15</v>
      </c>
      <c r="L280" s="6" t="s">
        <v>149</v>
      </c>
      <c r="M280" s="6" t="s">
        <v>149</v>
      </c>
      <c r="N280" s="7" t="s">
        <v>18</v>
      </c>
      <c r="O280" s="23" t="s">
        <v>3611</v>
      </c>
      <c r="R280" s="23" t="s">
        <v>3612</v>
      </c>
      <c r="S280" s="2" t="s">
        <v>3613</v>
      </c>
      <c r="T280" s="2" t="s">
        <v>3614</v>
      </c>
      <c r="U280" s="2" t="s">
        <v>3615</v>
      </c>
      <c r="V280" s="23" t="s">
        <v>3616</v>
      </c>
      <c r="W280" s="24" t="s">
        <v>3617</v>
      </c>
      <c r="X280" s="23" t="s">
        <v>3618</v>
      </c>
      <c r="Y280" s="23" t="s">
        <v>3619</v>
      </c>
      <c r="Z280" s="23" t="s">
        <v>3620</v>
      </c>
      <c r="AA280" s="23" t="s">
        <v>3621</v>
      </c>
    </row>
    <row r="281" spans="1:30" ht="15.75" customHeight="1">
      <c r="A281" s="12" t="s">
        <v>517</v>
      </c>
      <c r="B281" s="5">
        <v>2402</v>
      </c>
      <c r="C281" s="6" t="s">
        <v>537</v>
      </c>
      <c r="D281" s="7">
        <v>2022002383</v>
      </c>
      <c r="E281" s="7">
        <v>2201010292</v>
      </c>
      <c r="F281" s="7" t="s">
        <v>1806</v>
      </c>
      <c r="G281" s="7" t="s">
        <v>13</v>
      </c>
      <c r="H281" s="6" t="s">
        <v>538</v>
      </c>
      <c r="I281" s="6" t="s">
        <v>2371</v>
      </c>
      <c r="J281" s="6" t="s">
        <v>2372</v>
      </c>
      <c r="K281" s="6" t="s">
        <v>15</v>
      </c>
      <c r="L281" s="6" t="s">
        <v>21</v>
      </c>
      <c r="M281" s="6" t="s">
        <v>104</v>
      </c>
      <c r="N281" s="7" t="s">
        <v>18</v>
      </c>
      <c r="O281" s="23" t="s">
        <v>3611</v>
      </c>
      <c r="R281" s="23" t="s">
        <v>3612</v>
      </c>
      <c r="S281" s="2" t="s">
        <v>3613</v>
      </c>
      <c r="T281" s="2" t="s">
        <v>3614</v>
      </c>
      <c r="U281" s="2" t="s">
        <v>3615</v>
      </c>
      <c r="V281" s="23" t="s">
        <v>3616</v>
      </c>
      <c r="W281" s="24" t="s">
        <v>3617</v>
      </c>
      <c r="X281" s="23" t="s">
        <v>3618</v>
      </c>
      <c r="Y281" s="23" t="s">
        <v>3619</v>
      </c>
      <c r="Z281" s="23" t="s">
        <v>3620</v>
      </c>
      <c r="AA281" s="23" t="s">
        <v>3621</v>
      </c>
    </row>
    <row r="282" spans="1:30" ht="15.75" customHeight="1">
      <c r="A282" s="12" t="s">
        <v>517</v>
      </c>
      <c r="B282" s="5">
        <v>2402</v>
      </c>
      <c r="C282" s="6" t="s">
        <v>627</v>
      </c>
      <c r="D282" s="7">
        <v>2022548161</v>
      </c>
      <c r="E282" s="7">
        <v>2201010317</v>
      </c>
      <c r="F282" s="7" t="s">
        <v>1806</v>
      </c>
      <c r="G282" s="7" t="s">
        <v>13</v>
      </c>
      <c r="H282" s="6" t="s">
        <v>628</v>
      </c>
      <c r="I282" s="6" t="s">
        <v>2373</v>
      </c>
      <c r="J282" s="6" t="s">
        <v>2374</v>
      </c>
      <c r="K282" s="6" t="s">
        <v>15</v>
      </c>
      <c r="L282" s="6" t="s">
        <v>21</v>
      </c>
      <c r="M282" s="6" t="s">
        <v>104</v>
      </c>
      <c r="N282" s="7" t="s">
        <v>18</v>
      </c>
      <c r="O282" s="23" t="s">
        <v>3611</v>
      </c>
      <c r="R282" s="23" t="s">
        <v>3612</v>
      </c>
      <c r="S282" s="2" t="s">
        <v>3613</v>
      </c>
      <c r="T282" s="2" t="s">
        <v>3614</v>
      </c>
      <c r="U282" s="2" t="s">
        <v>3615</v>
      </c>
      <c r="V282" s="23" t="s">
        <v>3616</v>
      </c>
      <c r="W282" s="24" t="s">
        <v>3617</v>
      </c>
      <c r="X282" s="23" t="s">
        <v>3618</v>
      </c>
      <c r="Y282" s="23" t="s">
        <v>3619</v>
      </c>
      <c r="Z282" s="23" t="s">
        <v>3620</v>
      </c>
      <c r="AA282" s="23" t="s">
        <v>3621</v>
      </c>
    </row>
    <row r="283" spans="1:30" ht="15.75" customHeight="1">
      <c r="A283" s="12" t="s">
        <v>517</v>
      </c>
      <c r="B283" s="5">
        <v>2402</v>
      </c>
      <c r="C283" s="6" t="s">
        <v>614</v>
      </c>
      <c r="D283" s="7">
        <v>2022521021</v>
      </c>
      <c r="E283" s="7">
        <v>2201010323</v>
      </c>
      <c r="F283" s="7" t="s">
        <v>1806</v>
      </c>
      <c r="G283" s="7" t="s">
        <v>13</v>
      </c>
      <c r="H283" s="6" t="s">
        <v>615</v>
      </c>
      <c r="I283" s="6" t="s">
        <v>2375</v>
      </c>
      <c r="J283" s="6" t="s">
        <v>2376</v>
      </c>
      <c r="K283" s="6" t="s">
        <v>15</v>
      </c>
      <c r="L283" s="6" t="s">
        <v>21</v>
      </c>
      <c r="M283" s="6" t="s">
        <v>117</v>
      </c>
      <c r="N283" s="7" t="s">
        <v>18</v>
      </c>
      <c r="O283" s="23" t="s">
        <v>3611</v>
      </c>
      <c r="R283" s="23" t="s">
        <v>3612</v>
      </c>
      <c r="S283" s="2" t="s">
        <v>3613</v>
      </c>
      <c r="T283" s="2" t="s">
        <v>3614</v>
      </c>
      <c r="U283" s="2" t="s">
        <v>3615</v>
      </c>
      <c r="V283" s="23" t="s">
        <v>3616</v>
      </c>
      <c r="W283" s="24" t="s">
        <v>3617</v>
      </c>
      <c r="X283" s="23" t="s">
        <v>3618</v>
      </c>
      <c r="Y283" s="23" t="s">
        <v>3619</v>
      </c>
      <c r="Z283" s="23" t="s">
        <v>3620</v>
      </c>
      <c r="AA283" s="23" t="s">
        <v>3621</v>
      </c>
    </row>
    <row r="284" spans="1:30" ht="15.75" customHeight="1">
      <c r="A284" s="12" t="s">
        <v>517</v>
      </c>
      <c r="B284" s="5">
        <v>2402</v>
      </c>
      <c r="C284" s="6" t="s">
        <v>583</v>
      </c>
      <c r="D284" s="7">
        <v>2022455176</v>
      </c>
      <c r="E284" s="7">
        <v>2201010326</v>
      </c>
      <c r="F284" s="7" t="s">
        <v>1806</v>
      </c>
      <c r="G284" s="7" t="s">
        <v>13</v>
      </c>
      <c r="H284" s="6" t="s">
        <v>584</v>
      </c>
      <c r="I284" s="6" t="s">
        <v>2377</v>
      </c>
      <c r="J284" s="6" t="s">
        <v>2378</v>
      </c>
      <c r="K284" s="6" t="s">
        <v>15</v>
      </c>
      <c r="L284" s="6" t="s">
        <v>26</v>
      </c>
      <c r="M284" s="6" t="s">
        <v>17</v>
      </c>
      <c r="N284" s="7" t="s">
        <v>18</v>
      </c>
      <c r="O284" s="23" t="s">
        <v>3611</v>
      </c>
      <c r="R284" s="23" t="s">
        <v>3612</v>
      </c>
      <c r="S284" s="2" t="s">
        <v>3613</v>
      </c>
      <c r="T284" s="2" t="s">
        <v>3614</v>
      </c>
      <c r="U284" s="2" t="s">
        <v>3615</v>
      </c>
      <c r="V284" s="23" t="s">
        <v>3616</v>
      </c>
      <c r="W284" s="24" t="s">
        <v>3617</v>
      </c>
      <c r="X284" s="23" t="s">
        <v>3618</v>
      </c>
      <c r="Y284" s="23" t="s">
        <v>3619</v>
      </c>
      <c r="Z284" s="23" t="s">
        <v>3620</v>
      </c>
      <c r="AA284" s="23" t="s">
        <v>3621</v>
      </c>
    </row>
    <row r="285" spans="1:30" ht="15.75" customHeight="1">
      <c r="A285" s="12" t="s">
        <v>517</v>
      </c>
      <c r="B285" s="5">
        <v>2402</v>
      </c>
      <c r="C285" s="6" t="s">
        <v>579</v>
      </c>
      <c r="D285" s="7">
        <v>2022435738</v>
      </c>
      <c r="E285" s="7">
        <v>2201010330</v>
      </c>
      <c r="F285" s="7" t="s">
        <v>1806</v>
      </c>
      <c r="G285" s="7" t="s">
        <v>13</v>
      </c>
      <c r="H285" s="6" t="s">
        <v>580</v>
      </c>
      <c r="I285" s="6" t="s">
        <v>2379</v>
      </c>
      <c r="J285" s="6" t="s">
        <v>2380</v>
      </c>
      <c r="K285" s="6" t="s">
        <v>15</v>
      </c>
      <c r="L285" s="6" t="s">
        <v>21</v>
      </c>
      <c r="M285" s="6" t="s">
        <v>49</v>
      </c>
      <c r="N285" s="7" t="s">
        <v>18</v>
      </c>
      <c r="O285" s="23" t="s">
        <v>3611</v>
      </c>
      <c r="R285" s="23" t="s">
        <v>3612</v>
      </c>
      <c r="S285" s="2" t="s">
        <v>3613</v>
      </c>
      <c r="T285" s="2" t="s">
        <v>3614</v>
      </c>
      <c r="U285" s="2" t="s">
        <v>3615</v>
      </c>
      <c r="V285" s="23" t="s">
        <v>3616</v>
      </c>
      <c r="W285" s="24" t="s">
        <v>3617</v>
      </c>
      <c r="X285" s="23" t="s">
        <v>3618</v>
      </c>
      <c r="Y285" s="23" t="s">
        <v>3619</v>
      </c>
      <c r="Z285" s="23" t="s">
        <v>3620</v>
      </c>
      <c r="AA285" s="23" t="s">
        <v>3621</v>
      </c>
    </row>
    <row r="286" spans="1:30" ht="15.75" customHeight="1">
      <c r="A286" s="12" t="s">
        <v>517</v>
      </c>
      <c r="B286" s="5">
        <v>2402</v>
      </c>
      <c r="C286" s="6" t="s">
        <v>547</v>
      </c>
      <c r="D286" s="7">
        <v>2022006140</v>
      </c>
      <c r="E286" s="7">
        <v>2201010331</v>
      </c>
      <c r="F286" s="7" t="s">
        <v>1806</v>
      </c>
      <c r="G286" s="7" t="s">
        <v>13</v>
      </c>
      <c r="H286" s="6" t="s">
        <v>548</v>
      </c>
      <c r="I286" s="6" t="s">
        <v>2381</v>
      </c>
      <c r="J286" s="6" t="s">
        <v>2382</v>
      </c>
      <c r="K286" s="6" t="s">
        <v>15</v>
      </c>
      <c r="L286" s="6" t="s">
        <v>49</v>
      </c>
      <c r="M286" s="6" t="s">
        <v>21</v>
      </c>
      <c r="N286" s="7" t="s">
        <v>18</v>
      </c>
      <c r="O286" s="23" t="s">
        <v>3611</v>
      </c>
      <c r="R286" s="23" t="s">
        <v>3612</v>
      </c>
      <c r="S286" s="2" t="s">
        <v>3613</v>
      </c>
      <c r="T286" s="2" t="s">
        <v>3614</v>
      </c>
      <c r="U286" s="2" t="s">
        <v>3615</v>
      </c>
      <c r="V286" s="23" t="s">
        <v>3616</v>
      </c>
      <c r="W286" s="24" t="s">
        <v>3617</v>
      </c>
      <c r="X286" s="23" t="s">
        <v>3618</v>
      </c>
      <c r="Y286" s="23" t="s">
        <v>3619</v>
      </c>
      <c r="Z286" s="23" t="s">
        <v>3620</v>
      </c>
      <c r="AA286" s="23" t="s">
        <v>3621</v>
      </c>
    </row>
    <row r="287" spans="1:30" ht="15.75" customHeight="1">
      <c r="A287" s="4" t="s">
        <v>517</v>
      </c>
      <c r="B287" s="5">
        <v>2402</v>
      </c>
      <c r="C287" s="6" t="s">
        <v>812</v>
      </c>
      <c r="D287" s="7">
        <v>2022004755</v>
      </c>
      <c r="E287" s="7">
        <v>2201010332</v>
      </c>
      <c r="F287" s="7" t="s">
        <v>1806</v>
      </c>
      <c r="G287" s="7" t="s">
        <v>13</v>
      </c>
      <c r="H287" s="6" t="s">
        <v>813</v>
      </c>
      <c r="I287" s="6" t="s">
        <v>2383</v>
      </c>
      <c r="J287" s="6" t="s">
        <v>2384</v>
      </c>
      <c r="K287" s="6" t="s">
        <v>15</v>
      </c>
      <c r="L287" s="6" t="s">
        <v>21</v>
      </c>
      <c r="M287" s="6" t="s">
        <v>49</v>
      </c>
      <c r="N287" s="7" t="s">
        <v>18</v>
      </c>
      <c r="O287" s="23" t="s">
        <v>3611</v>
      </c>
      <c r="R287" s="23" t="s">
        <v>3612</v>
      </c>
      <c r="S287" s="2" t="s">
        <v>3613</v>
      </c>
      <c r="T287" s="2" t="s">
        <v>3614</v>
      </c>
      <c r="U287" s="2" t="s">
        <v>3615</v>
      </c>
      <c r="V287" s="23" t="s">
        <v>3616</v>
      </c>
      <c r="W287" s="24" t="s">
        <v>3617</v>
      </c>
      <c r="X287" s="23" t="s">
        <v>3618</v>
      </c>
      <c r="Y287" s="23" t="s">
        <v>3619</v>
      </c>
      <c r="Z287" s="23" t="s">
        <v>3620</v>
      </c>
      <c r="AA287" s="23" t="s">
        <v>3621</v>
      </c>
    </row>
    <row r="288" spans="1:30" ht="15.75" customHeight="1">
      <c r="A288" s="12" t="s">
        <v>517</v>
      </c>
      <c r="B288" s="5">
        <v>2402</v>
      </c>
      <c r="C288" s="6" t="s">
        <v>600</v>
      </c>
      <c r="D288" s="7">
        <v>2022507069</v>
      </c>
      <c r="E288" s="7">
        <v>2201010337</v>
      </c>
      <c r="F288" s="7" t="s">
        <v>1806</v>
      </c>
      <c r="G288" s="7" t="s">
        <v>13</v>
      </c>
      <c r="H288" s="6" t="s">
        <v>601</v>
      </c>
      <c r="I288" s="6" t="s">
        <v>2385</v>
      </c>
      <c r="J288" s="6" t="s">
        <v>2386</v>
      </c>
      <c r="K288" s="6" t="s">
        <v>15</v>
      </c>
      <c r="L288" s="6" t="s">
        <v>21</v>
      </c>
      <c r="M288" s="6" t="s">
        <v>139</v>
      </c>
      <c r="N288" s="7" t="s">
        <v>18</v>
      </c>
      <c r="O288" s="23" t="s">
        <v>3611</v>
      </c>
      <c r="R288" s="23" t="s">
        <v>3612</v>
      </c>
      <c r="S288" s="2" t="s">
        <v>3613</v>
      </c>
      <c r="T288" s="2" t="s">
        <v>3614</v>
      </c>
      <c r="U288" s="2" t="s">
        <v>3615</v>
      </c>
      <c r="V288" s="23" t="s">
        <v>3616</v>
      </c>
      <c r="W288" s="24" t="s">
        <v>3617</v>
      </c>
      <c r="X288" s="23" t="s">
        <v>3618</v>
      </c>
      <c r="Y288" s="23" t="s">
        <v>3619</v>
      </c>
      <c r="Z288" s="23" t="s">
        <v>3620</v>
      </c>
      <c r="AA288" s="23" t="s">
        <v>3621</v>
      </c>
    </row>
    <row r="289" spans="1:30" ht="15.75" customHeight="1">
      <c r="A289" s="12" t="s">
        <v>517</v>
      </c>
      <c r="B289" s="5">
        <v>2402</v>
      </c>
      <c r="C289" s="6" t="s">
        <v>559</v>
      </c>
      <c r="D289" s="7">
        <v>2022331708</v>
      </c>
      <c r="E289" s="7">
        <v>2201010345</v>
      </c>
      <c r="F289" s="7" t="s">
        <v>1806</v>
      </c>
      <c r="G289" s="7" t="s">
        <v>13</v>
      </c>
      <c r="H289" s="6" t="s">
        <v>560</v>
      </c>
      <c r="I289" s="6" t="s">
        <v>2387</v>
      </c>
      <c r="J289" s="6" t="s">
        <v>2388</v>
      </c>
      <c r="K289" s="6" t="s">
        <v>15</v>
      </c>
      <c r="L289" s="6" t="e">
        <v>#N/A</v>
      </c>
      <c r="M289" s="6" t="e">
        <v>#N/A</v>
      </c>
      <c r="N289" s="7" t="e">
        <v>#N/A</v>
      </c>
      <c r="O289" s="23" t="s">
        <v>3611</v>
      </c>
      <c r="R289" s="23" t="s">
        <v>3612</v>
      </c>
      <c r="S289" s="2" t="s">
        <v>3613</v>
      </c>
      <c r="T289" s="2" t="s">
        <v>3614</v>
      </c>
      <c r="U289" s="2" t="s">
        <v>3615</v>
      </c>
      <c r="V289" s="23" t="s">
        <v>3616</v>
      </c>
      <c r="W289" s="24" t="s">
        <v>3617</v>
      </c>
      <c r="X289" s="23" t="s">
        <v>3618</v>
      </c>
      <c r="Y289" s="23" t="s">
        <v>3619</v>
      </c>
      <c r="Z289" s="23" t="s">
        <v>3620</v>
      </c>
      <c r="AA289" s="23" t="s">
        <v>3621</v>
      </c>
    </row>
    <row r="290" spans="1:30" ht="15.75" customHeight="1">
      <c r="A290" s="12" t="s">
        <v>517</v>
      </c>
      <c r="B290" s="5">
        <v>2402</v>
      </c>
      <c r="C290" s="6" t="s">
        <v>612</v>
      </c>
      <c r="D290" s="7">
        <v>2022516793</v>
      </c>
      <c r="E290" s="7">
        <v>2201010377</v>
      </c>
      <c r="F290" s="7" t="s">
        <v>1806</v>
      </c>
      <c r="G290" s="7" t="s">
        <v>13</v>
      </c>
      <c r="H290" s="6" t="s">
        <v>613</v>
      </c>
      <c r="I290" s="6" t="s">
        <v>2389</v>
      </c>
      <c r="J290" s="6" t="s">
        <v>2390</v>
      </c>
      <c r="K290" s="6" t="s">
        <v>15</v>
      </c>
      <c r="L290" s="6" t="s">
        <v>21</v>
      </c>
      <c r="M290" s="6" t="s">
        <v>117</v>
      </c>
      <c r="N290" s="7" t="s">
        <v>18</v>
      </c>
      <c r="O290" s="23" t="s">
        <v>3611</v>
      </c>
      <c r="R290" s="23" t="s">
        <v>3612</v>
      </c>
      <c r="S290" s="2" t="s">
        <v>3613</v>
      </c>
      <c r="T290" s="2" t="s">
        <v>3614</v>
      </c>
      <c r="U290" s="2" t="s">
        <v>3615</v>
      </c>
      <c r="V290" s="23" t="s">
        <v>3616</v>
      </c>
      <c r="W290" s="24" t="s">
        <v>3617</v>
      </c>
      <c r="X290" s="23" t="s">
        <v>3618</v>
      </c>
      <c r="Y290" s="23" t="s">
        <v>3619</v>
      </c>
      <c r="Z290" s="23" t="s">
        <v>3620</v>
      </c>
      <c r="AA290" s="23" t="s">
        <v>3621</v>
      </c>
    </row>
    <row r="291" spans="1:30" ht="15.75" customHeight="1">
      <c r="A291" s="12" t="s">
        <v>517</v>
      </c>
      <c r="B291" s="5">
        <v>2402</v>
      </c>
      <c r="C291" s="6" t="s">
        <v>639</v>
      </c>
      <c r="D291" s="7">
        <v>2022829153</v>
      </c>
      <c r="E291" s="7">
        <v>2201010397</v>
      </c>
      <c r="F291" s="7" t="s">
        <v>1806</v>
      </c>
      <c r="G291" s="7" t="s">
        <v>13</v>
      </c>
      <c r="H291" s="6" t="s">
        <v>640</v>
      </c>
      <c r="I291" s="6" t="s">
        <v>2391</v>
      </c>
      <c r="J291" s="6" t="s">
        <v>2392</v>
      </c>
      <c r="K291" s="6" t="s">
        <v>15</v>
      </c>
      <c r="L291" s="6" t="s">
        <v>21</v>
      </c>
      <c r="M291" s="6" t="s">
        <v>149</v>
      </c>
      <c r="N291" s="7" t="s">
        <v>18</v>
      </c>
      <c r="O291" s="23" t="s">
        <v>3611</v>
      </c>
      <c r="R291" s="23" t="s">
        <v>3612</v>
      </c>
      <c r="S291" s="2" t="s">
        <v>3613</v>
      </c>
      <c r="T291" s="2" t="s">
        <v>3614</v>
      </c>
      <c r="U291" s="2" t="s">
        <v>3615</v>
      </c>
      <c r="V291" s="23" t="s">
        <v>3616</v>
      </c>
      <c r="W291" s="24" t="s">
        <v>3617</v>
      </c>
      <c r="X291" s="23" t="s">
        <v>3618</v>
      </c>
      <c r="Y291" s="23" t="s">
        <v>3619</v>
      </c>
      <c r="Z291" s="23" t="s">
        <v>3620</v>
      </c>
      <c r="AA291" s="23" t="s">
        <v>3621</v>
      </c>
    </row>
    <row r="292" spans="1:30" ht="15.75" customHeight="1">
      <c r="A292" s="12" t="s">
        <v>517</v>
      </c>
      <c r="B292" s="5">
        <v>2402</v>
      </c>
      <c r="C292" s="6" t="s">
        <v>641</v>
      </c>
      <c r="D292" s="7">
        <v>2022006143</v>
      </c>
      <c r="E292" s="7">
        <v>2201010490</v>
      </c>
      <c r="F292" s="7" t="s">
        <v>1806</v>
      </c>
      <c r="G292" s="7" t="s">
        <v>13</v>
      </c>
      <c r="H292" s="6" t="s">
        <v>642</v>
      </c>
      <c r="I292" s="6" t="s">
        <v>2393</v>
      </c>
      <c r="J292" s="6" t="s">
        <v>2394</v>
      </c>
      <c r="K292" s="6" t="s">
        <v>15</v>
      </c>
      <c r="L292" s="6" t="s">
        <v>21</v>
      </c>
      <c r="M292" s="6" t="s">
        <v>16</v>
      </c>
      <c r="N292" s="7" t="s">
        <v>18</v>
      </c>
      <c r="O292" s="23" t="s">
        <v>3611</v>
      </c>
      <c r="R292" s="23" t="s">
        <v>3612</v>
      </c>
      <c r="S292" s="2" t="s">
        <v>3613</v>
      </c>
      <c r="T292" s="2" t="s">
        <v>3614</v>
      </c>
      <c r="U292" s="2" t="s">
        <v>3615</v>
      </c>
      <c r="V292" s="23" t="s">
        <v>3616</v>
      </c>
      <c r="W292" s="24" t="s">
        <v>3617</v>
      </c>
      <c r="X292" s="23" t="s">
        <v>3618</v>
      </c>
      <c r="Y292" s="23" t="s">
        <v>3619</v>
      </c>
      <c r="Z292" s="23" t="s">
        <v>3620</v>
      </c>
      <c r="AA292" s="23" t="s">
        <v>3621</v>
      </c>
      <c r="AB292" s="9"/>
      <c r="AC292" s="9"/>
      <c r="AD292" s="9"/>
    </row>
    <row r="293" spans="1:30" ht="15.75" customHeight="1">
      <c r="A293" s="12" t="s">
        <v>517</v>
      </c>
      <c r="B293" s="5">
        <v>2402</v>
      </c>
      <c r="C293" s="6" t="s">
        <v>596</v>
      </c>
      <c r="D293" s="7">
        <v>2022506240</v>
      </c>
      <c r="E293" s="7">
        <v>2201010509</v>
      </c>
      <c r="F293" s="7" t="s">
        <v>1806</v>
      </c>
      <c r="G293" s="7" t="s">
        <v>13</v>
      </c>
      <c r="H293" s="6" t="s">
        <v>597</v>
      </c>
      <c r="I293" s="6" t="s">
        <v>2395</v>
      </c>
      <c r="J293" s="6" t="s">
        <v>2396</v>
      </c>
      <c r="K293" s="6" t="s">
        <v>15</v>
      </c>
      <c r="L293" s="6" t="s">
        <v>21</v>
      </c>
      <c r="M293" s="6" t="s">
        <v>16</v>
      </c>
      <c r="N293" s="7" t="s">
        <v>18</v>
      </c>
      <c r="O293" s="23" t="s">
        <v>3611</v>
      </c>
      <c r="R293" s="23" t="s">
        <v>3612</v>
      </c>
      <c r="S293" s="2" t="s">
        <v>3613</v>
      </c>
      <c r="T293" s="2" t="s">
        <v>3614</v>
      </c>
      <c r="U293" s="2" t="s">
        <v>3615</v>
      </c>
      <c r="V293" s="23" t="s">
        <v>3616</v>
      </c>
      <c r="W293" s="24" t="s">
        <v>3617</v>
      </c>
      <c r="X293" s="23" t="s">
        <v>3618</v>
      </c>
      <c r="Y293" s="23" t="s">
        <v>3619</v>
      </c>
      <c r="Z293" s="23" t="s">
        <v>3620</v>
      </c>
      <c r="AA293" s="23" t="s">
        <v>3621</v>
      </c>
      <c r="AB293" s="9"/>
      <c r="AC293" s="9"/>
      <c r="AD293" s="9"/>
    </row>
    <row r="294" spans="1:30" ht="15.75" customHeight="1">
      <c r="A294" s="12" t="s">
        <v>517</v>
      </c>
      <c r="B294" s="5">
        <v>2402</v>
      </c>
      <c r="C294" s="6" t="s">
        <v>594</v>
      </c>
      <c r="D294" s="7">
        <v>2022505917</v>
      </c>
      <c r="E294" s="7">
        <v>2201010514</v>
      </c>
      <c r="F294" s="7" t="s">
        <v>1806</v>
      </c>
      <c r="G294" s="7" t="s">
        <v>13</v>
      </c>
      <c r="H294" s="6" t="s">
        <v>595</v>
      </c>
      <c r="I294" s="6" t="s">
        <v>2397</v>
      </c>
      <c r="J294" s="6" t="s">
        <v>2398</v>
      </c>
      <c r="K294" s="6" t="s">
        <v>15</v>
      </c>
      <c r="L294" s="6" t="s">
        <v>17</v>
      </c>
      <c r="M294" s="6" t="s">
        <v>21</v>
      </c>
      <c r="N294" s="7" t="s">
        <v>18</v>
      </c>
      <c r="O294" s="23" t="s">
        <v>3611</v>
      </c>
      <c r="R294" s="23" t="s">
        <v>3612</v>
      </c>
      <c r="S294" s="2" t="s">
        <v>3613</v>
      </c>
      <c r="T294" s="2" t="s">
        <v>3614</v>
      </c>
      <c r="U294" s="2" t="s">
        <v>3615</v>
      </c>
      <c r="V294" s="23" t="s">
        <v>3616</v>
      </c>
      <c r="W294" s="24" t="s">
        <v>3617</v>
      </c>
      <c r="X294" s="23" t="s">
        <v>3618</v>
      </c>
      <c r="Y294" s="23" t="s">
        <v>3619</v>
      </c>
      <c r="Z294" s="23" t="s">
        <v>3620</v>
      </c>
      <c r="AA294" s="23" t="s">
        <v>3621</v>
      </c>
      <c r="AB294" s="9"/>
      <c r="AC294" s="9"/>
      <c r="AD294" s="9"/>
    </row>
    <row r="295" spans="1:30" ht="15.75" customHeight="1">
      <c r="A295" s="12" t="s">
        <v>517</v>
      </c>
      <c r="B295" s="5">
        <v>2402</v>
      </c>
      <c r="C295" s="6" t="s">
        <v>588</v>
      </c>
      <c r="D295" s="7">
        <v>2022490152</v>
      </c>
      <c r="E295" s="7">
        <v>2201010517</v>
      </c>
      <c r="F295" s="7" t="s">
        <v>1806</v>
      </c>
      <c r="G295" s="7" t="s">
        <v>13</v>
      </c>
      <c r="H295" s="6" t="s">
        <v>589</v>
      </c>
      <c r="I295" s="6" t="s">
        <v>2399</v>
      </c>
      <c r="J295" s="6" t="s">
        <v>2400</v>
      </c>
      <c r="K295" s="6" t="s">
        <v>15</v>
      </c>
      <c r="L295" s="6" t="e">
        <v>#N/A</v>
      </c>
      <c r="M295" s="6" t="e">
        <v>#N/A</v>
      </c>
      <c r="N295" s="7" t="e">
        <v>#N/A</v>
      </c>
      <c r="O295" s="23" t="s">
        <v>3611</v>
      </c>
      <c r="R295" s="23" t="s">
        <v>3612</v>
      </c>
      <c r="S295" s="2" t="s">
        <v>3613</v>
      </c>
      <c r="T295" s="2" t="s">
        <v>3614</v>
      </c>
      <c r="U295" s="2" t="s">
        <v>3615</v>
      </c>
      <c r="V295" s="23" t="s">
        <v>3616</v>
      </c>
      <c r="W295" s="24" t="s">
        <v>3617</v>
      </c>
      <c r="X295" s="23" t="s">
        <v>3618</v>
      </c>
      <c r="Y295" s="23" t="s">
        <v>3619</v>
      </c>
      <c r="Z295" s="23" t="s">
        <v>3620</v>
      </c>
      <c r="AA295" s="23" t="s">
        <v>3621</v>
      </c>
      <c r="AB295" s="9"/>
      <c r="AC295" s="9"/>
      <c r="AD295" s="9"/>
    </row>
    <row r="296" spans="1:30" ht="15.75" customHeight="1">
      <c r="A296" s="12" t="s">
        <v>517</v>
      </c>
      <c r="B296" s="5">
        <v>2402</v>
      </c>
      <c r="C296" s="6" t="s">
        <v>635</v>
      </c>
      <c r="D296" s="7">
        <v>2022805251</v>
      </c>
      <c r="E296" s="7">
        <v>2201010543</v>
      </c>
      <c r="F296" s="7" t="s">
        <v>1806</v>
      </c>
      <c r="G296" s="7" t="s">
        <v>13</v>
      </c>
      <c r="H296" s="6" t="s">
        <v>636</v>
      </c>
      <c r="I296" s="6" t="s">
        <v>2401</v>
      </c>
      <c r="J296" s="6" t="s">
        <v>2402</v>
      </c>
      <c r="K296" s="6" t="s">
        <v>15</v>
      </c>
      <c r="L296" s="6" t="s">
        <v>149</v>
      </c>
      <c r="M296" s="6" t="s">
        <v>149</v>
      </c>
      <c r="N296" s="7" t="s">
        <v>18</v>
      </c>
      <c r="O296" s="23" t="s">
        <v>3611</v>
      </c>
      <c r="R296" s="23" t="s">
        <v>3612</v>
      </c>
      <c r="S296" s="2" t="s">
        <v>3613</v>
      </c>
      <c r="T296" s="2" t="s">
        <v>3614</v>
      </c>
      <c r="U296" s="2" t="s">
        <v>3615</v>
      </c>
      <c r="V296" s="23" t="s">
        <v>3616</v>
      </c>
      <c r="W296" s="24" t="s">
        <v>3617</v>
      </c>
      <c r="X296" s="23" t="s">
        <v>3618</v>
      </c>
      <c r="Y296" s="23" t="s">
        <v>3619</v>
      </c>
      <c r="Z296" s="23" t="s">
        <v>3620</v>
      </c>
      <c r="AA296" s="23" t="s">
        <v>3621</v>
      </c>
      <c r="AB296" s="9"/>
      <c r="AC296" s="9"/>
      <c r="AD296" s="9"/>
    </row>
    <row r="297" spans="1:30" ht="15.75" customHeight="1">
      <c r="A297" s="12" t="s">
        <v>517</v>
      </c>
      <c r="B297" s="5">
        <v>2402</v>
      </c>
      <c r="C297" s="6" t="s">
        <v>442</v>
      </c>
      <c r="D297" s="7">
        <v>2022459779</v>
      </c>
      <c r="E297" s="7">
        <v>2201010546</v>
      </c>
      <c r="F297" s="7" t="s">
        <v>1806</v>
      </c>
      <c r="G297" s="7" t="s">
        <v>13</v>
      </c>
      <c r="H297" s="6" t="s">
        <v>585</v>
      </c>
      <c r="I297" s="6" t="s">
        <v>2403</v>
      </c>
      <c r="J297" s="6" t="s">
        <v>2404</v>
      </c>
      <c r="K297" s="6" t="s">
        <v>15</v>
      </c>
      <c r="L297" s="6" t="s">
        <v>21</v>
      </c>
      <c r="M297" s="6" t="s">
        <v>139</v>
      </c>
      <c r="N297" s="7" t="s">
        <v>18</v>
      </c>
      <c r="O297" s="23" t="s">
        <v>3611</v>
      </c>
      <c r="R297" s="23" t="s">
        <v>3612</v>
      </c>
      <c r="S297" s="2" t="s">
        <v>3613</v>
      </c>
      <c r="T297" s="2" t="s">
        <v>3614</v>
      </c>
      <c r="U297" s="2" t="s">
        <v>3615</v>
      </c>
      <c r="V297" s="23" t="s">
        <v>3616</v>
      </c>
      <c r="W297" s="24" t="s">
        <v>3617</v>
      </c>
      <c r="X297" s="23" t="s">
        <v>3618</v>
      </c>
      <c r="Y297" s="23" t="s">
        <v>3619</v>
      </c>
      <c r="Z297" s="23" t="s">
        <v>3620</v>
      </c>
      <c r="AA297" s="23" t="s">
        <v>3621</v>
      </c>
      <c r="AB297" s="9"/>
      <c r="AC297" s="9"/>
      <c r="AD297" s="9"/>
    </row>
    <row r="298" spans="1:30" ht="15.75" customHeight="1">
      <c r="A298" s="12" t="s">
        <v>517</v>
      </c>
      <c r="B298" s="5">
        <v>2402</v>
      </c>
      <c r="C298" s="6" t="s">
        <v>586</v>
      </c>
      <c r="D298" s="7">
        <v>2022473330</v>
      </c>
      <c r="E298" s="7">
        <v>2201010551</v>
      </c>
      <c r="F298" s="7" t="s">
        <v>1806</v>
      </c>
      <c r="G298" s="7" t="s">
        <v>13</v>
      </c>
      <c r="H298" s="6" t="s">
        <v>587</v>
      </c>
      <c r="I298" s="6" t="s">
        <v>2405</v>
      </c>
      <c r="J298" s="6" t="s">
        <v>2406</v>
      </c>
      <c r="K298" s="6" t="s">
        <v>15</v>
      </c>
      <c r="L298" s="6" t="s">
        <v>21</v>
      </c>
      <c r="M298" s="6" t="s">
        <v>104</v>
      </c>
      <c r="N298" s="7" t="s">
        <v>18</v>
      </c>
      <c r="O298" s="23" t="s">
        <v>3611</v>
      </c>
      <c r="R298" s="23" t="s">
        <v>3612</v>
      </c>
      <c r="S298" s="2" t="s">
        <v>3613</v>
      </c>
      <c r="T298" s="2" t="s">
        <v>3614</v>
      </c>
      <c r="U298" s="2" t="s">
        <v>3615</v>
      </c>
      <c r="V298" s="23" t="s">
        <v>3616</v>
      </c>
      <c r="W298" s="24" t="s">
        <v>3617</v>
      </c>
      <c r="X298" s="23" t="s">
        <v>3618</v>
      </c>
      <c r="Y298" s="23" t="s">
        <v>3619</v>
      </c>
      <c r="Z298" s="23" t="s">
        <v>3620</v>
      </c>
      <c r="AA298" s="23" t="s">
        <v>3621</v>
      </c>
      <c r="AB298" s="9"/>
      <c r="AC298" s="9"/>
      <c r="AD298" s="9"/>
    </row>
    <row r="299" spans="1:30" ht="15.75" customHeight="1">
      <c r="A299" s="12" t="s">
        <v>517</v>
      </c>
      <c r="B299" s="5">
        <v>2402</v>
      </c>
      <c r="C299" s="6" t="s">
        <v>575</v>
      </c>
      <c r="D299" s="7">
        <v>2022428593</v>
      </c>
      <c r="E299" s="7">
        <v>2201010571</v>
      </c>
      <c r="F299" s="7" t="s">
        <v>1806</v>
      </c>
      <c r="G299" s="7" t="s">
        <v>13</v>
      </c>
      <c r="H299" s="6" t="s">
        <v>576</v>
      </c>
      <c r="I299" s="6" t="s">
        <v>2407</v>
      </c>
      <c r="J299" s="6" t="s">
        <v>2408</v>
      </c>
      <c r="K299" s="6" t="s">
        <v>15</v>
      </c>
      <c r="L299" s="6" t="s">
        <v>21</v>
      </c>
      <c r="M299" s="6" t="s">
        <v>117</v>
      </c>
      <c r="N299" s="7" t="s">
        <v>174</v>
      </c>
      <c r="O299" s="23" t="s">
        <v>3611</v>
      </c>
      <c r="R299" s="23" t="s">
        <v>3612</v>
      </c>
      <c r="S299" s="2" t="s">
        <v>3613</v>
      </c>
      <c r="T299" s="2" t="s">
        <v>3614</v>
      </c>
      <c r="U299" s="2" t="s">
        <v>3615</v>
      </c>
      <c r="V299" s="23" t="s">
        <v>3616</v>
      </c>
      <c r="W299" s="24" t="s">
        <v>3617</v>
      </c>
      <c r="X299" s="23" t="s">
        <v>3618</v>
      </c>
      <c r="Y299" s="23" t="s">
        <v>3619</v>
      </c>
      <c r="Z299" s="23" t="s">
        <v>3620</v>
      </c>
      <c r="AA299" s="23" t="s">
        <v>3621</v>
      </c>
      <c r="AB299" s="9"/>
      <c r="AC299" s="9"/>
      <c r="AD299" s="9"/>
    </row>
    <row r="300" spans="1:30" ht="15.75" customHeight="1">
      <c r="A300" s="12" t="s">
        <v>517</v>
      </c>
      <c r="B300" s="5">
        <v>2402</v>
      </c>
      <c r="C300" s="6" t="s">
        <v>606</v>
      </c>
      <c r="D300" s="7">
        <v>2022512387</v>
      </c>
      <c r="E300" s="7">
        <v>2201010572</v>
      </c>
      <c r="F300" s="7" t="s">
        <v>1806</v>
      </c>
      <c r="G300" s="7" t="s">
        <v>13</v>
      </c>
      <c r="H300" s="6" t="s">
        <v>607</v>
      </c>
      <c r="I300" s="6" t="s">
        <v>2409</v>
      </c>
      <c r="J300" s="6" t="s">
        <v>2410</v>
      </c>
      <c r="K300" s="6" t="s">
        <v>15</v>
      </c>
      <c r="L300" s="6" t="s">
        <v>21</v>
      </c>
      <c r="M300" s="6" t="s">
        <v>17</v>
      </c>
      <c r="N300" s="7" t="s">
        <v>18</v>
      </c>
      <c r="O300" s="23" t="s">
        <v>3611</v>
      </c>
      <c r="R300" s="23" t="s">
        <v>3612</v>
      </c>
      <c r="S300" s="2" t="s">
        <v>3613</v>
      </c>
      <c r="T300" s="2" t="s">
        <v>3614</v>
      </c>
      <c r="U300" s="2" t="s">
        <v>3615</v>
      </c>
      <c r="V300" s="23" t="s">
        <v>3616</v>
      </c>
      <c r="W300" s="24" t="s">
        <v>3617</v>
      </c>
      <c r="X300" s="23" t="s">
        <v>3618</v>
      </c>
      <c r="Y300" s="23" t="s">
        <v>3619</v>
      </c>
      <c r="Z300" s="23" t="s">
        <v>3620</v>
      </c>
      <c r="AA300" s="23" t="s">
        <v>3621</v>
      </c>
    </row>
    <row r="301" spans="1:30" ht="15.75" customHeight="1">
      <c r="A301" s="12" t="s">
        <v>517</v>
      </c>
      <c r="B301" s="5">
        <v>2402</v>
      </c>
      <c r="C301" s="6" t="s">
        <v>637</v>
      </c>
      <c r="D301" s="7">
        <v>2022811446</v>
      </c>
      <c r="E301" s="7">
        <v>2201010600</v>
      </c>
      <c r="F301" s="7" t="s">
        <v>1806</v>
      </c>
      <c r="G301" s="7" t="s">
        <v>13</v>
      </c>
      <c r="H301" s="6" t="s">
        <v>638</v>
      </c>
      <c r="I301" s="6" t="s">
        <v>2411</v>
      </c>
      <c r="J301" s="6" t="s">
        <v>2412</v>
      </c>
      <c r="K301" s="6" t="s">
        <v>15</v>
      </c>
      <c r="L301" s="6" t="s">
        <v>21</v>
      </c>
      <c r="M301" s="6" t="s">
        <v>26</v>
      </c>
      <c r="N301" s="7" t="s">
        <v>18</v>
      </c>
      <c r="O301" s="23" t="s">
        <v>3611</v>
      </c>
      <c r="R301" s="23" t="s">
        <v>3612</v>
      </c>
      <c r="S301" s="2" t="s">
        <v>3613</v>
      </c>
      <c r="T301" s="2" t="s">
        <v>3614</v>
      </c>
      <c r="U301" s="2" t="s">
        <v>3615</v>
      </c>
      <c r="V301" s="23" t="s">
        <v>3616</v>
      </c>
      <c r="W301" s="24" t="s">
        <v>3617</v>
      </c>
      <c r="X301" s="23" t="s">
        <v>3618</v>
      </c>
      <c r="Y301" s="23" t="s">
        <v>3619</v>
      </c>
      <c r="Z301" s="23" t="s">
        <v>3620</v>
      </c>
      <c r="AA301" s="23" t="s">
        <v>3621</v>
      </c>
    </row>
    <row r="302" spans="1:30" ht="15.75" customHeight="1">
      <c r="A302" s="12" t="s">
        <v>517</v>
      </c>
      <c r="B302" s="5">
        <v>2402</v>
      </c>
      <c r="C302" s="6" t="s">
        <v>645</v>
      </c>
      <c r="D302" s="7">
        <v>2022006609</v>
      </c>
      <c r="E302" s="7">
        <v>2201010606</v>
      </c>
      <c r="F302" s="7" t="s">
        <v>1806</v>
      </c>
      <c r="G302" s="7" t="s">
        <v>13</v>
      </c>
      <c r="H302" s="6" t="s">
        <v>646</v>
      </c>
      <c r="I302" s="6" t="s">
        <v>2413</v>
      </c>
      <c r="J302" s="6" t="s">
        <v>2414</v>
      </c>
      <c r="K302" s="6" t="s">
        <v>15</v>
      </c>
      <c r="L302" s="6" t="s">
        <v>21</v>
      </c>
      <c r="M302" s="6" t="s">
        <v>104</v>
      </c>
      <c r="N302" s="7" t="s">
        <v>18</v>
      </c>
      <c r="O302" s="23" t="s">
        <v>3611</v>
      </c>
      <c r="R302" s="23" t="s">
        <v>3612</v>
      </c>
      <c r="S302" s="2" t="s">
        <v>3613</v>
      </c>
      <c r="T302" s="2" t="s">
        <v>3614</v>
      </c>
      <c r="U302" s="2" t="s">
        <v>3615</v>
      </c>
      <c r="V302" s="23" t="s">
        <v>3616</v>
      </c>
      <c r="W302" s="24" t="s">
        <v>3617</v>
      </c>
      <c r="X302" s="23" t="s">
        <v>3618</v>
      </c>
      <c r="Y302" s="23" t="s">
        <v>3619</v>
      </c>
      <c r="Z302" s="23" t="s">
        <v>3620</v>
      </c>
      <c r="AA302" s="23" t="s">
        <v>3621</v>
      </c>
    </row>
    <row r="303" spans="1:30" ht="15.75" customHeight="1">
      <c r="A303" s="12" t="s">
        <v>517</v>
      </c>
      <c r="B303" s="5">
        <v>2402</v>
      </c>
      <c r="C303" s="6" t="s">
        <v>573</v>
      </c>
      <c r="D303" s="7">
        <v>2022427336</v>
      </c>
      <c r="E303" s="7">
        <v>2201010611</v>
      </c>
      <c r="F303" s="7" t="s">
        <v>1806</v>
      </c>
      <c r="G303" s="7" t="s">
        <v>13</v>
      </c>
      <c r="H303" s="6" t="s">
        <v>574</v>
      </c>
      <c r="I303" s="6" t="s">
        <v>2415</v>
      </c>
      <c r="J303" s="6" t="s">
        <v>2416</v>
      </c>
      <c r="K303" s="6" t="s">
        <v>15</v>
      </c>
      <c r="L303" s="6" t="e">
        <v>#N/A</v>
      </c>
      <c r="M303" s="6" t="e">
        <v>#N/A</v>
      </c>
      <c r="N303" s="7" t="e">
        <v>#N/A</v>
      </c>
      <c r="O303" s="23" t="s">
        <v>3611</v>
      </c>
      <c r="R303" s="23" t="s">
        <v>3612</v>
      </c>
      <c r="S303" s="2" t="s">
        <v>3613</v>
      </c>
      <c r="T303" s="2" t="s">
        <v>3614</v>
      </c>
      <c r="U303" s="2" t="s">
        <v>3615</v>
      </c>
      <c r="V303" s="23" t="s">
        <v>3616</v>
      </c>
      <c r="W303" s="24" t="s">
        <v>3617</v>
      </c>
      <c r="X303" s="23" t="s">
        <v>3618</v>
      </c>
      <c r="Y303" s="23" t="s">
        <v>3619</v>
      </c>
      <c r="Z303" s="23" t="s">
        <v>3620</v>
      </c>
      <c r="AA303" s="23" t="s">
        <v>3621</v>
      </c>
      <c r="AB303" s="9"/>
      <c r="AC303" s="9"/>
      <c r="AD303" s="9"/>
    </row>
    <row r="304" spans="1:30" ht="15.75" customHeight="1">
      <c r="A304" s="12" t="s">
        <v>517</v>
      </c>
      <c r="B304" s="5">
        <v>2402</v>
      </c>
      <c r="C304" s="6" t="s">
        <v>545</v>
      </c>
      <c r="D304" s="7">
        <v>2022005613</v>
      </c>
      <c r="E304" s="7">
        <v>2201010628</v>
      </c>
      <c r="F304" s="7" t="s">
        <v>1806</v>
      </c>
      <c r="G304" s="7" t="s">
        <v>13</v>
      </c>
      <c r="H304" s="6" t="s">
        <v>546</v>
      </c>
      <c r="I304" s="6" t="s">
        <v>2417</v>
      </c>
      <c r="J304" s="6" t="s">
        <v>2418</v>
      </c>
      <c r="K304" s="6" t="s">
        <v>15</v>
      </c>
      <c r="L304" s="6" t="s">
        <v>149</v>
      </c>
      <c r="M304" s="6" t="s">
        <v>21</v>
      </c>
      <c r="N304" s="7" t="s">
        <v>18</v>
      </c>
      <c r="O304" s="23" t="s">
        <v>3611</v>
      </c>
      <c r="R304" s="23" t="s">
        <v>3612</v>
      </c>
      <c r="S304" s="2" t="s">
        <v>3613</v>
      </c>
      <c r="T304" s="2" t="s">
        <v>3614</v>
      </c>
      <c r="U304" s="2" t="s">
        <v>3615</v>
      </c>
      <c r="V304" s="23" t="s">
        <v>3616</v>
      </c>
      <c r="W304" s="24" t="s">
        <v>3617</v>
      </c>
      <c r="X304" s="23" t="s">
        <v>3618</v>
      </c>
      <c r="Y304" s="23" t="s">
        <v>3619</v>
      </c>
      <c r="Z304" s="23" t="s">
        <v>3620</v>
      </c>
      <c r="AA304" s="23" t="s">
        <v>3621</v>
      </c>
    </row>
    <row r="305" spans="1:30" ht="15.75" customHeight="1">
      <c r="A305" s="12" t="s">
        <v>517</v>
      </c>
      <c r="B305" s="5">
        <v>2402</v>
      </c>
      <c r="C305" s="6" t="s">
        <v>616</v>
      </c>
      <c r="D305" s="7">
        <v>2022523724</v>
      </c>
      <c r="E305" s="7">
        <v>2201010632</v>
      </c>
      <c r="F305" s="7" t="s">
        <v>1806</v>
      </c>
      <c r="G305" s="7" t="s">
        <v>13</v>
      </c>
      <c r="H305" s="6" t="s">
        <v>617</v>
      </c>
      <c r="I305" s="6" t="s">
        <v>2419</v>
      </c>
      <c r="J305" s="6" t="s">
        <v>2420</v>
      </c>
      <c r="K305" s="6" t="s">
        <v>15</v>
      </c>
      <c r="L305" s="6" t="s">
        <v>21</v>
      </c>
      <c r="M305" s="6" t="s">
        <v>17</v>
      </c>
      <c r="N305" s="7" t="s">
        <v>18</v>
      </c>
      <c r="O305" s="23" t="s">
        <v>3611</v>
      </c>
      <c r="R305" s="23" t="s">
        <v>3612</v>
      </c>
      <c r="S305" s="2" t="s">
        <v>3613</v>
      </c>
      <c r="T305" s="2" t="s">
        <v>3614</v>
      </c>
      <c r="U305" s="2" t="s">
        <v>3615</v>
      </c>
      <c r="V305" s="23" t="s">
        <v>3616</v>
      </c>
      <c r="W305" s="24" t="s">
        <v>3617</v>
      </c>
      <c r="X305" s="23" t="s">
        <v>3618</v>
      </c>
      <c r="Y305" s="23" t="s">
        <v>3619</v>
      </c>
      <c r="Z305" s="23" t="s">
        <v>3620</v>
      </c>
      <c r="AA305" s="23" t="s">
        <v>3621</v>
      </c>
    </row>
    <row r="306" spans="1:30" ht="15.75" customHeight="1">
      <c r="A306" s="12" t="s">
        <v>517</v>
      </c>
      <c r="B306" s="5">
        <v>2402</v>
      </c>
      <c r="C306" s="6" t="s">
        <v>608</v>
      </c>
      <c r="D306" s="7">
        <v>2022514886</v>
      </c>
      <c r="E306" s="7">
        <v>2201010656</v>
      </c>
      <c r="F306" s="7" t="s">
        <v>1806</v>
      </c>
      <c r="G306" s="7" t="s">
        <v>13</v>
      </c>
      <c r="H306" s="6" t="s">
        <v>609</v>
      </c>
      <c r="I306" s="6" t="s">
        <v>2421</v>
      </c>
      <c r="J306" s="6" t="s">
        <v>2422</v>
      </c>
      <c r="K306" s="6" t="s">
        <v>15</v>
      </c>
      <c r="L306" s="6" t="s">
        <v>21</v>
      </c>
      <c r="M306" s="6" t="s">
        <v>26</v>
      </c>
      <c r="N306" s="7" t="s">
        <v>18</v>
      </c>
      <c r="O306" s="23" t="s">
        <v>3611</v>
      </c>
      <c r="R306" s="23" t="s">
        <v>3612</v>
      </c>
      <c r="S306" s="2" t="s">
        <v>3613</v>
      </c>
      <c r="T306" s="2" t="s">
        <v>3614</v>
      </c>
      <c r="U306" s="2" t="s">
        <v>3615</v>
      </c>
      <c r="V306" s="23" t="s">
        <v>3616</v>
      </c>
      <c r="W306" s="24" t="s">
        <v>3617</v>
      </c>
      <c r="X306" s="23" t="s">
        <v>3618</v>
      </c>
      <c r="Y306" s="23" t="s">
        <v>3619</v>
      </c>
      <c r="Z306" s="23" t="s">
        <v>3620</v>
      </c>
      <c r="AA306" s="23" t="s">
        <v>3621</v>
      </c>
      <c r="AB306" s="9"/>
      <c r="AC306" s="9"/>
      <c r="AD306" s="9"/>
    </row>
    <row r="307" spans="1:30" ht="15.75" customHeight="1">
      <c r="A307" s="12" t="s">
        <v>517</v>
      </c>
      <c r="B307" s="5">
        <v>2402</v>
      </c>
      <c r="C307" s="6" t="s">
        <v>569</v>
      </c>
      <c r="D307" s="7">
        <v>2022378413</v>
      </c>
      <c r="E307" s="7">
        <v>2201010659</v>
      </c>
      <c r="F307" s="7" t="s">
        <v>1806</v>
      </c>
      <c r="G307" s="7" t="s">
        <v>13</v>
      </c>
      <c r="H307" s="6" t="s">
        <v>570</v>
      </c>
      <c r="I307" s="6" t="s">
        <v>2423</v>
      </c>
      <c r="J307" s="6" t="s">
        <v>2424</v>
      </c>
      <c r="K307" s="6" t="s">
        <v>15</v>
      </c>
      <c r="L307" s="6" t="s">
        <v>17</v>
      </c>
      <c r="M307" s="6" t="s">
        <v>21</v>
      </c>
      <c r="N307" s="7" t="s">
        <v>18</v>
      </c>
      <c r="O307" s="23" t="s">
        <v>3611</v>
      </c>
      <c r="R307" s="23" t="s">
        <v>3612</v>
      </c>
      <c r="S307" s="2" t="s">
        <v>3613</v>
      </c>
      <c r="T307" s="2" t="s">
        <v>3614</v>
      </c>
      <c r="U307" s="2" t="s">
        <v>3615</v>
      </c>
      <c r="V307" s="23" t="s">
        <v>3616</v>
      </c>
      <c r="W307" s="24" t="s">
        <v>3617</v>
      </c>
      <c r="X307" s="23" t="s">
        <v>3618</v>
      </c>
      <c r="Y307" s="23" t="s">
        <v>3619</v>
      </c>
      <c r="Z307" s="23" t="s">
        <v>3620</v>
      </c>
      <c r="AA307" s="23" t="s">
        <v>3621</v>
      </c>
    </row>
    <row r="308" spans="1:30" ht="15.75" customHeight="1">
      <c r="A308" s="12" t="s">
        <v>517</v>
      </c>
      <c r="B308" s="5">
        <v>2402</v>
      </c>
      <c r="C308" s="6" t="s">
        <v>533</v>
      </c>
      <c r="D308" s="7">
        <v>2022000791</v>
      </c>
      <c r="E308" s="7">
        <v>2201010664</v>
      </c>
      <c r="F308" s="7" t="s">
        <v>1806</v>
      </c>
      <c r="G308" s="7" t="s">
        <v>13</v>
      </c>
      <c r="H308" s="6" t="s">
        <v>534</v>
      </c>
      <c r="I308" s="6" t="s">
        <v>2425</v>
      </c>
      <c r="J308" s="6" t="s">
        <v>2426</v>
      </c>
      <c r="K308" s="6" t="s">
        <v>15</v>
      </c>
      <c r="L308" s="6" t="s">
        <v>21</v>
      </c>
      <c r="M308" s="6" t="s">
        <v>21</v>
      </c>
      <c r="N308" s="7" t="s">
        <v>18</v>
      </c>
      <c r="O308" s="23" t="s">
        <v>3611</v>
      </c>
      <c r="R308" s="23" t="s">
        <v>3612</v>
      </c>
      <c r="S308" s="2" t="s">
        <v>3613</v>
      </c>
      <c r="T308" s="2" t="s">
        <v>3614</v>
      </c>
      <c r="U308" s="2" t="s">
        <v>3615</v>
      </c>
      <c r="V308" s="23" t="s">
        <v>3616</v>
      </c>
      <c r="W308" s="24" t="s">
        <v>3617</v>
      </c>
      <c r="X308" s="23" t="s">
        <v>3618</v>
      </c>
      <c r="Y308" s="23" t="s">
        <v>3619</v>
      </c>
      <c r="Z308" s="23" t="s">
        <v>3620</v>
      </c>
      <c r="AA308" s="23" t="s">
        <v>3621</v>
      </c>
    </row>
    <row r="309" spans="1:30" ht="15.75" customHeight="1">
      <c r="A309" s="12" t="s">
        <v>517</v>
      </c>
      <c r="B309" s="5">
        <v>2402</v>
      </c>
      <c r="C309" s="6" t="s">
        <v>602</v>
      </c>
      <c r="D309" s="7">
        <v>2022508269</v>
      </c>
      <c r="E309" s="7">
        <v>2201010687</v>
      </c>
      <c r="F309" s="7" t="s">
        <v>1806</v>
      </c>
      <c r="G309" s="7" t="s">
        <v>13</v>
      </c>
      <c r="H309" s="6" t="s">
        <v>603</v>
      </c>
      <c r="I309" s="6" t="s">
        <v>2427</v>
      </c>
      <c r="J309" s="6" t="s">
        <v>2428</v>
      </c>
      <c r="K309" s="6" t="s">
        <v>15</v>
      </c>
      <c r="L309" s="6" t="s">
        <v>21</v>
      </c>
      <c r="M309" s="6" t="s">
        <v>17</v>
      </c>
      <c r="N309" s="7" t="s">
        <v>18</v>
      </c>
      <c r="O309" s="23" t="s">
        <v>3611</v>
      </c>
      <c r="R309" s="23" t="s">
        <v>3612</v>
      </c>
      <c r="S309" s="2" t="s">
        <v>3613</v>
      </c>
      <c r="T309" s="2" t="s">
        <v>3614</v>
      </c>
      <c r="U309" s="2" t="s">
        <v>3615</v>
      </c>
      <c r="V309" s="23" t="s">
        <v>3616</v>
      </c>
      <c r="W309" s="24" t="s">
        <v>3617</v>
      </c>
      <c r="X309" s="23" t="s">
        <v>3618</v>
      </c>
      <c r="Y309" s="23" t="s">
        <v>3619</v>
      </c>
      <c r="Z309" s="23" t="s">
        <v>3620</v>
      </c>
      <c r="AA309" s="23" t="s">
        <v>3621</v>
      </c>
    </row>
    <row r="310" spans="1:30" ht="15.75" customHeight="1">
      <c r="A310" s="12" t="s">
        <v>517</v>
      </c>
      <c r="B310" s="5">
        <v>2402</v>
      </c>
      <c r="C310" s="6" t="s">
        <v>620</v>
      </c>
      <c r="D310" s="7">
        <v>2022531964</v>
      </c>
      <c r="E310" s="7">
        <v>2201010692</v>
      </c>
      <c r="F310" s="7" t="s">
        <v>1806</v>
      </c>
      <c r="G310" s="7" t="s">
        <v>13</v>
      </c>
      <c r="H310" s="6" t="s">
        <v>621</v>
      </c>
      <c r="I310" s="6" t="s">
        <v>2429</v>
      </c>
      <c r="J310" s="6" t="s">
        <v>2430</v>
      </c>
      <c r="K310" s="6" t="s">
        <v>15</v>
      </c>
      <c r="L310" s="6" t="s">
        <v>21</v>
      </c>
      <c r="M310" s="6" t="s">
        <v>17</v>
      </c>
      <c r="N310" s="7" t="s">
        <v>18</v>
      </c>
      <c r="O310" s="23" t="s">
        <v>3611</v>
      </c>
      <c r="R310" s="23" t="s">
        <v>3612</v>
      </c>
      <c r="S310" s="2" t="s">
        <v>3613</v>
      </c>
      <c r="T310" s="2" t="s">
        <v>3614</v>
      </c>
      <c r="U310" s="2" t="s">
        <v>3615</v>
      </c>
      <c r="V310" s="23" t="s">
        <v>3616</v>
      </c>
      <c r="W310" s="24" t="s">
        <v>3617</v>
      </c>
      <c r="X310" s="23" t="s">
        <v>3618</v>
      </c>
      <c r="Y310" s="23" t="s">
        <v>3619</v>
      </c>
      <c r="Z310" s="23" t="s">
        <v>3620</v>
      </c>
      <c r="AA310" s="23" t="s">
        <v>3621</v>
      </c>
    </row>
    <row r="311" spans="1:30" ht="15.75" customHeight="1">
      <c r="A311" s="12" t="s">
        <v>517</v>
      </c>
      <c r="B311" s="5">
        <v>2402</v>
      </c>
      <c r="C311" s="6" t="s">
        <v>539</v>
      </c>
      <c r="D311" s="7">
        <v>2022003069</v>
      </c>
      <c r="E311" s="7">
        <v>2201010694</v>
      </c>
      <c r="F311" s="7" t="s">
        <v>1806</v>
      </c>
      <c r="G311" s="7" t="s">
        <v>13</v>
      </c>
      <c r="H311" s="6" t="s">
        <v>540</v>
      </c>
      <c r="I311" s="6" t="s">
        <v>2431</v>
      </c>
      <c r="J311" s="6" t="s">
        <v>2432</v>
      </c>
      <c r="K311" s="6" t="s">
        <v>15</v>
      </c>
      <c r="L311" s="6" t="s">
        <v>139</v>
      </c>
      <c r="M311" s="6" t="s">
        <v>26</v>
      </c>
      <c r="N311" s="7" t="s">
        <v>18</v>
      </c>
      <c r="O311" s="23" t="s">
        <v>3611</v>
      </c>
      <c r="R311" s="23" t="s">
        <v>3612</v>
      </c>
      <c r="S311" s="2" t="s">
        <v>3613</v>
      </c>
      <c r="T311" s="2" t="s">
        <v>3614</v>
      </c>
      <c r="U311" s="2" t="s">
        <v>3615</v>
      </c>
      <c r="V311" s="23" t="s">
        <v>3616</v>
      </c>
      <c r="W311" s="24" t="s">
        <v>3617</v>
      </c>
      <c r="X311" s="23" t="s">
        <v>3618</v>
      </c>
      <c r="Y311" s="23" t="s">
        <v>3619</v>
      </c>
      <c r="Z311" s="23" t="s">
        <v>3620</v>
      </c>
      <c r="AA311" s="23" t="s">
        <v>3621</v>
      </c>
      <c r="AB311" s="8"/>
      <c r="AC311" s="8"/>
      <c r="AD311" s="8"/>
    </row>
    <row r="312" spans="1:30" ht="15.75" customHeight="1">
      <c r="A312" s="12" t="s">
        <v>517</v>
      </c>
      <c r="B312" s="5">
        <v>2402</v>
      </c>
      <c r="C312" s="6" t="s">
        <v>565</v>
      </c>
      <c r="D312" s="7">
        <v>2022363290</v>
      </c>
      <c r="E312" s="7">
        <v>2201010711</v>
      </c>
      <c r="F312" s="7" t="s">
        <v>1806</v>
      </c>
      <c r="G312" s="7" t="s">
        <v>13</v>
      </c>
      <c r="H312" s="6" t="s">
        <v>566</v>
      </c>
      <c r="I312" s="6" t="s">
        <v>2433</v>
      </c>
      <c r="J312" s="6" t="s">
        <v>2434</v>
      </c>
      <c r="K312" s="6" t="s">
        <v>15</v>
      </c>
      <c r="L312" s="6" t="s">
        <v>26</v>
      </c>
      <c r="M312" s="6" t="s">
        <v>49</v>
      </c>
      <c r="N312" s="7" t="s">
        <v>18</v>
      </c>
      <c r="O312" s="23" t="s">
        <v>3611</v>
      </c>
      <c r="R312" s="23" t="s">
        <v>3612</v>
      </c>
      <c r="S312" s="2" t="s">
        <v>3613</v>
      </c>
      <c r="T312" s="2" t="s">
        <v>3614</v>
      </c>
      <c r="U312" s="2" t="s">
        <v>3615</v>
      </c>
      <c r="V312" s="23" t="s">
        <v>3616</v>
      </c>
      <c r="W312" s="24" t="s">
        <v>3617</v>
      </c>
      <c r="X312" s="23" t="s">
        <v>3618</v>
      </c>
      <c r="Y312" s="23" t="s">
        <v>3619</v>
      </c>
      <c r="Z312" s="23" t="s">
        <v>3620</v>
      </c>
      <c r="AA312" s="23" t="s">
        <v>3621</v>
      </c>
      <c r="AB312" s="8"/>
      <c r="AC312" s="8"/>
      <c r="AD312" s="8"/>
    </row>
    <row r="313" spans="1:30" ht="15.75" customHeight="1">
      <c r="A313" s="12" t="s">
        <v>517</v>
      </c>
      <c r="B313" s="5">
        <v>2402</v>
      </c>
      <c r="C313" s="6" t="s">
        <v>592</v>
      </c>
      <c r="D313" s="7">
        <v>2022503088</v>
      </c>
      <c r="E313" s="7">
        <v>2201010716</v>
      </c>
      <c r="F313" s="7" t="s">
        <v>1806</v>
      </c>
      <c r="G313" s="7" t="s">
        <v>13</v>
      </c>
      <c r="H313" s="6" t="s">
        <v>593</v>
      </c>
      <c r="I313" s="6" t="s">
        <v>2435</v>
      </c>
      <c r="J313" s="6" t="s">
        <v>2436</v>
      </c>
      <c r="K313" s="6" t="s">
        <v>15</v>
      </c>
      <c r="L313" s="6" t="s">
        <v>149</v>
      </c>
      <c r="M313" s="6" t="s">
        <v>26</v>
      </c>
      <c r="N313" s="7" t="s">
        <v>18</v>
      </c>
      <c r="O313" s="23" t="s">
        <v>3611</v>
      </c>
      <c r="R313" s="23" t="s">
        <v>3612</v>
      </c>
      <c r="S313" s="2" t="s">
        <v>3613</v>
      </c>
      <c r="T313" s="2" t="s">
        <v>3614</v>
      </c>
      <c r="U313" s="2" t="s">
        <v>3615</v>
      </c>
      <c r="V313" s="23" t="s">
        <v>3616</v>
      </c>
      <c r="W313" s="24" t="s">
        <v>3617</v>
      </c>
      <c r="X313" s="23" t="s">
        <v>3618</v>
      </c>
      <c r="Y313" s="23" t="s">
        <v>3619</v>
      </c>
      <c r="Z313" s="23" t="s">
        <v>3620</v>
      </c>
      <c r="AA313" s="23" t="s">
        <v>3621</v>
      </c>
      <c r="AB313" s="8"/>
      <c r="AC313" s="8"/>
      <c r="AD313" s="8"/>
    </row>
    <row r="314" spans="1:30" ht="15.75" customHeight="1">
      <c r="A314" s="12" t="s">
        <v>517</v>
      </c>
      <c r="B314" s="5">
        <v>2402</v>
      </c>
      <c r="C314" s="6" t="s">
        <v>590</v>
      </c>
      <c r="D314" s="7">
        <v>2022498440</v>
      </c>
      <c r="E314" s="7">
        <v>2201010721</v>
      </c>
      <c r="F314" s="7" t="s">
        <v>1806</v>
      </c>
      <c r="G314" s="7" t="s">
        <v>13</v>
      </c>
      <c r="H314" s="6" t="s">
        <v>591</v>
      </c>
      <c r="I314" s="6" t="s">
        <v>2437</v>
      </c>
      <c r="J314" s="6" t="s">
        <v>2438</v>
      </c>
      <c r="K314" s="6" t="s">
        <v>15</v>
      </c>
      <c r="L314" s="6" t="s">
        <v>21</v>
      </c>
      <c r="M314" s="6" t="s">
        <v>104</v>
      </c>
      <c r="N314" s="7" t="s">
        <v>18</v>
      </c>
      <c r="O314" s="23" t="s">
        <v>3611</v>
      </c>
      <c r="R314" s="23" t="s">
        <v>3612</v>
      </c>
      <c r="S314" s="2" t="s">
        <v>3613</v>
      </c>
      <c r="T314" s="2" t="s">
        <v>3614</v>
      </c>
      <c r="U314" s="2" t="s">
        <v>3615</v>
      </c>
      <c r="V314" s="23" t="s">
        <v>3616</v>
      </c>
      <c r="W314" s="24" t="s">
        <v>3617</v>
      </c>
      <c r="X314" s="23" t="s">
        <v>3618</v>
      </c>
      <c r="Y314" s="23" t="s">
        <v>3619</v>
      </c>
      <c r="Z314" s="23" t="s">
        <v>3620</v>
      </c>
      <c r="AA314" s="23" t="s">
        <v>3621</v>
      </c>
      <c r="AB314" s="8"/>
      <c r="AC314" s="8"/>
      <c r="AD314" s="8"/>
    </row>
    <row r="315" spans="1:30" ht="15.75" customHeight="1">
      <c r="A315" s="12" t="s">
        <v>517</v>
      </c>
      <c r="B315" s="5">
        <v>2402</v>
      </c>
      <c r="C315" s="6" t="s">
        <v>629</v>
      </c>
      <c r="D315" s="7">
        <v>2022554244</v>
      </c>
      <c r="E315" s="7">
        <v>2201010800</v>
      </c>
      <c r="F315" s="7" t="s">
        <v>1806</v>
      </c>
      <c r="G315" s="7" t="s">
        <v>13</v>
      </c>
      <c r="H315" s="6" t="s">
        <v>630</v>
      </c>
      <c r="I315" s="6" t="s">
        <v>2439</v>
      </c>
      <c r="J315" s="6" t="s">
        <v>2440</v>
      </c>
      <c r="K315" s="6" t="s">
        <v>15</v>
      </c>
      <c r="L315" s="6" t="s">
        <v>21</v>
      </c>
      <c r="M315" s="6" t="s">
        <v>117</v>
      </c>
      <c r="N315" s="7" t="s">
        <v>18</v>
      </c>
      <c r="O315" s="23" t="s">
        <v>3611</v>
      </c>
      <c r="R315" s="23" t="s">
        <v>3612</v>
      </c>
      <c r="S315" s="2" t="s">
        <v>3613</v>
      </c>
      <c r="T315" s="2" t="s">
        <v>3614</v>
      </c>
      <c r="U315" s="2" t="s">
        <v>3615</v>
      </c>
      <c r="V315" s="23" t="s">
        <v>3616</v>
      </c>
      <c r="W315" s="24" t="s">
        <v>3617</v>
      </c>
      <c r="X315" s="23" t="s">
        <v>3618</v>
      </c>
      <c r="Y315" s="23" t="s">
        <v>3619</v>
      </c>
      <c r="Z315" s="23" t="s">
        <v>3620</v>
      </c>
      <c r="AA315" s="23" t="s">
        <v>3621</v>
      </c>
      <c r="AB315" s="8"/>
      <c r="AC315" s="8"/>
      <c r="AD315" s="8"/>
    </row>
    <row r="316" spans="1:30" ht="15.75" customHeight="1">
      <c r="A316" s="12" t="s">
        <v>517</v>
      </c>
      <c r="B316" s="5">
        <v>2402</v>
      </c>
      <c r="C316" s="6" t="s">
        <v>571</v>
      </c>
      <c r="D316" s="7">
        <v>2022381725</v>
      </c>
      <c r="E316" s="7">
        <v>2201010804</v>
      </c>
      <c r="F316" s="7" t="s">
        <v>1806</v>
      </c>
      <c r="G316" s="7" t="s">
        <v>13</v>
      </c>
      <c r="H316" s="6" t="s">
        <v>572</v>
      </c>
      <c r="I316" s="6" t="s">
        <v>2441</v>
      </c>
      <c r="J316" s="6" t="s">
        <v>2442</v>
      </c>
      <c r="K316" s="6" t="s">
        <v>15</v>
      </c>
      <c r="L316" s="6" t="s">
        <v>21</v>
      </c>
      <c r="M316" s="6" t="s">
        <v>49</v>
      </c>
      <c r="N316" s="7" t="s">
        <v>18</v>
      </c>
      <c r="O316" s="23" t="s">
        <v>3611</v>
      </c>
      <c r="R316" s="23" t="s">
        <v>3612</v>
      </c>
      <c r="S316" s="2" t="s">
        <v>3613</v>
      </c>
      <c r="T316" s="2" t="s">
        <v>3614</v>
      </c>
      <c r="U316" s="2" t="s">
        <v>3615</v>
      </c>
      <c r="V316" s="23" t="s">
        <v>3616</v>
      </c>
      <c r="W316" s="24" t="s">
        <v>3617</v>
      </c>
      <c r="X316" s="23" t="s">
        <v>3618</v>
      </c>
      <c r="Y316" s="23" t="s">
        <v>3619</v>
      </c>
      <c r="Z316" s="23" t="s">
        <v>3620</v>
      </c>
      <c r="AA316" s="23" t="s">
        <v>3621</v>
      </c>
      <c r="AB316" s="8"/>
      <c r="AC316" s="8"/>
      <c r="AD316" s="8"/>
    </row>
    <row r="317" spans="1:30" ht="15.75" customHeight="1">
      <c r="A317" s="12" t="s">
        <v>517</v>
      </c>
      <c r="B317" s="5">
        <v>2402</v>
      </c>
      <c r="C317" s="6" t="s">
        <v>567</v>
      </c>
      <c r="D317" s="7">
        <v>2022363409</v>
      </c>
      <c r="E317" s="7">
        <v>2201010818</v>
      </c>
      <c r="F317" s="7" t="s">
        <v>1806</v>
      </c>
      <c r="G317" s="7" t="s">
        <v>13</v>
      </c>
      <c r="H317" s="6" t="s">
        <v>568</v>
      </c>
      <c r="I317" s="6" t="s">
        <v>2443</v>
      </c>
      <c r="J317" s="6" t="s">
        <v>2444</v>
      </c>
      <c r="K317" s="6" t="s">
        <v>15</v>
      </c>
      <c r="L317" s="6" t="s">
        <v>149</v>
      </c>
      <c r="M317" s="6" t="s">
        <v>21</v>
      </c>
      <c r="N317" s="7" t="s">
        <v>18</v>
      </c>
      <c r="O317" s="23" t="s">
        <v>3611</v>
      </c>
      <c r="R317" s="23" t="s">
        <v>3612</v>
      </c>
      <c r="S317" s="2" t="s">
        <v>3613</v>
      </c>
      <c r="T317" s="2" t="s">
        <v>3614</v>
      </c>
      <c r="U317" s="2" t="s">
        <v>3615</v>
      </c>
      <c r="V317" s="23" t="s">
        <v>3616</v>
      </c>
      <c r="W317" s="24" t="s">
        <v>3617</v>
      </c>
      <c r="X317" s="23" t="s">
        <v>3618</v>
      </c>
      <c r="Y317" s="23" t="s">
        <v>3619</v>
      </c>
      <c r="Z317" s="23" t="s">
        <v>3620</v>
      </c>
      <c r="AA317" s="23" t="s">
        <v>3621</v>
      </c>
      <c r="AB317" s="8"/>
      <c r="AC317" s="8"/>
      <c r="AD317" s="8"/>
    </row>
    <row r="318" spans="1:30" ht="15.75" customHeight="1">
      <c r="A318" s="12" t="s">
        <v>517</v>
      </c>
      <c r="B318" s="5">
        <v>2402</v>
      </c>
      <c r="C318" s="6" t="s">
        <v>541</v>
      </c>
      <c r="D318" s="7">
        <v>2022003343</v>
      </c>
      <c r="E318" s="7">
        <v>2201010828</v>
      </c>
      <c r="F318" s="7" t="s">
        <v>1806</v>
      </c>
      <c r="G318" s="7" t="s">
        <v>13</v>
      </c>
      <c r="H318" s="6" t="s">
        <v>542</v>
      </c>
      <c r="I318" s="6" t="s">
        <v>2445</v>
      </c>
      <c r="J318" s="6" t="s">
        <v>2446</v>
      </c>
      <c r="K318" s="6" t="s">
        <v>15</v>
      </c>
      <c r="L318" s="6" t="s">
        <v>21</v>
      </c>
      <c r="M318" s="6" t="s">
        <v>17</v>
      </c>
      <c r="N318" s="7" t="s">
        <v>18</v>
      </c>
      <c r="O318" s="23" t="s">
        <v>3611</v>
      </c>
      <c r="R318" s="23" t="s">
        <v>3612</v>
      </c>
      <c r="S318" s="2" t="s">
        <v>3613</v>
      </c>
      <c r="T318" s="2" t="s">
        <v>3614</v>
      </c>
      <c r="U318" s="2" t="s">
        <v>3615</v>
      </c>
      <c r="V318" s="23" t="s">
        <v>3616</v>
      </c>
      <c r="W318" s="24" t="s">
        <v>3617</v>
      </c>
      <c r="X318" s="23" t="s">
        <v>3618</v>
      </c>
      <c r="Y318" s="23" t="s">
        <v>3619</v>
      </c>
      <c r="Z318" s="23" t="s">
        <v>3620</v>
      </c>
      <c r="AA318" s="23" t="s">
        <v>3621</v>
      </c>
      <c r="AB318" s="8"/>
      <c r="AC318" s="8"/>
      <c r="AD318" s="8"/>
    </row>
    <row r="319" spans="1:30" ht="15.75" customHeight="1">
      <c r="A319" s="12" t="s">
        <v>517</v>
      </c>
      <c r="B319" s="5">
        <v>2402</v>
      </c>
      <c r="C319" s="6" t="s">
        <v>553</v>
      </c>
      <c r="D319" s="7">
        <v>2022007195</v>
      </c>
      <c r="E319" s="7">
        <v>2201010837</v>
      </c>
      <c r="F319" s="7" t="s">
        <v>1806</v>
      </c>
      <c r="G319" s="7" t="s">
        <v>13</v>
      </c>
      <c r="H319" s="6" t="s">
        <v>554</v>
      </c>
      <c r="I319" s="6" t="s">
        <v>2447</v>
      </c>
      <c r="J319" s="6" t="s">
        <v>2448</v>
      </c>
      <c r="K319" s="6" t="s">
        <v>15</v>
      </c>
      <c r="L319" s="6" t="e">
        <v>#N/A</v>
      </c>
      <c r="M319" s="6" t="e">
        <v>#N/A</v>
      </c>
      <c r="N319" s="7" t="e">
        <v>#N/A</v>
      </c>
      <c r="O319" s="23" t="s">
        <v>3611</v>
      </c>
      <c r="R319" s="23" t="s">
        <v>3612</v>
      </c>
      <c r="S319" s="2" t="s">
        <v>3613</v>
      </c>
      <c r="T319" s="2" t="s">
        <v>3614</v>
      </c>
      <c r="U319" s="2" t="s">
        <v>3615</v>
      </c>
      <c r="V319" s="23" t="s">
        <v>3616</v>
      </c>
      <c r="W319" s="24" t="s">
        <v>3617</v>
      </c>
      <c r="X319" s="23" t="s">
        <v>3618</v>
      </c>
      <c r="Y319" s="23" t="s">
        <v>3619</v>
      </c>
      <c r="Z319" s="23" t="s">
        <v>3620</v>
      </c>
      <c r="AA319" s="23" t="s">
        <v>3621</v>
      </c>
    </row>
    <row r="320" spans="1:30" ht="15.75" customHeight="1">
      <c r="A320" s="12" t="s">
        <v>517</v>
      </c>
      <c r="B320" s="5">
        <v>2402</v>
      </c>
      <c r="C320" s="6" t="s">
        <v>555</v>
      </c>
      <c r="D320" s="7">
        <v>2022007677</v>
      </c>
      <c r="E320" s="7">
        <v>2201010857</v>
      </c>
      <c r="F320" s="7" t="s">
        <v>1806</v>
      </c>
      <c r="G320" s="7" t="s">
        <v>13</v>
      </c>
      <c r="H320" s="6" t="s">
        <v>556</v>
      </c>
      <c r="I320" s="6" t="s">
        <v>2449</v>
      </c>
      <c r="J320" s="6" t="s">
        <v>2450</v>
      </c>
      <c r="K320" s="6" t="s">
        <v>15</v>
      </c>
      <c r="L320" s="6" t="s">
        <v>21</v>
      </c>
      <c r="M320" s="6" t="s">
        <v>17</v>
      </c>
      <c r="N320" s="7" t="s">
        <v>18</v>
      </c>
      <c r="O320" s="23" t="s">
        <v>3611</v>
      </c>
      <c r="R320" s="23" t="s">
        <v>3612</v>
      </c>
      <c r="S320" s="2" t="s">
        <v>3613</v>
      </c>
      <c r="T320" s="2" t="s">
        <v>3614</v>
      </c>
      <c r="U320" s="2" t="s">
        <v>3615</v>
      </c>
      <c r="V320" s="23" t="s">
        <v>3616</v>
      </c>
      <c r="W320" s="24" t="s">
        <v>3617</v>
      </c>
      <c r="X320" s="23" t="s">
        <v>3618</v>
      </c>
      <c r="Y320" s="23" t="s">
        <v>3619</v>
      </c>
      <c r="Z320" s="23" t="s">
        <v>3620</v>
      </c>
      <c r="AA320" s="23" t="s">
        <v>3621</v>
      </c>
      <c r="AB320" s="8"/>
      <c r="AC320" s="8"/>
      <c r="AD320" s="8"/>
    </row>
    <row r="321" spans="1:30" ht="15.75" customHeight="1">
      <c r="A321" s="12" t="s">
        <v>517</v>
      </c>
      <c r="B321" s="5">
        <v>2402</v>
      </c>
      <c r="C321" s="6" t="s">
        <v>526</v>
      </c>
      <c r="D321" s="7">
        <v>2022536169</v>
      </c>
      <c r="E321" s="7">
        <v>2201010877</v>
      </c>
      <c r="F321" s="7" t="s">
        <v>1806</v>
      </c>
      <c r="G321" s="7" t="s">
        <v>13</v>
      </c>
      <c r="H321" s="6" t="s">
        <v>527</v>
      </c>
      <c r="I321" s="6" t="s">
        <v>2451</v>
      </c>
      <c r="J321" s="6" t="s">
        <v>2452</v>
      </c>
      <c r="K321" s="6" t="s">
        <v>15</v>
      </c>
      <c r="L321" s="6" t="e">
        <v>#N/A</v>
      </c>
      <c r="M321" s="6" t="e">
        <v>#N/A</v>
      </c>
      <c r="N321" s="7" t="e">
        <v>#N/A</v>
      </c>
      <c r="O321" s="23" t="s">
        <v>3611</v>
      </c>
      <c r="R321" s="23" t="s">
        <v>3612</v>
      </c>
      <c r="S321" s="2" t="s">
        <v>3613</v>
      </c>
      <c r="T321" s="2" t="s">
        <v>3614</v>
      </c>
      <c r="U321" s="2" t="s">
        <v>3615</v>
      </c>
      <c r="V321" s="23" t="s">
        <v>3616</v>
      </c>
      <c r="W321" s="24" t="s">
        <v>3617</v>
      </c>
      <c r="X321" s="23" t="s">
        <v>3618</v>
      </c>
      <c r="Y321" s="23" t="s">
        <v>3619</v>
      </c>
      <c r="Z321" s="23" t="s">
        <v>3620</v>
      </c>
      <c r="AA321" s="23" t="s">
        <v>3621</v>
      </c>
      <c r="AB321" s="8"/>
      <c r="AC321" s="8"/>
      <c r="AD321" s="8"/>
    </row>
    <row r="322" spans="1:30" ht="15.75" customHeight="1">
      <c r="A322" s="12" t="s">
        <v>517</v>
      </c>
      <c r="B322" s="5">
        <v>2402</v>
      </c>
      <c r="C322" s="6" t="s">
        <v>633</v>
      </c>
      <c r="D322" s="7">
        <v>2022573413</v>
      </c>
      <c r="E322" s="7">
        <v>2201010884</v>
      </c>
      <c r="F322" s="7" t="s">
        <v>1806</v>
      </c>
      <c r="G322" s="7" t="s">
        <v>13</v>
      </c>
      <c r="H322" s="6" t="s">
        <v>634</v>
      </c>
      <c r="I322" s="6" t="s">
        <v>2453</v>
      </c>
      <c r="J322" s="6" t="s">
        <v>2454</v>
      </c>
      <c r="K322" s="6" t="s">
        <v>15</v>
      </c>
      <c r="L322" s="6" t="s">
        <v>21</v>
      </c>
      <c r="M322" s="6" t="s">
        <v>149</v>
      </c>
      <c r="N322" s="7" t="s">
        <v>18</v>
      </c>
      <c r="O322" s="23" t="s">
        <v>3611</v>
      </c>
      <c r="R322" s="23" t="s">
        <v>3612</v>
      </c>
      <c r="S322" s="2" t="s">
        <v>3613</v>
      </c>
      <c r="T322" s="2" t="s">
        <v>3614</v>
      </c>
      <c r="U322" s="2" t="s">
        <v>3615</v>
      </c>
      <c r="V322" s="23" t="s">
        <v>3616</v>
      </c>
      <c r="W322" s="24" t="s">
        <v>3617</v>
      </c>
      <c r="X322" s="23" t="s">
        <v>3618</v>
      </c>
      <c r="Y322" s="23" t="s">
        <v>3619</v>
      </c>
      <c r="Z322" s="23" t="s">
        <v>3620</v>
      </c>
      <c r="AA322" s="23" t="s">
        <v>3621</v>
      </c>
      <c r="AB322" s="8"/>
      <c r="AC322" s="8"/>
      <c r="AD322" s="8"/>
    </row>
    <row r="323" spans="1:30" ht="15.75" customHeight="1">
      <c r="A323" s="12" t="s">
        <v>517</v>
      </c>
      <c r="B323" s="5">
        <v>2402</v>
      </c>
      <c r="C323" s="6" t="s">
        <v>528</v>
      </c>
      <c r="D323" s="7">
        <v>2022585888</v>
      </c>
      <c r="E323" s="7">
        <v>2201010886</v>
      </c>
      <c r="F323" s="7" t="s">
        <v>1806</v>
      </c>
      <c r="G323" s="7" t="s">
        <v>13</v>
      </c>
      <c r="H323" s="6" t="s">
        <v>529</v>
      </c>
      <c r="I323" s="6" t="s">
        <v>2455</v>
      </c>
      <c r="J323" s="6" t="s">
        <v>2456</v>
      </c>
      <c r="K323" s="6" t="s">
        <v>15</v>
      </c>
      <c r="L323" s="6" t="s">
        <v>21</v>
      </c>
      <c r="M323" s="6" t="s">
        <v>104</v>
      </c>
      <c r="N323" s="7" t="s">
        <v>18</v>
      </c>
      <c r="O323" s="23" t="s">
        <v>3611</v>
      </c>
      <c r="R323" s="23" t="s">
        <v>3612</v>
      </c>
      <c r="S323" s="2" t="s">
        <v>3613</v>
      </c>
      <c r="T323" s="2" t="s">
        <v>3614</v>
      </c>
      <c r="U323" s="2" t="s">
        <v>3615</v>
      </c>
      <c r="V323" s="23" t="s">
        <v>3616</v>
      </c>
      <c r="W323" s="24" t="s">
        <v>3617</v>
      </c>
      <c r="X323" s="23" t="s">
        <v>3618</v>
      </c>
      <c r="Y323" s="23" t="s">
        <v>3619</v>
      </c>
      <c r="Z323" s="23" t="s">
        <v>3620</v>
      </c>
      <c r="AA323" s="23" t="s">
        <v>3621</v>
      </c>
      <c r="AB323" s="8"/>
      <c r="AC323" s="8"/>
      <c r="AD323" s="8"/>
    </row>
    <row r="324" spans="1:30" ht="15.75" customHeight="1">
      <c r="A324" s="4" t="s">
        <v>647</v>
      </c>
      <c r="B324" s="5">
        <v>2402</v>
      </c>
      <c r="C324" s="6" t="s">
        <v>736</v>
      </c>
      <c r="D324" s="7">
        <v>2022578067</v>
      </c>
      <c r="E324" s="7">
        <v>2201010007</v>
      </c>
      <c r="F324" s="7" t="s">
        <v>1808</v>
      </c>
      <c r="G324" s="7" t="s">
        <v>13</v>
      </c>
      <c r="H324" s="6" t="s">
        <v>737</v>
      </c>
      <c r="I324" s="6" t="s">
        <v>2457</v>
      </c>
      <c r="J324" s="6" t="s">
        <v>2458</v>
      </c>
      <c r="K324" s="6" t="s">
        <v>15</v>
      </c>
      <c r="L324" s="6" t="s">
        <v>21</v>
      </c>
      <c r="M324" s="6" t="s">
        <v>104</v>
      </c>
      <c r="N324" s="7" t="s">
        <v>18</v>
      </c>
      <c r="O324" s="23" t="s">
        <v>3611</v>
      </c>
      <c r="R324" s="23" t="s">
        <v>3612</v>
      </c>
      <c r="S324" s="2" t="s">
        <v>3613</v>
      </c>
      <c r="T324" s="2" t="s">
        <v>3614</v>
      </c>
      <c r="U324" s="2" t="s">
        <v>3615</v>
      </c>
      <c r="V324" s="23" t="s">
        <v>3616</v>
      </c>
      <c r="W324" s="24" t="s">
        <v>3617</v>
      </c>
      <c r="X324" s="23" t="s">
        <v>3618</v>
      </c>
      <c r="Y324" s="23" t="s">
        <v>3619</v>
      </c>
      <c r="Z324" s="23" t="s">
        <v>3620</v>
      </c>
      <c r="AA324" s="23" t="s">
        <v>3621</v>
      </c>
      <c r="AB324" s="8"/>
      <c r="AC324" s="8"/>
      <c r="AD324" s="8"/>
    </row>
    <row r="325" spans="1:30" ht="15.75" customHeight="1">
      <c r="A325" s="4" t="s">
        <v>647</v>
      </c>
      <c r="B325" s="5">
        <v>2402</v>
      </c>
      <c r="C325" s="6" t="s">
        <v>722</v>
      </c>
      <c r="D325" s="7">
        <v>2022525962</v>
      </c>
      <c r="E325" s="7">
        <v>2201010034</v>
      </c>
      <c r="F325" s="7" t="s">
        <v>1808</v>
      </c>
      <c r="G325" s="7" t="s">
        <v>13</v>
      </c>
      <c r="H325" s="6" t="s">
        <v>723</v>
      </c>
      <c r="I325" s="6" t="s">
        <v>2459</v>
      </c>
      <c r="J325" s="6" t="s">
        <v>2460</v>
      </c>
      <c r="K325" s="6" t="s">
        <v>15</v>
      </c>
      <c r="L325" s="6" t="s">
        <v>149</v>
      </c>
      <c r="M325" s="6" t="s">
        <v>21</v>
      </c>
      <c r="N325" s="7" t="s">
        <v>18</v>
      </c>
      <c r="O325" s="23" t="s">
        <v>3611</v>
      </c>
      <c r="R325" s="23" t="s">
        <v>3612</v>
      </c>
      <c r="S325" s="2" t="s">
        <v>3613</v>
      </c>
      <c r="T325" s="2" t="s">
        <v>3614</v>
      </c>
      <c r="U325" s="2" t="s">
        <v>3615</v>
      </c>
      <c r="V325" s="23" t="s">
        <v>3616</v>
      </c>
      <c r="W325" s="24" t="s">
        <v>3617</v>
      </c>
      <c r="X325" s="23" t="s">
        <v>3618</v>
      </c>
      <c r="Y325" s="23" t="s">
        <v>3619</v>
      </c>
      <c r="Z325" s="23" t="s">
        <v>3620</v>
      </c>
      <c r="AA325" s="23" t="s">
        <v>3621</v>
      </c>
      <c r="AB325" s="8"/>
      <c r="AC325" s="8"/>
      <c r="AD325" s="8"/>
    </row>
    <row r="326" spans="1:30" ht="15.75" customHeight="1">
      <c r="A326" s="4" t="s">
        <v>647</v>
      </c>
      <c r="B326" s="5">
        <v>2402</v>
      </c>
      <c r="C326" s="6" t="s">
        <v>705</v>
      </c>
      <c r="D326" s="7">
        <v>2022374295</v>
      </c>
      <c r="E326" s="7">
        <v>2201010045</v>
      </c>
      <c r="F326" s="7" t="s">
        <v>1808</v>
      </c>
      <c r="G326" s="7" t="s">
        <v>13</v>
      </c>
      <c r="H326" s="6" t="s">
        <v>706</v>
      </c>
      <c r="I326" s="6" t="s">
        <v>2461</v>
      </c>
      <c r="J326" s="6" t="s">
        <v>2462</v>
      </c>
      <c r="K326" s="6" t="s">
        <v>15</v>
      </c>
      <c r="L326" s="6" t="s">
        <v>21</v>
      </c>
      <c r="M326" s="6" t="s">
        <v>149</v>
      </c>
      <c r="N326" s="7" t="s">
        <v>18</v>
      </c>
      <c r="O326" s="23" t="s">
        <v>3611</v>
      </c>
      <c r="R326" s="23" t="s">
        <v>3612</v>
      </c>
      <c r="S326" s="2" t="s">
        <v>3613</v>
      </c>
      <c r="T326" s="2" t="s">
        <v>3614</v>
      </c>
      <c r="U326" s="2" t="s">
        <v>3615</v>
      </c>
      <c r="V326" s="23" t="s">
        <v>3616</v>
      </c>
      <c r="W326" s="24" t="s">
        <v>3617</v>
      </c>
      <c r="X326" s="23" t="s">
        <v>3618</v>
      </c>
      <c r="Y326" s="23" t="s">
        <v>3619</v>
      </c>
      <c r="Z326" s="23" t="s">
        <v>3620</v>
      </c>
      <c r="AA326" s="23" t="s">
        <v>3621</v>
      </c>
      <c r="AB326" s="8"/>
      <c r="AC326" s="8"/>
      <c r="AD326" s="8"/>
    </row>
    <row r="327" spans="1:30" ht="15.75" customHeight="1">
      <c r="A327" s="4" t="s">
        <v>647</v>
      </c>
      <c r="B327" s="5">
        <v>2402</v>
      </c>
      <c r="C327" s="6" t="s">
        <v>739</v>
      </c>
      <c r="D327" s="7">
        <v>2022805717</v>
      </c>
      <c r="E327" s="7">
        <v>2201010059</v>
      </c>
      <c r="F327" s="7" t="s">
        <v>1808</v>
      </c>
      <c r="G327" s="7" t="s">
        <v>13</v>
      </c>
      <c r="H327" s="6" t="s">
        <v>740</v>
      </c>
      <c r="I327" s="6" t="s">
        <v>2463</v>
      </c>
      <c r="J327" s="6" t="s">
        <v>2464</v>
      </c>
      <c r="K327" s="6" t="s">
        <v>15</v>
      </c>
      <c r="L327" s="6" t="s">
        <v>21</v>
      </c>
      <c r="M327" s="6" t="s">
        <v>16</v>
      </c>
      <c r="N327" s="7" t="s">
        <v>18</v>
      </c>
      <c r="O327" s="23" t="s">
        <v>3611</v>
      </c>
      <c r="R327" s="23" t="s">
        <v>3612</v>
      </c>
      <c r="S327" s="2" t="s">
        <v>3613</v>
      </c>
      <c r="T327" s="2" t="s">
        <v>3614</v>
      </c>
      <c r="U327" s="2" t="s">
        <v>3615</v>
      </c>
      <c r="V327" s="23" t="s">
        <v>3616</v>
      </c>
      <c r="W327" s="24" t="s">
        <v>3617</v>
      </c>
      <c r="X327" s="23" t="s">
        <v>3618</v>
      </c>
      <c r="Y327" s="23" t="s">
        <v>3619</v>
      </c>
      <c r="Z327" s="23" t="s">
        <v>3620</v>
      </c>
      <c r="AA327" s="23" t="s">
        <v>3621</v>
      </c>
      <c r="AB327" s="8"/>
      <c r="AC327" s="8"/>
      <c r="AD327" s="8"/>
    </row>
    <row r="328" spans="1:30" ht="15.75" customHeight="1">
      <c r="A328" s="4" t="s">
        <v>647</v>
      </c>
      <c r="B328" s="5">
        <v>2402</v>
      </c>
      <c r="C328" s="6" t="s">
        <v>377</v>
      </c>
      <c r="D328" s="7">
        <v>2022005223</v>
      </c>
      <c r="E328" s="7">
        <v>2201010076</v>
      </c>
      <c r="F328" s="7" t="s">
        <v>1808</v>
      </c>
      <c r="G328" s="7" t="s">
        <v>13</v>
      </c>
      <c r="H328" s="6" t="s">
        <v>684</v>
      </c>
      <c r="I328" s="6" t="s">
        <v>2465</v>
      </c>
      <c r="J328" s="6" t="s">
        <v>2466</v>
      </c>
      <c r="K328" s="6" t="s">
        <v>15</v>
      </c>
      <c r="L328" s="6" t="s">
        <v>21</v>
      </c>
      <c r="M328" s="6" t="s">
        <v>149</v>
      </c>
      <c r="N328" s="7" t="s">
        <v>18</v>
      </c>
      <c r="O328" s="23" t="s">
        <v>3611</v>
      </c>
      <c r="R328" s="23" t="s">
        <v>3612</v>
      </c>
      <c r="S328" s="2" t="s">
        <v>3613</v>
      </c>
      <c r="T328" s="2" t="s">
        <v>3614</v>
      </c>
      <c r="U328" s="2" t="s">
        <v>3615</v>
      </c>
      <c r="V328" s="23" t="s">
        <v>3616</v>
      </c>
      <c r="W328" s="24" t="s">
        <v>3617</v>
      </c>
      <c r="X328" s="23" t="s">
        <v>3618</v>
      </c>
      <c r="Y328" s="23" t="s">
        <v>3619</v>
      </c>
      <c r="Z328" s="23" t="s">
        <v>3620</v>
      </c>
      <c r="AA328" s="23" t="s">
        <v>3621</v>
      </c>
      <c r="AB328" s="8"/>
      <c r="AC328" s="8"/>
      <c r="AD328" s="8"/>
    </row>
    <row r="329" spans="1:30" ht="15.75" customHeight="1">
      <c r="A329" s="4" t="s">
        <v>647</v>
      </c>
      <c r="B329" s="5">
        <v>2402</v>
      </c>
      <c r="C329" s="6" t="s">
        <v>377</v>
      </c>
      <c r="D329" s="7">
        <v>2022467293</v>
      </c>
      <c r="E329" s="7">
        <v>2201010077</v>
      </c>
      <c r="F329" s="7" t="s">
        <v>1808</v>
      </c>
      <c r="G329" s="7" t="s">
        <v>13</v>
      </c>
      <c r="H329" s="6" t="s">
        <v>717</v>
      </c>
      <c r="I329" s="6" t="s">
        <v>2467</v>
      </c>
      <c r="J329" s="6" t="s">
        <v>2468</v>
      </c>
      <c r="K329" s="6" t="s">
        <v>15</v>
      </c>
      <c r="L329" s="6" t="s">
        <v>21</v>
      </c>
      <c r="M329" s="6" t="s">
        <v>149</v>
      </c>
      <c r="N329" s="7" t="s">
        <v>18</v>
      </c>
      <c r="O329" s="23" t="s">
        <v>3611</v>
      </c>
      <c r="R329" s="23" t="s">
        <v>3612</v>
      </c>
      <c r="S329" s="2" t="s">
        <v>3613</v>
      </c>
      <c r="T329" s="2" t="s">
        <v>3614</v>
      </c>
      <c r="U329" s="2" t="s">
        <v>3615</v>
      </c>
      <c r="V329" s="23" t="s">
        <v>3616</v>
      </c>
      <c r="W329" s="24" t="s">
        <v>3617</v>
      </c>
      <c r="X329" s="23" t="s">
        <v>3618</v>
      </c>
      <c r="Y329" s="23" t="s">
        <v>3619</v>
      </c>
      <c r="Z329" s="23" t="s">
        <v>3620</v>
      </c>
      <c r="AA329" s="23" t="s">
        <v>3621</v>
      </c>
      <c r="AB329" s="8"/>
      <c r="AC329" s="8"/>
      <c r="AD329" s="8"/>
    </row>
    <row r="330" spans="1:30" ht="15.75" customHeight="1">
      <c r="A330" s="4" t="s">
        <v>647</v>
      </c>
      <c r="B330" s="5">
        <v>2402</v>
      </c>
      <c r="C330" s="6" t="s">
        <v>682</v>
      </c>
      <c r="D330" s="7">
        <v>2022004659</v>
      </c>
      <c r="E330" s="7">
        <v>2201010079</v>
      </c>
      <c r="F330" s="7" t="s">
        <v>1808</v>
      </c>
      <c r="G330" s="7" t="s">
        <v>13</v>
      </c>
      <c r="H330" s="6" t="s">
        <v>683</v>
      </c>
      <c r="I330" s="6" t="s">
        <v>2469</v>
      </c>
      <c r="J330" s="6" t="s">
        <v>2470</v>
      </c>
      <c r="K330" s="6" t="s">
        <v>15</v>
      </c>
      <c r="L330" s="6" t="e">
        <v>#N/A</v>
      </c>
      <c r="M330" s="6" t="e">
        <v>#N/A</v>
      </c>
      <c r="N330" s="7" t="e">
        <v>#N/A</v>
      </c>
      <c r="O330" s="23" t="s">
        <v>3611</v>
      </c>
      <c r="R330" s="23" t="s">
        <v>3612</v>
      </c>
      <c r="S330" s="2" t="s">
        <v>3613</v>
      </c>
      <c r="T330" s="2" t="s">
        <v>3614</v>
      </c>
      <c r="U330" s="2" t="s">
        <v>3615</v>
      </c>
      <c r="V330" s="23" t="s">
        <v>3616</v>
      </c>
      <c r="W330" s="24" t="s">
        <v>3617</v>
      </c>
      <c r="X330" s="23" t="s">
        <v>3618</v>
      </c>
      <c r="Y330" s="23" t="s">
        <v>3619</v>
      </c>
      <c r="Z330" s="23" t="s">
        <v>3620</v>
      </c>
      <c r="AA330" s="23" t="s">
        <v>3621</v>
      </c>
      <c r="AB330" s="8"/>
      <c r="AC330" s="8"/>
      <c r="AD330" s="8"/>
    </row>
    <row r="331" spans="1:30" ht="15.75" customHeight="1">
      <c r="A331" s="4" t="s">
        <v>647</v>
      </c>
      <c r="B331" s="5">
        <v>2402</v>
      </c>
      <c r="C331" s="6" t="s">
        <v>654</v>
      </c>
      <c r="D331" s="7">
        <v>2022000245</v>
      </c>
      <c r="E331" s="7">
        <v>2201010098</v>
      </c>
      <c r="F331" s="7" t="s">
        <v>1808</v>
      </c>
      <c r="G331" s="7" t="s">
        <v>13</v>
      </c>
      <c r="H331" s="6" t="s">
        <v>655</v>
      </c>
      <c r="I331" s="6" t="s">
        <v>2471</v>
      </c>
      <c r="J331" s="6" t="s">
        <v>2472</v>
      </c>
      <c r="K331" s="6" t="s">
        <v>15</v>
      </c>
      <c r="L331" s="6" t="s">
        <v>21</v>
      </c>
      <c r="M331" s="6" t="s">
        <v>49</v>
      </c>
      <c r="N331" s="7" t="s">
        <v>18</v>
      </c>
      <c r="O331" s="23" t="s">
        <v>3611</v>
      </c>
      <c r="R331" s="23" t="s">
        <v>3612</v>
      </c>
      <c r="S331" s="2" t="s">
        <v>3613</v>
      </c>
      <c r="T331" s="2" t="s">
        <v>3614</v>
      </c>
      <c r="U331" s="2" t="s">
        <v>3615</v>
      </c>
      <c r="V331" s="23" t="s">
        <v>3616</v>
      </c>
      <c r="W331" s="24" t="s">
        <v>3617</v>
      </c>
      <c r="X331" s="23" t="s">
        <v>3618</v>
      </c>
      <c r="Y331" s="23" t="s">
        <v>3619</v>
      </c>
      <c r="Z331" s="23" t="s">
        <v>3620</v>
      </c>
      <c r="AA331" s="23" t="s">
        <v>3621</v>
      </c>
      <c r="AB331" s="8"/>
      <c r="AC331" s="8"/>
      <c r="AD331" s="8"/>
    </row>
    <row r="332" spans="1:30" ht="15.75" customHeight="1">
      <c r="A332" s="4" t="s">
        <v>647</v>
      </c>
      <c r="B332" s="5">
        <v>2402</v>
      </c>
      <c r="C332" s="6" t="s">
        <v>734</v>
      </c>
      <c r="D332" s="7">
        <v>2022577356</v>
      </c>
      <c r="E332" s="7">
        <v>2201010103</v>
      </c>
      <c r="F332" s="7" t="s">
        <v>1808</v>
      </c>
      <c r="G332" s="7" t="s">
        <v>13</v>
      </c>
      <c r="H332" s="6" t="s">
        <v>735</v>
      </c>
      <c r="I332" s="6" t="s">
        <v>2473</v>
      </c>
      <c r="J332" s="6" t="s">
        <v>2474</v>
      </c>
      <c r="K332" s="6" t="s">
        <v>15</v>
      </c>
      <c r="L332" s="6" t="s">
        <v>21</v>
      </c>
      <c r="M332" s="6" t="s">
        <v>149</v>
      </c>
      <c r="N332" s="7" t="s">
        <v>18</v>
      </c>
      <c r="O332" s="23" t="s">
        <v>3611</v>
      </c>
      <c r="R332" s="23" t="s">
        <v>3612</v>
      </c>
      <c r="S332" s="2" t="s">
        <v>3613</v>
      </c>
      <c r="T332" s="2" t="s">
        <v>3614</v>
      </c>
      <c r="U332" s="2" t="s">
        <v>3615</v>
      </c>
      <c r="V332" s="23" t="s">
        <v>3616</v>
      </c>
      <c r="W332" s="24" t="s">
        <v>3617</v>
      </c>
      <c r="X332" s="23" t="s">
        <v>3618</v>
      </c>
      <c r="Y332" s="23" t="s">
        <v>3619</v>
      </c>
      <c r="Z332" s="23" t="s">
        <v>3620</v>
      </c>
      <c r="AA332" s="23" t="s">
        <v>3621</v>
      </c>
      <c r="AB332" s="8"/>
      <c r="AC332" s="8"/>
      <c r="AD332" s="8"/>
    </row>
    <row r="333" spans="1:30" ht="15.75" customHeight="1">
      <c r="A333" s="4" t="s">
        <v>647</v>
      </c>
      <c r="B333" s="5">
        <v>2402</v>
      </c>
      <c r="C333" s="6" t="s">
        <v>709</v>
      </c>
      <c r="D333" s="7">
        <v>2022434340</v>
      </c>
      <c r="E333" s="7">
        <v>2201010159</v>
      </c>
      <c r="F333" s="7" t="s">
        <v>1808</v>
      </c>
      <c r="G333" s="7" t="s">
        <v>13</v>
      </c>
      <c r="H333" s="6" t="s">
        <v>710</v>
      </c>
      <c r="I333" s="6" t="s">
        <v>2475</v>
      </c>
      <c r="J333" s="6" t="s">
        <v>2476</v>
      </c>
      <c r="K333" s="6" t="s">
        <v>15</v>
      </c>
      <c r="L333" s="6" t="s">
        <v>21</v>
      </c>
      <c r="M333" s="6" t="s">
        <v>17</v>
      </c>
      <c r="N333" s="7" t="s">
        <v>18</v>
      </c>
      <c r="O333" s="23" t="s">
        <v>3611</v>
      </c>
      <c r="R333" s="23" t="s">
        <v>3612</v>
      </c>
      <c r="S333" s="2" t="s">
        <v>3613</v>
      </c>
      <c r="T333" s="2" t="s">
        <v>3614</v>
      </c>
      <c r="U333" s="2" t="s">
        <v>3615</v>
      </c>
      <c r="V333" s="23" t="s">
        <v>3616</v>
      </c>
      <c r="W333" s="24" t="s">
        <v>3617</v>
      </c>
      <c r="X333" s="23" t="s">
        <v>3618</v>
      </c>
      <c r="Y333" s="23" t="s">
        <v>3619</v>
      </c>
      <c r="Z333" s="23" t="s">
        <v>3620</v>
      </c>
      <c r="AA333" s="23" t="s">
        <v>3621</v>
      </c>
      <c r="AB333" s="8"/>
      <c r="AC333" s="8"/>
      <c r="AD333" s="8"/>
    </row>
    <row r="334" spans="1:30" ht="15.75" customHeight="1">
      <c r="A334" s="4" t="s">
        <v>647</v>
      </c>
      <c r="B334" s="5">
        <v>2402</v>
      </c>
      <c r="C334" s="6" t="s">
        <v>743</v>
      </c>
      <c r="D334" s="7">
        <v>2022820872</v>
      </c>
      <c r="E334" s="7">
        <v>2201010182</v>
      </c>
      <c r="F334" s="7" t="s">
        <v>1808</v>
      </c>
      <c r="G334" s="7" t="s">
        <v>13</v>
      </c>
      <c r="H334" s="6" t="s">
        <v>744</v>
      </c>
      <c r="I334" s="6" t="s">
        <v>2477</v>
      </c>
      <c r="J334" s="6" t="s">
        <v>2478</v>
      </c>
      <c r="K334" s="6" t="s">
        <v>15</v>
      </c>
      <c r="L334" s="6" t="s">
        <v>21</v>
      </c>
      <c r="M334" s="6" t="s">
        <v>16</v>
      </c>
      <c r="N334" s="7" t="s">
        <v>18</v>
      </c>
      <c r="O334" s="23" t="s">
        <v>3611</v>
      </c>
      <c r="R334" s="23" t="s">
        <v>3612</v>
      </c>
      <c r="S334" s="2" t="s">
        <v>3613</v>
      </c>
      <c r="T334" s="2" t="s">
        <v>3614</v>
      </c>
      <c r="U334" s="2" t="s">
        <v>3615</v>
      </c>
      <c r="V334" s="23" t="s">
        <v>3616</v>
      </c>
      <c r="W334" s="24" t="s">
        <v>3617</v>
      </c>
      <c r="X334" s="23" t="s">
        <v>3618</v>
      </c>
      <c r="Y334" s="23" t="s">
        <v>3619</v>
      </c>
      <c r="Z334" s="23" t="s">
        <v>3620</v>
      </c>
      <c r="AA334" s="23" t="s">
        <v>3621</v>
      </c>
      <c r="AB334" s="8"/>
      <c r="AC334" s="8"/>
      <c r="AD334" s="8"/>
    </row>
    <row r="335" spans="1:30" ht="15.75" customHeight="1">
      <c r="A335" s="4" t="s">
        <v>647</v>
      </c>
      <c r="B335" s="5">
        <v>2402</v>
      </c>
      <c r="C335" s="6" t="s">
        <v>689</v>
      </c>
      <c r="D335" s="7">
        <v>2022007055</v>
      </c>
      <c r="E335" s="7">
        <v>2201010187</v>
      </c>
      <c r="F335" s="7" t="s">
        <v>1808</v>
      </c>
      <c r="G335" s="7" t="s">
        <v>13</v>
      </c>
      <c r="H335" s="6" t="s">
        <v>690</v>
      </c>
      <c r="I335" s="6" t="s">
        <v>2479</v>
      </c>
      <c r="J335" s="6" t="s">
        <v>2480</v>
      </c>
      <c r="K335" s="6" t="s">
        <v>15</v>
      </c>
      <c r="L335" s="6" t="s">
        <v>21</v>
      </c>
      <c r="M335" s="6" t="s">
        <v>17</v>
      </c>
      <c r="N335" s="7" t="s">
        <v>18</v>
      </c>
      <c r="O335" s="23" t="s">
        <v>3611</v>
      </c>
      <c r="R335" s="23" t="s">
        <v>3612</v>
      </c>
      <c r="S335" s="2" t="s">
        <v>3613</v>
      </c>
      <c r="T335" s="2" t="s">
        <v>3614</v>
      </c>
      <c r="U335" s="2" t="s">
        <v>3615</v>
      </c>
      <c r="V335" s="23" t="s">
        <v>3616</v>
      </c>
      <c r="W335" s="24" t="s">
        <v>3617</v>
      </c>
      <c r="X335" s="23" t="s">
        <v>3618</v>
      </c>
      <c r="Y335" s="23" t="s">
        <v>3619</v>
      </c>
      <c r="Z335" s="23" t="s">
        <v>3620</v>
      </c>
      <c r="AA335" s="23" t="s">
        <v>3621</v>
      </c>
      <c r="AB335" s="8"/>
      <c r="AC335" s="8"/>
      <c r="AD335" s="8"/>
    </row>
    <row r="336" spans="1:30" ht="15.75" customHeight="1">
      <c r="A336" s="4" t="s">
        <v>647</v>
      </c>
      <c r="B336" s="5">
        <v>2402</v>
      </c>
      <c r="C336" s="6" t="s">
        <v>693</v>
      </c>
      <c r="D336" s="7">
        <v>2022007141</v>
      </c>
      <c r="E336" s="7">
        <v>2201010196</v>
      </c>
      <c r="F336" s="7" t="s">
        <v>1808</v>
      </c>
      <c r="G336" s="7" t="s">
        <v>13</v>
      </c>
      <c r="H336" s="6" t="s">
        <v>694</v>
      </c>
      <c r="I336" s="6" t="s">
        <v>2481</v>
      </c>
      <c r="J336" s="6" t="s">
        <v>2482</v>
      </c>
      <c r="K336" s="6" t="s">
        <v>15</v>
      </c>
      <c r="L336" s="6" t="s">
        <v>149</v>
      </c>
      <c r="M336" s="6" t="s">
        <v>104</v>
      </c>
      <c r="N336" s="7" t="s">
        <v>18</v>
      </c>
      <c r="O336" s="23" t="s">
        <v>3611</v>
      </c>
      <c r="R336" s="23" t="s">
        <v>3612</v>
      </c>
      <c r="S336" s="2" t="s">
        <v>3613</v>
      </c>
      <c r="T336" s="2" t="s">
        <v>3614</v>
      </c>
      <c r="U336" s="2" t="s">
        <v>3615</v>
      </c>
      <c r="V336" s="23" t="s">
        <v>3616</v>
      </c>
      <c r="W336" s="24" t="s">
        <v>3617</v>
      </c>
      <c r="X336" s="23" t="s">
        <v>3618</v>
      </c>
      <c r="Y336" s="23" t="s">
        <v>3619</v>
      </c>
      <c r="Z336" s="23" t="s">
        <v>3620</v>
      </c>
      <c r="AA336" s="23" t="s">
        <v>3621</v>
      </c>
      <c r="AB336" s="8"/>
      <c r="AC336" s="8"/>
      <c r="AD336" s="8"/>
    </row>
    <row r="337" spans="1:30" ht="15.75" customHeight="1">
      <c r="A337" s="4" t="s">
        <v>647</v>
      </c>
      <c r="B337" s="5">
        <v>2402</v>
      </c>
      <c r="C337" s="6" t="s">
        <v>749</v>
      </c>
      <c r="D337" s="7">
        <v>2022833385</v>
      </c>
      <c r="E337" s="7">
        <v>2201010199</v>
      </c>
      <c r="F337" s="7" t="s">
        <v>1808</v>
      </c>
      <c r="G337" s="7" t="s">
        <v>13</v>
      </c>
      <c r="H337" s="6" t="s">
        <v>750</v>
      </c>
      <c r="I337" s="6" t="s">
        <v>2483</v>
      </c>
      <c r="J337" s="6" t="s">
        <v>2484</v>
      </c>
      <c r="K337" s="6" t="s">
        <v>15</v>
      </c>
      <c r="L337" s="6" t="e">
        <v>#N/A</v>
      </c>
      <c r="M337" s="6" t="e">
        <v>#N/A</v>
      </c>
      <c r="N337" s="7" t="e">
        <v>#N/A</v>
      </c>
      <c r="O337" s="23" t="s">
        <v>3611</v>
      </c>
      <c r="R337" s="23" t="s">
        <v>3612</v>
      </c>
      <c r="S337" s="2" t="s">
        <v>3613</v>
      </c>
      <c r="T337" s="2" t="s">
        <v>3614</v>
      </c>
      <c r="U337" s="2" t="s">
        <v>3615</v>
      </c>
      <c r="V337" s="23" t="s">
        <v>3616</v>
      </c>
      <c r="W337" s="24" t="s">
        <v>3617</v>
      </c>
      <c r="X337" s="23" t="s">
        <v>3618</v>
      </c>
      <c r="Y337" s="23" t="s">
        <v>3619</v>
      </c>
      <c r="Z337" s="23" t="s">
        <v>3620</v>
      </c>
      <c r="AA337" s="23" t="s">
        <v>3621</v>
      </c>
      <c r="AB337" s="8"/>
      <c r="AC337" s="8"/>
      <c r="AD337" s="8"/>
    </row>
    <row r="338" spans="1:30" ht="15.75" customHeight="1">
      <c r="A338" s="4" t="s">
        <v>647</v>
      </c>
      <c r="B338" s="5">
        <v>2402</v>
      </c>
      <c r="C338" s="6" t="s">
        <v>680</v>
      </c>
      <c r="D338" s="7">
        <v>2022004342</v>
      </c>
      <c r="E338" s="7">
        <v>2201010217</v>
      </c>
      <c r="F338" s="7" t="s">
        <v>1808</v>
      </c>
      <c r="G338" s="7" t="s">
        <v>13</v>
      </c>
      <c r="H338" s="6" t="s">
        <v>681</v>
      </c>
      <c r="I338" s="6" t="s">
        <v>2485</v>
      </c>
      <c r="J338" s="6" t="s">
        <v>2486</v>
      </c>
      <c r="K338" s="6" t="s">
        <v>15</v>
      </c>
      <c r="L338" s="6" t="s">
        <v>21</v>
      </c>
      <c r="M338" s="6" t="s">
        <v>17</v>
      </c>
      <c r="N338" s="7" t="s">
        <v>18</v>
      </c>
      <c r="O338" s="23" t="s">
        <v>3611</v>
      </c>
      <c r="R338" s="23" t="s">
        <v>3612</v>
      </c>
      <c r="S338" s="2" t="s">
        <v>3613</v>
      </c>
      <c r="T338" s="2" t="s">
        <v>3614</v>
      </c>
      <c r="U338" s="2" t="s">
        <v>3615</v>
      </c>
      <c r="V338" s="23" t="s">
        <v>3616</v>
      </c>
      <c r="W338" s="24" t="s">
        <v>3617</v>
      </c>
      <c r="X338" s="23" t="s">
        <v>3618</v>
      </c>
      <c r="Y338" s="23" t="s">
        <v>3619</v>
      </c>
      <c r="Z338" s="23" t="s">
        <v>3620</v>
      </c>
      <c r="AA338" s="23" t="s">
        <v>3621</v>
      </c>
      <c r="AB338" s="8"/>
      <c r="AC338" s="8"/>
      <c r="AD338" s="8"/>
    </row>
    <row r="339" spans="1:30" ht="15.75" customHeight="1">
      <c r="A339" s="4" t="s">
        <v>647</v>
      </c>
      <c r="B339" s="5">
        <v>2402</v>
      </c>
      <c r="C339" s="6" t="s">
        <v>741</v>
      </c>
      <c r="D339" s="7">
        <v>2022816874</v>
      </c>
      <c r="E339" s="7">
        <v>2201010252</v>
      </c>
      <c r="F339" s="7" t="s">
        <v>1808</v>
      </c>
      <c r="G339" s="7" t="s">
        <v>13</v>
      </c>
      <c r="H339" s="6" t="s">
        <v>742</v>
      </c>
      <c r="I339" s="6" t="s">
        <v>2487</v>
      </c>
      <c r="J339" s="6" t="s">
        <v>2488</v>
      </c>
      <c r="K339" s="6" t="s">
        <v>15</v>
      </c>
      <c r="L339" s="6" t="s">
        <v>17</v>
      </c>
      <c r="M339" s="6" t="s">
        <v>117</v>
      </c>
      <c r="N339" s="7" t="s">
        <v>18</v>
      </c>
      <c r="O339" s="23" t="s">
        <v>3611</v>
      </c>
      <c r="R339" s="23" t="s">
        <v>3612</v>
      </c>
      <c r="S339" s="2" t="s">
        <v>3613</v>
      </c>
      <c r="T339" s="2" t="s">
        <v>3614</v>
      </c>
      <c r="U339" s="2" t="s">
        <v>3615</v>
      </c>
      <c r="V339" s="23" t="s">
        <v>3616</v>
      </c>
      <c r="W339" s="24" t="s">
        <v>3617</v>
      </c>
      <c r="X339" s="23" t="s">
        <v>3618</v>
      </c>
      <c r="Y339" s="23" t="s">
        <v>3619</v>
      </c>
      <c r="Z339" s="23" t="s">
        <v>3620</v>
      </c>
      <c r="AA339" s="23" t="s">
        <v>3621</v>
      </c>
      <c r="AB339" s="8"/>
      <c r="AC339" s="8"/>
      <c r="AD339" s="8"/>
    </row>
    <row r="340" spans="1:30" ht="15.75" customHeight="1">
      <c r="A340" s="4" t="s">
        <v>647</v>
      </c>
      <c r="B340" s="5">
        <v>2402</v>
      </c>
      <c r="C340" s="6" t="s">
        <v>755</v>
      </c>
      <c r="D340" s="7">
        <v>2022007202</v>
      </c>
      <c r="E340" s="7">
        <v>2201010254</v>
      </c>
      <c r="F340" s="7" t="s">
        <v>1808</v>
      </c>
      <c r="G340" s="7" t="s">
        <v>13</v>
      </c>
      <c r="H340" s="6" t="s">
        <v>756</v>
      </c>
      <c r="I340" s="6" t="s">
        <v>2489</v>
      </c>
      <c r="J340" s="6" t="s">
        <v>2490</v>
      </c>
      <c r="K340" s="6" t="s">
        <v>15</v>
      </c>
      <c r="L340" s="6" t="s">
        <v>149</v>
      </c>
      <c r="M340" s="6" t="s">
        <v>21</v>
      </c>
      <c r="N340" s="7" t="s">
        <v>18</v>
      </c>
      <c r="O340" s="23" t="s">
        <v>3611</v>
      </c>
      <c r="R340" s="23" t="s">
        <v>3612</v>
      </c>
      <c r="S340" s="2" t="s">
        <v>3613</v>
      </c>
      <c r="T340" s="2" t="s">
        <v>3614</v>
      </c>
      <c r="U340" s="2" t="s">
        <v>3615</v>
      </c>
      <c r="V340" s="23" t="s">
        <v>3616</v>
      </c>
      <c r="W340" s="24" t="s">
        <v>3617</v>
      </c>
      <c r="X340" s="23" t="s">
        <v>3618</v>
      </c>
      <c r="Y340" s="23" t="s">
        <v>3619</v>
      </c>
      <c r="Z340" s="23" t="s">
        <v>3620</v>
      </c>
      <c r="AA340" s="23" t="s">
        <v>3621</v>
      </c>
      <c r="AB340" s="8"/>
      <c r="AC340" s="8"/>
      <c r="AD340" s="8"/>
    </row>
    <row r="341" spans="1:30" ht="15.75" customHeight="1">
      <c r="A341" s="4" t="s">
        <v>647</v>
      </c>
      <c r="B341" s="5">
        <v>2402</v>
      </c>
      <c r="C341" s="6" t="s">
        <v>730</v>
      </c>
      <c r="D341" s="7">
        <v>2022574196</v>
      </c>
      <c r="E341" s="7">
        <v>2201010266</v>
      </c>
      <c r="F341" s="7" t="s">
        <v>1808</v>
      </c>
      <c r="G341" s="7" t="s">
        <v>13</v>
      </c>
      <c r="H341" s="6" t="s">
        <v>731</v>
      </c>
      <c r="I341" s="6" t="s">
        <v>2491</v>
      </c>
      <c r="J341" s="6" t="s">
        <v>2492</v>
      </c>
      <c r="K341" s="6" t="s">
        <v>15</v>
      </c>
      <c r="L341" s="6" t="s">
        <v>21</v>
      </c>
      <c r="M341" s="6" t="s">
        <v>17</v>
      </c>
      <c r="N341" s="7" t="s">
        <v>18</v>
      </c>
      <c r="O341" s="23" t="s">
        <v>3611</v>
      </c>
      <c r="R341" s="23" t="s">
        <v>3612</v>
      </c>
      <c r="S341" s="2" t="s">
        <v>3613</v>
      </c>
      <c r="T341" s="2" t="s">
        <v>3614</v>
      </c>
      <c r="U341" s="2" t="s">
        <v>3615</v>
      </c>
      <c r="V341" s="23" t="s">
        <v>3616</v>
      </c>
      <c r="W341" s="24" t="s">
        <v>3617</v>
      </c>
      <c r="X341" s="23" t="s">
        <v>3618</v>
      </c>
      <c r="Y341" s="23" t="s">
        <v>3619</v>
      </c>
      <c r="Z341" s="23" t="s">
        <v>3620</v>
      </c>
      <c r="AA341" s="23" t="s">
        <v>3621</v>
      </c>
      <c r="AB341" s="8"/>
      <c r="AC341" s="8"/>
      <c r="AD341" s="8"/>
    </row>
    <row r="342" spans="1:30" ht="15.75" customHeight="1">
      <c r="A342" s="4" t="s">
        <v>647</v>
      </c>
      <c r="B342" s="5">
        <v>2402</v>
      </c>
      <c r="C342" s="6" t="s">
        <v>727</v>
      </c>
      <c r="D342" s="7">
        <v>2022552969</v>
      </c>
      <c r="E342" s="7">
        <v>2201010299</v>
      </c>
      <c r="F342" s="7" t="s">
        <v>1808</v>
      </c>
      <c r="G342" s="7" t="s">
        <v>13</v>
      </c>
      <c r="H342" s="6" t="s">
        <v>728</v>
      </c>
      <c r="I342" s="6" t="s">
        <v>2493</v>
      </c>
      <c r="J342" s="6" t="s">
        <v>2494</v>
      </c>
      <c r="K342" s="6" t="s">
        <v>15</v>
      </c>
      <c r="L342" s="6" t="s">
        <v>26</v>
      </c>
      <c r="M342" s="6" t="s">
        <v>21</v>
      </c>
      <c r="N342" s="7" t="s">
        <v>18</v>
      </c>
      <c r="O342" s="23" t="s">
        <v>3611</v>
      </c>
      <c r="R342" s="23" t="s">
        <v>3612</v>
      </c>
      <c r="S342" s="2" t="s">
        <v>3613</v>
      </c>
      <c r="T342" s="2" t="s">
        <v>3614</v>
      </c>
      <c r="U342" s="2" t="s">
        <v>3615</v>
      </c>
      <c r="V342" s="23" t="s">
        <v>3616</v>
      </c>
      <c r="W342" s="24" t="s">
        <v>3617</v>
      </c>
      <c r="X342" s="23" t="s">
        <v>3618</v>
      </c>
      <c r="Y342" s="23" t="s">
        <v>3619</v>
      </c>
      <c r="Z342" s="23" t="s">
        <v>3620</v>
      </c>
      <c r="AA342" s="23" t="s">
        <v>3621</v>
      </c>
      <c r="AB342" s="8"/>
      <c r="AC342" s="8"/>
      <c r="AD342" s="8"/>
    </row>
    <row r="343" spans="1:30" ht="15.75" customHeight="1">
      <c r="A343" s="4" t="s">
        <v>647</v>
      </c>
      <c r="B343" s="5">
        <v>2402</v>
      </c>
      <c r="C343" s="6" t="s">
        <v>652</v>
      </c>
      <c r="D343" s="7">
        <v>2022561995</v>
      </c>
      <c r="E343" s="7">
        <v>2201010300</v>
      </c>
      <c r="F343" s="7" t="s">
        <v>1808</v>
      </c>
      <c r="G343" s="7" t="s">
        <v>13</v>
      </c>
      <c r="H343" s="6" t="s">
        <v>653</v>
      </c>
      <c r="I343" s="6" t="s">
        <v>2495</v>
      </c>
      <c r="J343" s="6" t="s">
        <v>2496</v>
      </c>
      <c r="K343" s="6" t="s">
        <v>15</v>
      </c>
      <c r="L343" s="6" t="s">
        <v>21</v>
      </c>
      <c r="M343" s="6" t="s">
        <v>104</v>
      </c>
      <c r="N343" s="7" t="s">
        <v>18</v>
      </c>
      <c r="O343" s="23" t="s">
        <v>3611</v>
      </c>
      <c r="R343" s="23" t="s">
        <v>3612</v>
      </c>
      <c r="S343" s="2" t="s">
        <v>3613</v>
      </c>
      <c r="T343" s="2" t="s">
        <v>3614</v>
      </c>
      <c r="U343" s="2" t="s">
        <v>3615</v>
      </c>
      <c r="V343" s="23" t="s">
        <v>3616</v>
      </c>
      <c r="W343" s="24" t="s">
        <v>3617</v>
      </c>
      <c r="X343" s="23" t="s">
        <v>3618</v>
      </c>
      <c r="Y343" s="23" t="s">
        <v>3619</v>
      </c>
      <c r="Z343" s="23" t="s">
        <v>3620</v>
      </c>
      <c r="AA343" s="23" t="s">
        <v>3621</v>
      </c>
      <c r="AB343" s="8"/>
      <c r="AC343" s="8"/>
      <c r="AD343" s="8"/>
    </row>
    <row r="344" spans="1:30" ht="15.75" customHeight="1">
      <c r="A344" s="4" t="s">
        <v>647</v>
      </c>
      <c r="B344" s="5">
        <v>2402</v>
      </c>
      <c r="C344" s="6" t="s">
        <v>658</v>
      </c>
      <c r="D344" s="7">
        <v>2022006870</v>
      </c>
      <c r="E344" s="7">
        <v>2201010310</v>
      </c>
      <c r="F344" s="7" t="s">
        <v>1808</v>
      </c>
      <c r="G344" s="7" t="s">
        <v>13</v>
      </c>
      <c r="H344" s="6" t="s">
        <v>659</v>
      </c>
      <c r="I344" s="6" t="s">
        <v>2497</v>
      </c>
      <c r="J344" s="6" t="s">
        <v>2498</v>
      </c>
      <c r="K344" s="6" t="s">
        <v>15</v>
      </c>
      <c r="L344" s="6" t="s">
        <v>21</v>
      </c>
      <c r="M344" s="6" t="s">
        <v>17</v>
      </c>
      <c r="N344" s="7" t="s">
        <v>18</v>
      </c>
      <c r="O344" s="23" t="s">
        <v>3611</v>
      </c>
      <c r="R344" s="23" t="s">
        <v>3612</v>
      </c>
      <c r="S344" s="2" t="s">
        <v>3613</v>
      </c>
      <c r="T344" s="2" t="s">
        <v>3614</v>
      </c>
      <c r="U344" s="2" t="s">
        <v>3615</v>
      </c>
      <c r="V344" s="23" t="s">
        <v>3616</v>
      </c>
      <c r="W344" s="24" t="s">
        <v>3617</v>
      </c>
      <c r="X344" s="23" t="s">
        <v>3618</v>
      </c>
      <c r="Y344" s="23" t="s">
        <v>3619</v>
      </c>
      <c r="Z344" s="23" t="s">
        <v>3620</v>
      </c>
      <c r="AA344" s="23" t="s">
        <v>3621</v>
      </c>
      <c r="AB344" s="8"/>
      <c r="AC344" s="8"/>
      <c r="AD344" s="8"/>
    </row>
    <row r="345" spans="1:30" ht="15.75" customHeight="1">
      <c r="A345" s="4" t="s">
        <v>647</v>
      </c>
      <c r="B345" s="5">
        <v>2402</v>
      </c>
      <c r="C345" s="6" t="s">
        <v>664</v>
      </c>
      <c r="D345" s="7">
        <v>2022444658</v>
      </c>
      <c r="E345" s="7">
        <v>2201010334</v>
      </c>
      <c r="F345" s="7" t="s">
        <v>1808</v>
      </c>
      <c r="G345" s="7" t="s">
        <v>13</v>
      </c>
      <c r="H345" s="6" t="s">
        <v>665</v>
      </c>
      <c r="I345" s="6" t="s">
        <v>2499</v>
      </c>
      <c r="J345" s="6" t="s">
        <v>2500</v>
      </c>
      <c r="K345" s="6" t="s">
        <v>15</v>
      </c>
      <c r="L345" s="6" t="s">
        <v>21</v>
      </c>
      <c r="M345" s="6" t="s">
        <v>17</v>
      </c>
      <c r="N345" s="7" t="s">
        <v>18</v>
      </c>
      <c r="O345" s="23" t="s">
        <v>3611</v>
      </c>
      <c r="R345" s="23" t="s">
        <v>3612</v>
      </c>
      <c r="S345" s="2" t="s">
        <v>3613</v>
      </c>
      <c r="T345" s="2" t="s">
        <v>3614</v>
      </c>
      <c r="U345" s="2" t="s">
        <v>3615</v>
      </c>
      <c r="V345" s="23" t="s">
        <v>3616</v>
      </c>
      <c r="W345" s="24" t="s">
        <v>3617</v>
      </c>
      <c r="X345" s="23" t="s">
        <v>3618</v>
      </c>
      <c r="Y345" s="23" t="s">
        <v>3619</v>
      </c>
      <c r="Z345" s="23" t="s">
        <v>3620</v>
      </c>
      <c r="AA345" s="23" t="s">
        <v>3621</v>
      </c>
      <c r="AB345" s="8"/>
      <c r="AC345" s="8"/>
      <c r="AD345" s="8"/>
    </row>
    <row r="346" spans="1:30" ht="15.75" customHeight="1">
      <c r="A346" s="4" t="s">
        <v>647</v>
      </c>
      <c r="B346" s="5">
        <v>2402</v>
      </c>
      <c r="C346" s="6" t="s">
        <v>672</v>
      </c>
      <c r="D346" s="7">
        <v>2022540866</v>
      </c>
      <c r="E346" s="7">
        <v>2201010382</v>
      </c>
      <c r="F346" s="7" t="s">
        <v>1808</v>
      </c>
      <c r="G346" s="7" t="s">
        <v>13</v>
      </c>
      <c r="H346" s="6" t="s">
        <v>673</v>
      </c>
      <c r="I346" s="6" t="s">
        <v>2501</v>
      </c>
      <c r="J346" s="6" t="s">
        <v>2502</v>
      </c>
      <c r="K346" s="6" t="s">
        <v>15</v>
      </c>
      <c r="L346" s="6" t="s">
        <v>21</v>
      </c>
      <c r="M346" s="6" t="s">
        <v>21</v>
      </c>
      <c r="N346" s="7" t="s">
        <v>174</v>
      </c>
      <c r="O346" s="23" t="s">
        <v>3611</v>
      </c>
      <c r="R346" s="23" t="s">
        <v>3612</v>
      </c>
      <c r="S346" s="2" t="s">
        <v>3613</v>
      </c>
      <c r="T346" s="2" t="s">
        <v>3614</v>
      </c>
      <c r="U346" s="2" t="s">
        <v>3615</v>
      </c>
      <c r="V346" s="23" t="s">
        <v>3616</v>
      </c>
      <c r="W346" s="24" t="s">
        <v>3617</v>
      </c>
      <c r="X346" s="23" t="s">
        <v>3618</v>
      </c>
      <c r="Y346" s="23" t="s">
        <v>3619</v>
      </c>
      <c r="Z346" s="23" t="s">
        <v>3620</v>
      </c>
      <c r="AA346" s="23" t="s">
        <v>3621</v>
      </c>
      <c r="AB346" s="8"/>
      <c r="AC346" s="8"/>
      <c r="AD346" s="8"/>
    </row>
    <row r="347" spans="1:30" ht="15.75" customHeight="1">
      <c r="A347" s="4" t="s">
        <v>647</v>
      </c>
      <c r="B347" s="5">
        <v>2402</v>
      </c>
      <c r="C347" s="6" t="s">
        <v>703</v>
      </c>
      <c r="D347" s="7">
        <v>2022309654</v>
      </c>
      <c r="E347" s="7">
        <v>2201010383</v>
      </c>
      <c r="F347" s="7" t="s">
        <v>1808</v>
      </c>
      <c r="G347" s="7" t="s">
        <v>13</v>
      </c>
      <c r="H347" s="6" t="s">
        <v>704</v>
      </c>
      <c r="I347" s="6" t="s">
        <v>2503</v>
      </c>
      <c r="J347" s="6" t="s">
        <v>2504</v>
      </c>
      <c r="K347" s="6" t="s">
        <v>15</v>
      </c>
      <c r="L347" s="6" t="s">
        <v>21</v>
      </c>
      <c r="M347" s="6" t="s">
        <v>104</v>
      </c>
      <c r="N347" s="7" t="s">
        <v>18</v>
      </c>
      <c r="O347" s="23" t="s">
        <v>3611</v>
      </c>
      <c r="R347" s="23" t="s">
        <v>3612</v>
      </c>
      <c r="S347" s="2" t="s">
        <v>3613</v>
      </c>
      <c r="T347" s="2" t="s">
        <v>3614</v>
      </c>
      <c r="U347" s="2" t="s">
        <v>3615</v>
      </c>
      <c r="V347" s="23" t="s">
        <v>3616</v>
      </c>
      <c r="W347" s="24" t="s">
        <v>3617</v>
      </c>
      <c r="X347" s="23" t="s">
        <v>3618</v>
      </c>
      <c r="Y347" s="23" t="s">
        <v>3619</v>
      </c>
      <c r="Z347" s="23" t="s">
        <v>3620</v>
      </c>
      <c r="AA347" s="23" t="s">
        <v>3621</v>
      </c>
      <c r="AB347" s="8"/>
      <c r="AC347" s="8"/>
      <c r="AD347" s="8"/>
    </row>
    <row r="348" spans="1:30" ht="15.75" customHeight="1">
      <c r="A348" s="4" t="s">
        <v>647</v>
      </c>
      <c r="B348" s="5">
        <v>2402</v>
      </c>
      <c r="C348" s="6" t="s">
        <v>763</v>
      </c>
      <c r="D348" s="7">
        <v>2022505407</v>
      </c>
      <c r="E348" s="7">
        <v>2201010387</v>
      </c>
      <c r="F348" s="7" t="s">
        <v>1808</v>
      </c>
      <c r="G348" s="7" t="s">
        <v>13</v>
      </c>
      <c r="H348" s="6" t="s">
        <v>764</v>
      </c>
      <c r="I348" s="6" t="s">
        <v>2505</v>
      </c>
      <c r="J348" s="6" t="s">
        <v>2506</v>
      </c>
      <c r="K348" s="6" t="s">
        <v>15</v>
      </c>
      <c r="L348" s="6" t="s">
        <v>21</v>
      </c>
      <c r="M348" s="6" t="s">
        <v>17</v>
      </c>
      <c r="N348" s="7" t="s">
        <v>18</v>
      </c>
      <c r="O348" s="23" t="s">
        <v>3611</v>
      </c>
      <c r="R348" s="23" t="s">
        <v>3612</v>
      </c>
      <c r="S348" s="2" t="s">
        <v>3613</v>
      </c>
      <c r="T348" s="2" t="s">
        <v>3614</v>
      </c>
      <c r="U348" s="2" t="s">
        <v>3615</v>
      </c>
      <c r="V348" s="23" t="s">
        <v>3616</v>
      </c>
      <c r="W348" s="24" t="s">
        <v>3617</v>
      </c>
      <c r="X348" s="23" t="s">
        <v>3618</v>
      </c>
      <c r="Y348" s="23" t="s">
        <v>3619</v>
      </c>
      <c r="Z348" s="23" t="s">
        <v>3620</v>
      </c>
      <c r="AA348" s="23" t="s">
        <v>3621</v>
      </c>
      <c r="AB348" s="8"/>
      <c r="AC348" s="8"/>
      <c r="AD348" s="8"/>
    </row>
    <row r="349" spans="1:30" ht="15.75" customHeight="1">
      <c r="A349" s="4" t="s">
        <v>647</v>
      </c>
      <c r="B349" s="5">
        <v>2402</v>
      </c>
      <c r="C349" s="6" t="s">
        <v>753</v>
      </c>
      <c r="D349" s="7">
        <v>2022836012</v>
      </c>
      <c r="E349" s="7">
        <v>2201010405</v>
      </c>
      <c r="F349" s="7" t="s">
        <v>1808</v>
      </c>
      <c r="G349" s="7" t="s">
        <v>13</v>
      </c>
      <c r="H349" s="6" t="s">
        <v>754</v>
      </c>
      <c r="I349" s="6" t="s">
        <v>2507</v>
      </c>
      <c r="J349" s="6" t="s">
        <v>2508</v>
      </c>
      <c r="K349" s="6" t="s">
        <v>15</v>
      </c>
      <c r="L349" s="6" t="s">
        <v>149</v>
      </c>
      <c r="M349" s="6" t="s">
        <v>17</v>
      </c>
      <c r="N349" s="7" t="s">
        <v>18</v>
      </c>
      <c r="O349" s="23" t="s">
        <v>3611</v>
      </c>
      <c r="R349" s="23" t="s">
        <v>3612</v>
      </c>
      <c r="S349" s="2" t="s">
        <v>3613</v>
      </c>
      <c r="T349" s="2" t="s">
        <v>3614</v>
      </c>
      <c r="U349" s="2" t="s">
        <v>3615</v>
      </c>
      <c r="V349" s="23" t="s">
        <v>3616</v>
      </c>
      <c r="W349" s="24" t="s">
        <v>3617</v>
      </c>
      <c r="X349" s="23" t="s">
        <v>3618</v>
      </c>
      <c r="Y349" s="23" t="s">
        <v>3619</v>
      </c>
      <c r="Z349" s="23" t="s">
        <v>3620</v>
      </c>
      <c r="AA349" s="23" t="s">
        <v>3621</v>
      </c>
      <c r="AB349" s="8"/>
      <c r="AC349" s="8"/>
      <c r="AD349" s="8"/>
    </row>
    <row r="350" spans="1:30" ht="15.75" customHeight="1">
      <c r="A350" s="4" t="s">
        <v>647</v>
      </c>
      <c r="B350" s="5">
        <v>2402</v>
      </c>
      <c r="C350" s="6" t="s">
        <v>745</v>
      </c>
      <c r="D350" s="7">
        <v>2022832103</v>
      </c>
      <c r="E350" s="7">
        <v>2201010413</v>
      </c>
      <c r="F350" s="7" t="s">
        <v>1808</v>
      </c>
      <c r="G350" s="7" t="s">
        <v>13</v>
      </c>
      <c r="H350" s="6" t="s">
        <v>746</v>
      </c>
      <c r="I350" s="6" t="s">
        <v>2509</v>
      </c>
      <c r="J350" s="6" t="s">
        <v>2510</v>
      </c>
      <c r="K350" s="6" t="s">
        <v>15</v>
      </c>
      <c r="L350" s="6" t="e">
        <v>#N/A</v>
      </c>
      <c r="M350" s="6" t="e">
        <v>#N/A</v>
      </c>
      <c r="N350" s="7" t="e">
        <v>#N/A</v>
      </c>
      <c r="O350" s="23" t="s">
        <v>3611</v>
      </c>
      <c r="R350" s="23" t="s">
        <v>3612</v>
      </c>
      <c r="S350" s="2" t="s">
        <v>3613</v>
      </c>
      <c r="T350" s="2" t="s">
        <v>3614</v>
      </c>
      <c r="U350" s="2" t="s">
        <v>3615</v>
      </c>
      <c r="V350" s="23" t="s">
        <v>3616</v>
      </c>
      <c r="W350" s="24" t="s">
        <v>3617</v>
      </c>
      <c r="X350" s="23" t="s">
        <v>3618</v>
      </c>
      <c r="Y350" s="23" t="s">
        <v>3619</v>
      </c>
      <c r="Z350" s="23" t="s">
        <v>3620</v>
      </c>
      <c r="AA350" s="23" t="s">
        <v>3621</v>
      </c>
      <c r="AB350" s="9"/>
      <c r="AC350" s="9"/>
      <c r="AD350" s="9"/>
    </row>
    <row r="351" spans="1:30" ht="15.75" customHeight="1">
      <c r="A351" s="4" t="s">
        <v>647</v>
      </c>
      <c r="B351" s="5">
        <v>2402</v>
      </c>
      <c r="C351" s="6" t="s">
        <v>668</v>
      </c>
      <c r="D351" s="7">
        <v>2022005063</v>
      </c>
      <c r="E351" s="7">
        <v>2201010420</v>
      </c>
      <c r="F351" s="7" t="s">
        <v>1808</v>
      </c>
      <c r="G351" s="7" t="s">
        <v>13</v>
      </c>
      <c r="H351" s="6" t="s">
        <v>669</v>
      </c>
      <c r="I351" s="6" t="s">
        <v>2511</v>
      </c>
      <c r="J351" s="6" t="s">
        <v>2512</v>
      </c>
      <c r="K351" s="6" t="s">
        <v>15</v>
      </c>
      <c r="L351" s="6" t="e">
        <v>#N/A</v>
      </c>
      <c r="M351" s="6" t="e">
        <v>#N/A</v>
      </c>
      <c r="N351" s="7" t="e">
        <v>#N/A</v>
      </c>
      <c r="O351" s="23" t="s">
        <v>3611</v>
      </c>
      <c r="R351" s="23" t="s">
        <v>3612</v>
      </c>
      <c r="S351" s="2" t="s">
        <v>3613</v>
      </c>
      <c r="T351" s="2" t="s">
        <v>3614</v>
      </c>
      <c r="U351" s="2" t="s">
        <v>3615</v>
      </c>
      <c r="V351" s="23" t="s">
        <v>3616</v>
      </c>
      <c r="W351" s="24" t="s">
        <v>3617</v>
      </c>
      <c r="X351" s="23" t="s">
        <v>3618</v>
      </c>
      <c r="Y351" s="23" t="s">
        <v>3619</v>
      </c>
      <c r="Z351" s="23" t="s">
        <v>3620</v>
      </c>
      <c r="AA351" s="23" t="s">
        <v>3621</v>
      </c>
      <c r="AB351" s="9"/>
      <c r="AC351" s="9"/>
      <c r="AD351" s="9"/>
    </row>
    <row r="352" spans="1:30" ht="15.75" customHeight="1">
      <c r="A352" s="4" t="s">
        <v>647</v>
      </c>
      <c r="B352" s="5">
        <v>2402</v>
      </c>
      <c r="C352" s="6" t="s">
        <v>676</v>
      </c>
      <c r="D352" s="7">
        <v>2022447440</v>
      </c>
      <c r="E352" s="7">
        <v>2201010432</v>
      </c>
      <c r="F352" s="7" t="s">
        <v>1808</v>
      </c>
      <c r="G352" s="7" t="s">
        <v>13</v>
      </c>
      <c r="H352" s="6" t="s">
        <v>677</v>
      </c>
      <c r="I352" s="6" t="s">
        <v>2513</v>
      </c>
      <c r="J352" s="6" t="s">
        <v>2514</v>
      </c>
      <c r="K352" s="6" t="s">
        <v>15</v>
      </c>
      <c r="L352" s="6" t="e">
        <v>#N/A</v>
      </c>
      <c r="M352" s="6" t="e">
        <v>#N/A</v>
      </c>
      <c r="N352" s="7" t="e">
        <v>#N/A</v>
      </c>
      <c r="O352" s="23" t="s">
        <v>3611</v>
      </c>
      <c r="R352" s="23" t="s">
        <v>3612</v>
      </c>
      <c r="S352" s="2" t="s">
        <v>3613</v>
      </c>
      <c r="T352" s="2" t="s">
        <v>3614</v>
      </c>
      <c r="U352" s="2" t="s">
        <v>3615</v>
      </c>
      <c r="V352" s="23" t="s">
        <v>3616</v>
      </c>
      <c r="W352" s="24" t="s">
        <v>3617</v>
      </c>
      <c r="X352" s="23" t="s">
        <v>3618</v>
      </c>
      <c r="Y352" s="23" t="s">
        <v>3619</v>
      </c>
      <c r="Z352" s="23" t="s">
        <v>3620</v>
      </c>
      <c r="AA352" s="23" t="s">
        <v>3621</v>
      </c>
      <c r="AB352" s="8"/>
      <c r="AC352" s="8"/>
      <c r="AD352" s="8"/>
    </row>
    <row r="353" spans="1:30" ht="15.75" customHeight="1">
      <c r="A353" s="4" t="s">
        <v>647</v>
      </c>
      <c r="B353" s="5">
        <v>2402</v>
      </c>
      <c r="C353" s="6" t="s">
        <v>747</v>
      </c>
      <c r="D353" s="7">
        <v>2022832236</v>
      </c>
      <c r="E353" s="7">
        <v>2201010443</v>
      </c>
      <c r="F353" s="7" t="s">
        <v>1808</v>
      </c>
      <c r="G353" s="7" t="s">
        <v>13</v>
      </c>
      <c r="H353" s="6" t="s">
        <v>748</v>
      </c>
      <c r="I353" s="6" t="s">
        <v>2515</v>
      </c>
      <c r="J353" s="6" t="s">
        <v>2516</v>
      </c>
      <c r="K353" s="6" t="s">
        <v>15</v>
      </c>
      <c r="L353" s="6" t="s">
        <v>149</v>
      </c>
      <c r="M353" s="6" t="s">
        <v>17</v>
      </c>
      <c r="N353" s="7" t="s">
        <v>18</v>
      </c>
      <c r="O353" s="23" t="s">
        <v>3611</v>
      </c>
      <c r="R353" s="23" t="s">
        <v>3612</v>
      </c>
      <c r="S353" s="2" t="s">
        <v>3613</v>
      </c>
      <c r="T353" s="2" t="s">
        <v>3614</v>
      </c>
      <c r="U353" s="2" t="s">
        <v>3615</v>
      </c>
      <c r="V353" s="23" t="s">
        <v>3616</v>
      </c>
      <c r="W353" s="24" t="s">
        <v>3617</v>
      </c>
      <c r="X353" s="23" t="s">
        <v>3618</v>
      </c>
      <c r="Y353" s="23" t="s">
        <v>3619</v>
      </c>
      <c r="Z353" s="23" t="s">
        <v>3620</v>
      </c>
      <c r="AA353" s="23" t="s">
        <v>3621</v>
      </c>
      <c r="AB353" s="8"/>
      <c r="AC353" s="8"/>
      <c r="AD353" s="8"/>
    </row>
    <row r="354" spans="1:30" ht="15.75" customHeight="1">
      <c r="A354" s="4" t="s">
        <v>647</v>
      </c>
      <c r="B354" s="5">
        <v>2402</v>
      </c>
      <c r="C354" s="6" t="s">
        <v>718</v>
      </c>
      <c r="D354" s="7">
        <v>2022472832</v>
      </c>
      <c r="E354" s="7">
        <v>2201010474</v>
      </c>
      <c r="F354" s="7" t="s">
        <v>1808</v>
      </c>
      <c r="G354" s="7" t="s">
        <v>13</v>
      </c>
      <c r="H354" s="6" t="s">
        <v>719</v>
      </c>
      <c r="I354" s="6" t="s">
        <v>2517</v>
      </c>
      <c r="J354" s="6" t="s">
        <v>2518</v>
      </c>
      <c r="K354" s="6" t="s">
        <v>15</v>
      </c>
      <c r="L354" s="6" t="s">
        <v>21</v>
      </c>
      <c r="M354" s="6" t="s">
        <v>21</v>
      </c>
      <c r="N354" s="7" t="s">
        <v>18</v>
      </c>
      <c r="O354" s="23" t="s">
        <v>3611</v>
      </c>
      <c r="R354" s="23" t="s">
        <v>3612</v>
      </c>
      <c r="S354" s="2" t="s">
        <v>3613</v>
      </c>
      <c r="T354" s="2" t="s">
        <v>3614</v>
      </c>
      <c r="U354" s="2" t="s">
        <v>3615</v>
      </c>
      <c r="V354" s="23" t="s">
        <v>3616</v>
      </c>
      <c r="W354" s="24" t="s">
        <v>3617</v>
      </c>
      <c r="X354" s="23" t="s">
        <v>3618</v>
      </c>
      <c r="Y354" s="23" t="s">
        <v>3619</v>
      </c>
      <c r="Z354" s="23" t="s">
        <v>3620</v>
      </c>
      <c r="AA354" s="23" t="s">
        <v>3621</v>
      </c>
      <c r="AB354" s="8"/>
      <c r="AC354" s="8"/>
      <c r="AD354" s="8"/>
    </row>
    <row r="355" spans="1:30" ht="15.75" customHeight="1">
      <c r="A355" s="4" t="s">
        <v>647</v>
      </c>
      <c r="B355" s="5">
        <v>2402</v>
      </c>
      <c r="C355" s="6" t="s">
        <v>707</v>
      </c>
      <c r="D355" s="7">
        <v>2022414180</v>
      </c>
      <c r="E355" s="7">
        <v>2201010476</v>
      </c>
      <c r="F355" s="7" t="s">
        <v>1808</v>
      </c>
      <c r="G355" s="7" t="s">
        <v>13</v>
      </c>
      <c r="H355" s="6" t="s">
        <v>708</v>
      </c>
      <c r="I355" s="6" t="s">
        <v>2519</v>
      </c>
      <c r="J355" s="6" t="s">
        <v>2520</v>
      </c>
      <c r="K355" s="6" t="s">
        <v>15</v>
      </c>
      <c r="L355" s="6" t="s">
        <v>21</v>
      </c>
      <c r="M355" s="6" t="s">
        <v>149</v>
      </c>
      <c r="N355" s="7" t="s">
        <v>18</v>
      </c>
      <c r="O355" s="23" t="s">
        <v>3611</v>
      </c>
      <c r="R355" s="23" t="s">
        <v>3612</v>
      </c>
      <c r="S355" s="2" t="s">
        <v>3613</v>
      </c>
      <c r="T355" s="2" t="s">
        <v>3614</v>
      </c>
      <c r="U355" s="2" t="s">
        <v>3615</v>
      </c>
      <c r="V355" s="23" t="s">
        <v>3616</v>
      </c>
      <c r="W355" s="24" t="s">
        <v>3617</v>
      </c>
      <c r="X355" s="23" t="s">
        <v>3618</v>
      </c>
      <c r="Y355" s="23" t="s">
        <v>3619</v>
      </c>
      <c r="Z355" s="23" t="s">
        <v>3620</v>
      </c>
      <c r="AA355" s="23" t="s">
        <v>3621</v>
      </c>
      <c r="AB355" s="8"/>
      <c r="AC355" s="8"/>
      <c r="AD355" s="8"/>
    </row>
    <row r="356" spans="1:30" ht="15.75" customHeight="1">
      <c r="A356" s="4" t="s">
        <v>647</v>
      </c>
      <c r="B356" s="5">
        <v>2402</v>
      </c>
      <c r="C356" s="6" t="s">
        <v>713</v>
      </c>
      <c r="D356" s="7">
        <v>2022453096</v>
      </c>
      <c r="E356" s="7">
        <v>2201010510</v>
      </c>
      <c r="F356" s="7" t="s">
        <v>1808</v>
      </c>
      <c r="G356" s="7" t="s">
        <v>13</v>
      </c>
      <c r="H356" s="6" t="s">
        <v>714</v>
      </c>
      <c r="I356" s="6" t="s">
        <v>2521</v>
      </c>
      <c r="J356" s="6" t="s">
        <v>2522</v>
      </c>
      <c r="K356" s="6" t="s">
        <v>15</v>
      </c>
      <c r="L356" s="6" t="s">
        <v>149</v>
      </c>
      <c r="M356" s="6" t="s">
        <v>21</v>
      </c>
      <c r="N356" s="7" t="s">
        <v>18</v>
      </c>
      <c r="O356" s="23" t="s">
        <v>3611</v>
      </c>
      <c r="R356" s="23" t="s">
        <v>3612</v>
      </c>
      <c r="S356" s="2" t="s">
        <v>3613</v>
      </c>
      <c r="T356" s="2" t="s">
        <v>3614</v>
      </c>
      <c r="U356" s="2" t="s">
        <v>3615</v>
      </c>
      <c r="V356" s="23" t="s">
        <v>3616</v>
      </c>
      <c r="W356" s="24" t="s">
        <v>3617</v>
      </c>
      <c r="X356" s="23" t="s">
        <v>3618</v>
      </c>
      <c r="Y356" s="23" t="s">
        <v>3619</v>
      </c>
      <c r="Z356" s="23" t="s">
        <v>3620</v>
      </c>
      <c r="AA356" s="23" t="s">
        <v>3621</v>
      </c>
      <c r="AB356" s="8"/>
      <c r="AC356" s="8"/>
      <c r="AD356" s="8"/>
    </row>
    <row r="357" spans="1:30" ht="15.75" customHeight="1">
      <c r="A357" s="4" t="s">
        <v>647</v>
      </c>
      <c r="B357" s="5">
        <v>2402</v>
      </c>
      <c r="C357" s="6" t="s">
        <v>650</v>
      </c>
      <c r="D357" s="7">
        <v>2022528691</v>
      </c>
      <c r="E357" s="7">
        <v>2201010547</v>
      </c>
      <c r="F357" s="7" t="s">
        <v>1808</v>
      </c>
      <c r="G357" s="7" t="s">
        <v>13</v>
      </c>
      <c r="H357" s="6" t="s">
        <v>651</v>
      </c>
      <c r="I357" s="6" t="s">
        <v>2523</v>
      </c>
      <c r="J357" s="6" t="s">
        <v>2524</v>
      </c>
      <c r="K357" s="6" t="s">
        <v>15</v>
      </c>
      <c r="L357" s="6" t="s">
        <v>21</v>
      </c>
      <c r="M357" s="6" t="s">
        <v>104</v>
      </c>
      <c r="N357" s="7" t="s">
        <v>18</v>
      </c>
      <c r="O357" s="23" t="s">
        <v>3611</v>
      </c>
      <c r="R357" s="23" t="s">
        <v>3612</v>
      </c>
      <c r="S357" s="2" t="s">
        <v>3613</v>
      </c>
      <c r="T357" s="2" t="s">
        <v>3614</v>
      </c>
      <c r="U357" s="2" t="s">
        <v>3615</v>
      </c>
      <c r="V357" s="23" t="s">
        <v>3616</v>
      </c>
      <c r="W357" s="24" t="s">
        <v>3617</v>
      </c>
      <c r="X357" s="23" t="s">
        <v>3618</v>
      </c>
      <c r="Y357" s="23" t="s">
        <v>3619</v>
      </c>
      <c r="Z357" s="23" t="s">
        <v>3620</v>
      </c>
      <c r="AA357" s="23" t="s">
        <v>3621</v>
      </c>
      <c r="AB357" s="8"/>
      <c r="AC357" s="8"/>
      <c r="AD357" s="8"/>
    </row>
    <row r="358" spans="1:30" ht="15.75" customHeight="1">
      <c r="A358" s="4" t="s">
        <v>647</v>
      </c>
      <c r="B358" s="5">
        <v>2402</v>
      </c>
      <c r="C358" s="6" t="s">
        <v>715</v>
      </c>
      <c r="D358" s="7">
        <v>2022464792</v>
      </c>
      <c r="E358" s="7">
        <v>2201010557</v>
      </c>
      <c r="F358" s="7" t="s">
        <v>1808</v>
      </c>
      <c r="G358" s="7" t="s">
        <v>13</v>
      </c>
      <c r="H358" s="6" t="s">
        <v>716</v>
      </c>
      <c r="I358" s="6" t="s">
        <v>2525</v>
      </c>
      <c r="J358" s="6" t="s">
        <v>2526</v>
      </c>
      <c r="K358" s="6" t="s">
        <v>15</v>
      </c>
      <c r="L358" s="6" t="s">
        <v>149</v>
      </c>
      <c r="M358" s="6" t="s">
        <v>26</v>
      </c>
      <c r="N358" s="7" t="s">
        <v>18</v>
      </c>
      <c r="O358" s="23" t="s">
        <v>3611</v>
      </c>
      <c r="R358" s="23" t="s">
        <v>3612</v>
      </c>
      <c r="S358" s="2" t="s">
        <v>3613</v>
      </c>
      <c r="T358" s="2" t="s">
        <v>3614</v>
      </c>
      <c r="U358" s="2" t="s">
        <v>3615</v>
      </c>
      <c r="V358" s="23" t="s">
        <v>3616</v>
      </c>
      <c r="W358" s="24" t="s">
        <v>3617</v>
      </c>
      <c r="X358" s="23" t="s">
        <v>3618</v>
      </c>
      <c r="Y358" s="23" t="s">
        <v>3619</v>
      </c>
      <c r="Z358" s="23" t="s">
        <v>3620</v>
      </c>
      <c r="AA358" s="23" t="s">
        <v>3621</v>
      </c>
      <c r="AB358" s="8"/>
      <c r="AC358" s="8"/>
      <c r="AD358" s="8"/>
    </row>
    <row r="359" spans="1:30" ht="15.75" customHeight="1">
      <c r="A359" s="4" t="s">
        <v>647</v>
      </c>
      <c r="B359" s="5">
        <v>2402</v>
      </c>
      <c r="C359" s="6" t="s">
        <v>732</v>
      </c>
      <c r="D359" s="7">
        <v>2022576883</v>
      </c>
      <c r="E359" s="7">
        <v>2201010599</v>
      </c>
      <c r="F359" s="7" t="s">
        <v>1808</v>
      </c>
      <c r="G359" s="7" t="s">
        <v>13</v>
      </c>
      <c r="H359" s="6" t="s">
        <v>733</v>
      </c>
      <c r="I359" s="6" t="s">
        <v>2527</v>
      </c>
      <c r="J359" s="6" t="s">
        <v>2528</v>
      </c>
      <c r="K359" s="6" t="s">
        <v>15</v>
      </c>
      <c r="L359" s="6" t="s">
        <v>21</v>
      </c>
      <c r="M359" s="6" t="s">
        <v>149</v>
      </c>
      <c r="N359" s="7" t="s">
        <v>18</v>
      </c>
      <c r="O359" s="23" t="s">
        <v>3611</v>
      </c>
      <c r="R359" s="23" t="s">
        <v>3612</v>
      </c>
      <c r="S359" s="2" t="s">
        <v>3613</v>
      </c>
      <c r="T359" s="2" t="s">
        <v>3614</v>
      </c>
      <c r="U359" s="2" t="s">
        <v>3615</v>
      </c>
      <c r="V359" s="23" t="s">
        <v>3616</v>
      </c>
      <c r="W359" s="24" t="s">
        <v>3617</v>
      </c>
      <c r="X359" s="23" t="s">
        <v>3618</v>
      </c>
      <c r="Y359" s="23" t="s">
        <v>3619</v>
      </c>
      <c r="Z359" s="23" t="s">
        <v>3620</v>
      </c>
      <c r="AA359" s="23" t="s">
        <v>3621</v>
      </c>
      <c r="AB359" s="8"/>
      <c r="AC359" s="8"/>
      <c r="AD359" s="8"/>
    </row>
    <row r="360" spans="1:30" ht="15.75" customHeight="1">
      <c r="A360" s="4" t="s">
        <v>647</v>
      </c>
      <c r="B360" s="5">
        <v>2402</v>
      </c>
      <c r="C360" s="6" t="s">
        <v>645</v>
      </c>
      <c r="D360" s="7">
        <v>2022467393</v>
      </c>
      <c r="E360" s="7">
        <v>2201010607</v>
      </c>
      <c r="F360" s="7" t="s">
        <v>1808</v>
      </c>
      <c r="G360" s="7" t="s">
        <v>13</v>
      </c>
      <c r="H360" s="6" t="s">
        <v>649</v>
      </c>
      <c r="I360" s="6" t="s">
        <v>2529</v>
      </c>
      <c r="J360" s="6" t="s">
        <v>2530</v>
      </c>
      <c r="K360" s="6" t="s">
        <v>15</v>
      </c>
      <c r="L360" s="6" t="s">
        <v>21</v>
      </c>
      <c r="M360" s="6" t="s">
        <v>17</v>
      </c>
      <c r="N360" s="7" t="s">
        <v>18</v>
      </c>
      <c r="O360" s="23" t="s">
        <v>3611</v>
      </c>
      <c r="R360" s="23" t="s">
        <v>3612</v>
      </c>
      <c r="S360" s="2" t="s">
        <v>3613</v>
      </c>
      <c r="T360" s="2" t="s">
        <v>3614</v>
      </c>
      <c r="U360" s="2" t="s">
        <v>3615</v>
      </c>
      <c r="V360" s="23" t="s">
        <v>3616</v>
      </c>
      <c r="W360" s="24" t="s">
        <v>3617</v>
      </c>
      <c r="X360" s="23" t="s">
        <v>3618</v>
      </c>
      <c r="Y360" s="23" t="s">
        <v>3619</v>
      </c>
      <c r="Z360" s="23" t="s">
        <v>3620</v>
      </c>
      <c r="AA360" s="23" t="s">
        <v>3621</v>
      </c>
      <c r="AB360" s="8"/>
      <c r="AC360" s="8"/>
      <c r="AD360" s="8"/>
    </row>
    <row r="361" spans="1:30" ht="15.75" customHeight="1">
      <c r="A361" s="4" t="s">
        <v>647</v>
      </c>
      <c r="B361" s="5">
        <v>2402</v>
      </c>
      <c r="C361" s="6" t="s">
        <v>645</v>
      </c>
      <c r="D361" s="7">
        <v>2022582528</v>
      </c>
      <c r="E361" s="7">
        <v>2201010608</v>
      </c>
      <c r="F361" s="7" t="s">
        <v>1808</v>
      </c>
      <c r="G361" s="7" t="s">
        <v>13</v>
      </c>
      <c r="H361" s="6" t="s">
        <v>767</v>
      </c>
      <c r="I361" s="6" t="s">
        <v>2531</v>
      </c>
      <c r="J361" s="6" t="s">
        <v>2532</v>
      </c>
      <c r="K361" s="6" t="s">
        <v>15</v>
      </c>
      <c r="L361" s="6" t="s">
        <v>21</v>
      </c>
      <c r="M361" s="6" t="s">
        <v>149</v>
      </c>
      <c r="N361" s="7" t="s">
        <v>18</v>
      </c>
      <c r="O361" s="23" t="s">
        <v>3611</v>
      </c>
      <c r="R361" s="23" t="s">
        <v>3612</v>
      </c>
      <c r="S361" s="2" t="s">
        <v>3613</v>
      </c>
      <c r="T361" s="2" t="s">
        <v>3614</v>
      </c>
      <c r="U361" s="2" t="s">
        <v>3615</v>
      </c>
      <c r="V361" s="23" t="s">
        <v>3616</v>
      </c>
      <c r="W361" s="24" t="s">
        <v>3617</v>
      </c>
      <c r="X361" s="23" t="s">
        <v>3618</v>
      </c>
      <c r="Y361" s="23" t="s">
        <v>3619</v>
      </c>
      <c r="Z361" s="23" t="s">
        <v>3620</v>
      </c>
      <c r="AA361" s="23" t="s">
        <v>3621</v>
      </c>
      <c r="AB361" s="8"/>
      <c r="AC361" s="8"/>
      <c r="AD361" s="8"/>
    </row>
    <row r="362" spans="1:30" ht="15.75" customHeight="1">
      <c r="A362" s="4" t="s">
        <v>647</v>
      </c>
      <c r="B362" s="5">
        <v>2402</v>
      </c>
      <c r="C362" s="6" t="s">
        <v>720</v>
      </c>
      <c r="D362" s="7">
        <v>2022501073</v>
      </c>
      <c r="E362" s="7">
        <v>2201010650</v>
      </c>
      <c r="F362" s="7" t="s">
        <v>1808</v>
      </c>
      <c r="G362" s="7" t="s">
        <v>13</v>
      </c>
      <c r="H362" s="6" t="s">
        <v>721</v>
      </c>
      <c r="I362" s="6" t="s">
        <v>2533</v>
      </c>
      <c r="J362" s="6" t="s">
        <v>2534</v>
      </c>
      <c r="K362" s="6" t="s">
        <v>15</v>
      </c>
      <c r="L362" s="6" t="s">
        <v>21</v>
      </c>
      <c r="M362" s="6" t="s">
        <v>117</v>
      </c>
      <c r="N362" s="7" t="s">
        <v>18</v>
      </c>
      <c r="O362" s="23" t="s">
        <v>3611</v>
      </c>
      <c r="R362" s="23" t="s">
        <v>3612</v>
      </c>
      <c r="S362" s="2" t="s">
        <v>3613</v>
      </c>
      <c r="T362" s="2" t="s">
        <v>3614</v>
      </c>
      <c r="U362" s="2" t="s">
        <v>3615</v>
      </c>
      <c r="V362" s="23" t="s">
        <v>3616</v>
      </c>
      <c r="W362" s="24" t="s">
        <v>3617</v>
      </c>
      <c r="X362" s="23" t="s">
        <v>3618</v>
      </c>
      <c r="Y362" s="23" t="s">
        <v>3619</v>
      </c>
      <c r="Z362" s="23" t="s">
        <v>3620</v>
      </c>
      <c r="AA362" s="23" t="s">
        <v>3621</v>
      </c>
      <c r="AB362" s="8"/>
      <c r="AC362" s="8"/>
      <c r="AD362" s="8"/>
    </row>
    <row r="363" spans="1:30" ht="15.75" customHeight="1">
      <c r="A363" s="4" t="s">
        <v>647</v>
      </c>
      <c r="B363" s="5">
        <v>2402</v>
      </c>
      <c r="C363" s="6" t="s">
        <v>765</v>
      </c>
      <c r="D363" s="7">
        <v>2022511567</v>
      </c>
      <c r="E363" s="7">
        <v>2201010701</v>
      </c>
      <c r="F363" s="7" t="s">
        <v>1808</v>
      </c>
      <c r="G363" s="7" t="s">
        <v>13</v>
      </c>
      <c r="H363" s="6" t="s">
        <v>766</v>
      </c>
      <c r="I363" s="6" t="s">
        <v>2535</v>
      </c>
      <c r="J363" s="6" t="s">
        <v>2536</v>
      </c>
      <c r="K363" s="6" t="s">
        <v>15</v>
      </c>
      <c r="L363" s="6" t="s">
        <v>149</v>
      </c>
      <c r="M363" s="6" t="s">
        <v>21</v>
      </c>
      <c r="N363" s="7" t="s">
        <v>18</v>
      </c>
      <c r="O363" s="23" t="s">
        <v>3611</v>
      </c>
      <c r="R363" s="23" t="s">
        <v>3612</v>
      </c>
      <c r="S363" s="2" t="s">
        <v>3613</v>
      </c>
      <c r="T363" s="2" t="s">
        <v>3614</v>
      </c>
      <c r="U363" s="2" t="s">
        <v>3615</v>
      </c>
      <c r="V363" s="23" t="s">
        <v>3616</v>
      </c>
      <c r="W363" s="24" t="s">
        <v>3617</v>
      </c>
      <c r="X363" s="23" t="s">
        <v>3618</v>
      </c>
      <c r="Y363" s="23" t="s">
        <v>3619</v>
      </c>
      <c r="Z363" s="23" t="s">
        <v>3620</v>
      </c>
      <c r="AA363" s="23" t="s">
        <v>3621</v>
      </c>
      <c r="AB363" s="8"/>
      <c r="AC363" s="8"/>
      <c r="AD363" s="8"/>
    </row>
    <row r="364" spans="1:30" ht="15.75" customHeight="1">
      <c r="A364" s="4" t="s">
        <v>647</v>
      </c>
      <c r="B364" s="5">
        <v>2402</v>
      </c>
      <c r="C364" s="6" t="s">
        <v>685</v>
      </c>
      <c r="D364" s="7">
        <v>2022006787</v>
      </c>
      <c r="E364" s="7">
        <v>2201010757</v>
      </c>
      <c r="F364" s="7" t="s">
        <v>1808</v>
      </c>
      <c r="G364" s="7" t="s">
        <v>13</v>
      </c>
      <c r="H364" s="6" t="s">
        <v>686</v>
      </c>
      <c r="I364" s="6" t="s">
        <v>2537</v>
      </c>
      <c r="J364" s="6" t="s">
        <v>2538</v>
      </c>
      <c r="K364" s="6" t="s">
        <v>15</v>
      </c>
      <c r="L364" s="6" t="s">
        <v>21</v>
      </c>
      <c r="M364" s="6" t="s">
        <v>104</v>
      </c>
      <c r="N364" s="7" t="s">
        <v>18</v>
      </c>
      <c r="O364" s="23" t="s">
        <v>3611</v>
      </c>
      <c r="R364" s="23" t="s">
        <v>3612</v>
      </c>
      <c r="S364" s="2" t="s">
        <v>3613</v>
      </c>
      <c r="T364" s="2" t="s">
        <v>3614</v>
      </c>
      <c r="U364" s="2" t="s">
        <v>3615</v>
      </c>
      <c r="V364" s="23" t="s">
        <v>3616</v>
      </c>
      <c r="W364" s="24" t="s">
        <v>3617</v>
      </c>
      <c r="X364" s="23" t="s">
        <v>3618</v>
      </c>
      <c r="Y364" s="23" t="s">
        <v>3619</v>
      </c>
      <c r="Z364" s="23" t="s">
        <v>3620</v>
      </c>
      <c r="AA364" s="23" t="s">
        <v>3621</v>
      </c>
      <c r="AB364" s="8"/>
      <c r="AC364" s="8"/>
      <c r="AD364" s="8"/>
    </row>
    <row r="365" spans="1:30" ht="15.75" customHeight="1">
      <c r="A365" s="4" t="s">
        <v>647</v>
      </c>
      <c r="B365" s="5">
        <v>2402</v>
      </c>
      <c r="C365" s="6" t="s">
        <v>678</v>
      </c>
      <c r="D365" s="7">
        <v>2022002769</v>
      </c>
      <c r="E365" s="7">
        <v>2201010786</v>
      </c>
      <c r="F365" s="7" t="s">
        <v>1808</v>
      </c>
      <c r="G365" s="7" t="s">
        <v>13</v>
      </c>
      <c r="H365" s="6" t="s">
        <v>679</v>
      </c>
      <c r="I365" s="6" t="s">
        <v>2539</v>
      </c>
      <c r="J365" s="6" t="s">
        <v>2540</v>
      </c>
      <c r="K365" s="6" t="s">
        <v>15</v>
      </c>
      <c r="L365" s="6" t="s">
        <v>21</v>
      </c>
      <c r="M365" s="6" t="s">
        <v>149</v>
      </c>
      <c r="N365" s="7" t="s">
        <v>18</v>
      </c>
      <c r="O365" s="23" t="s">
        <v>3611</v>
      </c>
      <c r="R365" s="23" t="s">
        <v>3612</v>
      </c>
      <c r="S365" s="2" t="s">
        <v>3613</v>
      </c>
      <c r="T365" s="2" t="s">
        <v>3614</v>
      </c>
      <c r="U365" s="2" t="s">
        <v>3615</v>
      </c>
      <c r="V365" s="23" t="s">
        <v>3616</v>
      </c>
      <c r="W365" s="24" t="s">
        <v>3617</v>
      </c>
      <c r="X365" s="23" t="s">
        <v>3618</v>
      </c>
      <c r="Y365" s="23" t="s">
        <v>3619</v>
      </c>
      <c r="Z365" s="23" t="s">
        <v>3620</v>
      </c>
      <c r="AA365" s="23" t="s">
        <v>3621</v>
      </c>
      <c r="AB365" s="8"/>
      <c r="AC365" s="8"/>
      <c r="AD365" s="8"/>
    </row>
    <row r="366" spans="1:30" ht="15.75" customHeight="1">
      <c r="A366" s="4" t="s">
        <v>647</v>
      </c>
      <c r="B366" s="5">
        <v>2402</v>
      </c>
      <c r="C366" s="6" t="s">
        <v>691</v>
      </c>
      <c r="D366" s="7">
        <v>2022007111</v>
      </c>
      <c r="E366" s="7">
        <v>2201010788</v>
      </c>
      <c r="F366" s="7" t="s">
        <v>1808</v>
      </c>
      <c r="G366" s="7" t="s">
        <v>13</v>
      </c>
      <c r="H366" s="6" t="s">
        <v>692</v>
      </c>
      <c r="I366" s="6" t="s">
        <v>2541</v>
      </c>
      <c r="J366" s="6" t="s">
        <v>2542</v>
      </c>
      <c r="K366" s="6" t="s">
        <v>15</v>
      </c>
      <c r="L366" s="6" t="s">
        <v>21</v>
      </c>
      <c r="M366" s="6" t="s">
        <v>149</v>
      </c>
      <c r="N366" s="7" t="s">
        <v>18</v>
      </c>
      <c r="O366" s="23" t="s">
        <v>3611</v>
      </c>
      <c r="R366" s="23" t="s">
        <v>3612</v>
      </c>
      <c r="S366" s="2" t="s">
        <v>3613</v>
      </c>
      <c r="T366" s="2" t="s">
        <v>3614</v>
      </c>
      <c r="U366" s="2" t="s">
        <v>3615</v>
      </c>
      <c r="V366" s="23" t="s">
        <v>3616</v>
      </c>
      <c r="W366" s="24" t="s">
        <v>3617</v>
      </c>
      <c r="X366" s="23" t="s">
        <v>3618</v>
      </c>
      <c r="Y366" s="23" t="s">
        <v>3619</v>
      </c>
      <c r="Z366" s="23" t="s">
        <v>3620</v>
      </c>
      <c r="AA366" s="23" t="s">
        <v>3621</v>
      </c>
      <c r="AB366" s="8"/>
      <c r="AC366" s="8"/>
      <c r="AD366" s="8"/>
    </row>
    <row r="367" spans="1:30" ht="15.75" customHeight="1">
      <c r="A367" s="4" t="s">
        <v>647</v>
      </c>
      <c r="B367" s="5">
        <v>2402</v>
      </c>
      <c r="C367" s="6" t="s">
        <v>375</v>
      </c>
      <c r="D367" s="7">
        <v>2022552668</v>
      </c>
      <c r="E367" s="7">
        <v>2201010794</v>
      </c>
      <c r="F367" s="7" t="s">
        <v>1808</v>
      </c>
      <c r="G367" s="7" t="s">
        <v>13</v>
      </c>
      <c r="H367" s="6" t="s">
        <v>726</v>
      </c>
      <c r="I367" s="6" t="s">
        <v>2543</v>
      </c>
      <c r="J367" s="6" t="s">
        <v>2544</v>
      </c>
      <c r="K367" s="6" t="s">
        <v>15</v>
      </c>
      <c r="L367" s="6" t="s">
        <v>21</v>
      </c>
      <c r="M367" s="6" t="s">
        <v>149</v>
      </c>
      <c r="N367" s="7" t="s">
        <v>18</v>
      </c>
      <c r="O367" s="23" t="s">
        <v>3611</v>
      </c>
      <c r="R367" s="23" t="s">
        <v>3612</v>
      </c>
      <c r="S367" s="2" t="s">
        <v>3613</v>
      </c>
      <c r="T367" s="2" t="s">
        <v>3614</v>
      </c>
      <c r="U367" s="2" t="s">
        <v>3615</v>
      </c>
      <c r="V367" s="23" t="s">
        <v>3616</v>
      </c>
      <c r="W367" s="24" t="s">
        <v>3617</v>
      </c>
      <c r="X367" s="23" t="s">
        <v>3618</v>
      </c>
      <c r="Y367" s="23" t="s">
        <v>3619</v>
      </c>
      <c r="Z367" s="23" t="s">
        <v>3620</v>
      </c>
      <c r="AA367" s="23" t="s">
        <v>3621</v>
      </c>
      <c r="AB367" s="8"/>
      <c r="AC367" s="8"/>
      <c r="AD367" s="8"/>
    </row>
    <row r="368" spans="1:30" ht="15.75" customHeight="1">
      <c r="A368" s="4" t="s">
        <v>647</v>
      </c>
      <c r="B368" s="5">
        <v>2402</v>
      </c>
      <c r="C368" s="6" t="s">
        <v>711</v>
      </c>
      <c r="D368" s="7">
        <v>2022450179</v>
      </c>
      <c r="E368" s="7">
        <v>2201010826</v>
      </c>
      <c r="F368" s="7" t="s">
        <v>1808</v>
      </c>
      <c r="G368" s="7" t="s">
        <v>13</v>
      </c>
      <c r="H368" s="6" t="s">
        <v>712</v>
      </c>
      <c r="I368" s="6" t="s">
        <v>2545</v>
      </c>
      <c r="J368" s="6" t="s">
        <v>2546</v>
      </c>
      <c r="K368" s="6" t="s">
        <v>15</v>
      </c>
      <c r="L368" s="6" t="s">
        <v>16</v>
      </c>
      <c r="M368" s="6" t="s">
        <v>149</v>
      </c>
      <c r="N368" s="7" t="s">
        <v>18</v>
      </c>
      <c r="O368" s="23" t="s">
        <v>3611</v>
      </c>
      <c r="R368" s="23" t="s">
        <v>3612</v>
      </c>
      <c r="S368" s="2" t="s">
        <v>3613</v>
      </c>
      <c r="T368" s="2" t="s">
        <v>3614</v>
      </c>
      <c r="U368" s="2" t="s">
        <v>3615</v>
      </c>
      <c r="V368" s="23" t="s">
        <v>3616</v>
      </c>
      <c r="W368" s="24" t="s">
        <v>3617</v>
      </c>
      <c r="X368" s="23" t="s">
        <v>3618</v>
      </c>
      <c r="Y368" s="23" t="s">
        <v>3619</v>
      </c>
      <c r="Z368" s="23" t="s">
        <v>3620</v>
      </c>
      <c r="AA368" s="23" t="s">
        <v>3621</v>
      </c>
      <c r="AB368" s="8"/>
      <c r="AC368" s="8"/>
      <c r="AD368" s="8"/>
    </row>
    <row r="369" spans="1:30" ht="15.75" customHeight="1">
      <c r="A369" s="4" t="s">
        <v>647</v>
      </c>
      <c r="B369" s="5">
        <v>2402</v>
      </c>
      <c r="C369" s="6" t="s">
        <v>656</v>
      </c>
      <c r="D369" s="7">
        <v>2022006827</v>
      </c>
      <c r="E369" s="7">
        <v>2201010832</v>
      </c>
      <c r="F369" s="7" t="s">
        <v>1808</v>
      </c>
      <c r="G369" s="7" t="s">
        <v>13</v>
      </c>
      <c r="H369" s="6" t="s">
        <v>657</v>
      </c>
      <c r="I369" s="6" t="s">
        <v>2547</v>
      </c>
      <c r="J369" s="6" t="s">
        <v>2548</v>
      </c>
      <c r="K369" s="6" t="s">
        <v>15</v>
      </c>
      <c r="L369" s="6" t="e">
        <v>#N/A</v>
      </c>
      <c r="M369" s="6" t="e">
        <v>#N/A</v>
      </c>
      <c r="N369" s="7" t="e">
        <v>#N/A</v>
      </c>
      <c r="O369" s="23" t="s">
        <v>3611</v>
      </c>
      <c r="R369" s="23" t="s">
        <v>3612</v>
      </c>
      <c r="S369" s="2" t="s">
        <v>3613</v>
      </c>
      <c r="T369" s="2" t="s">
        <v>3614</v>
      </c>
      <c r="U369" s="2" t="s">
        <v>3615</v>
      </c>
      <c r="V369" s="23" t="s">
        <v>3616</v>
      </c>
      <c r="W369" s="24" t="s">
        <v>3617</v>
      </c>
      <c r="X369" s="23" t="s">
        <v>3618</v>
      </c>
      <c r="Y369" s="23" t="s">
        <v>3619</v>
      </c>
      <c r="Z369" s="23" t="s">
        <v>3620</v>
      </c>
      <c r="AA369" s="23" t="s">
        <v>3621</v>
      </c>
      <c r="AB369" s="8"/>
      <c r="AC369" s="8"/>
      <c r="AD369" s="8"/>
    </row>
    <row r="370" spans="1:30" ht="15.75" customHeight="1">
      <c r="A370" s="4" t="s">
        <v>647</v>
      </c>
      <c r="B370" s="5">
        <v>2402</v>
      </c>
      <c r="C370" s="6" t="s">
        <v>687</v>
      </c>
      <c r="D370" s="7">
        <v>2022006845</v>
      </c>
      <c r="E370" s="7">
        <v>2201010833</v>
      </c>
      <c r="F370" s="7" t="s">
        <v>1808</v>
      </c>
      <c r="G370" s="7" t="s">
        <v>13</v>
      </c>
      <c r="H370" s="6" t="s">
        <v>688</v>
      </c>
      <c r="I370" s="6" t="s">
        <v>2549</v>
      </c>
      <c r="J370" s="6" t="s">
        <v>2550</v>
      </c>
      <c r="K370" s="6" t="s">
        <v>15</v>
      </c>
      <c r="L370" s="6" t="e">
        <v>#N/A</v>
      </c>
      <c r="M370" s="6" t="e">
        <v>#N/A</v>
      </c>
      <c r="N370" s="7" t="e">
        <v>#N/A</v>
      </c>
      <c r="O370" s="23" t="s">
        <v>3611</v>
      </c>
      <c r="R370" s="23" t="s">
        <v>3612</v>
      </c>
      <c r="S370" s="2" t="s">
        <v>3613</v>
      </c>
      <c r="T370" s="2" t="s">
        <v>3614</v>
      </c>
      <c r="U370" s="2" t="s">
        <v>3615</v>
      </c>
      <c r="V370" s="23" t="s">
        <v>3616</v>
      </c>
      <c r="W370" s="24" t="s">
        <v>3617</v>
      </c>
      <c r="X370" s="23" t="s">
        <v>3618</v>
      </c>
      <c r="Y370" s="23" t="s">
        <v>3619</v>
      </c>
      <c r="Z370" s="23" t="s">
        <v>3620</v>
      </c>
      <c r="AA370" s="23" t="s">
        <v>3621</v>
      </c>
      <c r="AB370" s="8"/>
      <c r="AC370" s="8"/>
      <c r="AD370" s="8"/>
    </row>
    <row r="371" spans="1:30" ht="15.75" customHeight="1">
      <c r="A371" s="4" t="s">
        <v>647</v>
      </c>
      <c r="B371" s="5">
        <v>2402</v>
      </c>
      <c r="C371" s="6" t="s">
        <v>695</v>
      </c>
      <c r="D371" s="7">
        <v>2022007306</v>
      </c>
      <c r="E371" s="7">
        <v>2201010840</v>
      </c>
      <c r="F371" s="7" t="s">
        <v>1808</v>
      </c>
      <c r="G371" s="7" t="s">
        <v>13</v>
      </c>
      <c r="H371" s="6" t="s">
        <v>696</v>
      </c>
      <c r="I371" s="6" t="s">
        <v>2551</v>
      </c>
      <c r="J371" s="6" t="s">
        <v>2552</v>
      </c>
      <c r="K371" s="6" t="s">
        <v>15</v>
      </c>
      <c r="L371" s="6" t="s">
        <v>149</v>
      </c>
      <c r="M371" s="6" t="s">
        <v>104</v>
      </c>
      <c r="N371" s="7" t="s">
        <v>18</v>
      </c>
      <c r="O371" s="23" t="s">
        <v>3611</v>
      </c>
      <c r="R371" s="23" t="s">
        <v>3612</v>
      </c>
      <c r="S371" s="2" t="s">
        <v>3613</v>
      </c>
      <c r="T371" s="2" t="s">
        <v>3614</v>
      </c>
      <c r="U371" s="2" t="s">
        <v>3615</v>
      </c>
      <c r="V371" s="23" t="s">
        <v>3616</v>
      </c>
      <c r="W371" s="24" t="s">
        <v>3617</v>
      </c>
      <c r="X371" s="23" t="s">
        <v>3618</v>
      </c>
      <c r="Y371" s="23" t="s">
        <v>3619</v>
      </c>
      <c r="Z371" s="23" t="s">
        <v>3620</v>
      </c>
      <c r="AA371" s="23" t="s">
        <v>3621</v>
      </c>
      <c r="AB371" s="8"/>
      <c r="AC371" s="8"/>
      <c r="AD371" s="8"/>
    </row>
    <row r="372" spans="1:30" ht="15.75" customHeight="1">
      <c r="A372" s="4" t="s">
        <v>647</v>
      </c>
      <c r="B372" s="5">
        <v>2402</v>
      </c>
      <c r="C372" s="6" t="s">
        <v>757</v>
      </c>
      <c r="D372" s="7">
        <v>2022007320</v>
      </c>
      <c r="E372" s="7">
        <v>2201010842</v>
      </c>
      <c r="F372" s="7" t="s">
        <v>1808</v>
      </c>
      <c r="G372" s="7" t="s">
        <v>13</v>
      </c>
      <c r="H372" s="6" t="s">
        <v>758</v>
      </c>
      <c r="I372" s="6" t="s">
        <v>2553</v>
      </c>
      <c r="J372" s="6" t="s">
        <v>2554</v>
      </c>
      <c r="K372" s="6" t="s">
        <v>15</v>
      </c>
      <c r="L372" s="6" t="s">
        <v>21</v>
      </c>
      <c r="M372" s="6" t="s">
        <v>17</v>
      </c>
      <c r="N372" s="7" t="s">
        <v>18</v>
      </c>
      <c r="O372" s="23" t="s">
        <v>3611</v>
      </c>
      <c r="R372" s="23" t="s">
        <v>3612</v>
      </c>
      <c r="S372" s="2" t="s">
        <v>3613</v>
      </c>
      <c r="T372" s="2" t="s">
        <v>3614</v>
      </c>
      <c r="U372" s="2" t="s">
        <v>3615</v>
      </c>
      <c r="V372" s="23" t="s">
        <v>3616</v>
      </c>
      <c r="W372" s="24" t="s">
        <v>3617</v>
      </c>
      <c r="X372" s="23" t="s">
        <v>3618</v>
      </c>
      <c r="Y372" s="23" t="s">
        <v>3619</v>
      </c>
      <c r="Z372" s="23" t="s">
        <v>3620</v>
      </c>
      <c r="AA372" s="23" t="s">
        <v>3621</v>
      </c>
      <c r="AB372" s="8"/>
      <c r="AC372" s="8"/>
      <c r="AD372" s="8"/>
    </row>
    <row r="373" spans="1:30" ht="15.75" customHeight="1">
      <c r="A373" s="4" t="s">
        <v>647</v>
      </c>
      <c r="B373" s="5">
        <v>2402</v>
      </c>
      <c r="C373" s="6" t="s">
        <v>759</v>
      </c>
      <c r="D373" s="7">
        <v>2022007323</v>
      </c>
      <c r="E373" s="7">
        <v>2201010843</v>
      </c>
      <c r="F373" s="7" t="s">
        <v>1808</v>
      </c>
      <c r="G373" s="7" t="s">
        <v>13</v>
      </c>
      <c r="H373" s="6" t="s">
        <v>760</v>
      </c>
      <c r="I373" s="6" t="s">
        <v>2555</v>
      </c>
      <c r="J373" s="6" t="s">
        <v>2556</v>
      </c>
      <c r="K373" s="6" t="s">
        <v>15</v>
      </c>
      <c r="L373" s="6" t="s">
        <v>21</v>
      </c>
      <c r="M373" s="6" t="s">
        <v>117</v>
      </c>
      <c r="N373" s="7" t="s">
        <v>18</v>
      </c>
      <c r="O373" s="23" t="s">
        <v>3611</v>
      </c>
      <c r="R373" s="23" t="s">
        <v>3612</v>
      </c>
      <c r="S373" s="2" t="s">
        <v>3613</v>
      </c>
      <c r="T373" s="2" t="s">
        <v>3614</v>
      </c>
      <c r="U373" s="2" t="s">
        <v>3615</v>
      </c>
      <c r="V373" s="23" t="s">
        <v>3616</v>
      </c>
      <c r="W373" s="24" t="s">
        <v>3617</v>
      </c>
      <c r="X373" s="23" t="s">
        <v>3618</v>
      </c>
      <c r="Y373" s="23" t="s">
        <v>3619</v>
      </c>
      <c r="Z373" s="23" t="s">
        <v>3620</v>
      </c>
      <c r="AA373" s="23" t="s">
        <v>3621</v>
      </c>
      <c r="AB373" s="8"/>
      <c r="AC373" s="8"/>
      <c r="AD373" s="8"/>
    </row>
    <row r="374" spans="1:30" ht="15.75" customHeight="1">
      <c r="A374" s="4" t="s">
        <v>647</v>
      </c>
      <c r="B374" s="5">
        <v>2402</v>
      </c>
      <c r="C374" s="6" t="s">
        <v>257</v>
      </c>
      <c r="D374" s="7">
        <v>2022007403</v>
      </c>
      <c r="E374" s="7">
        <v>2201010847</v>
      </c>
      <c r="F374" s="7" t="s">
        <v>1808</v>
      </c>
      <c r="G374" s="7" t="s">
        <v>13</v>
      </c>
      <c r="H374" s="6" t="s">
        <v>648</v>
      </c>
      <c r="I374" s="6" t="s">
        <v>2557</v>
      </c>
      <c r="J374" s="6" t="s">
        <v>2558</v>
      </c>
      <c r="K374" s="6" t="s">
        <v>15</v>
      </c>
      <c r="L374" s="6" t="s">
        <v>21</v>
      </c>
      <c r="M374" s="6" t="s">
        <v>149</v>
      </c>
      <c r="N374" s="7" t="s">
        <v>18</v>
      </c>
      <c r="O374" s="23" t="s">
        <v>3611</v>
      </c>
      <c r="R374" s="23" t="s">
        <v>3612</v>
      </c>
      <c r="S374" s="2" t="s">
        <v>3613</v>
      </c>
      <c r="T374" s="2" t="s">
        <v>3614</v>
      </c>
      <c r="U374" s="2" t="s">
        <v>3615</v>
      </c>
      <c r="V374" s="23" t="s">
        <v>3616</v>
      </c>
      <c r="W374" s="24" t="s">
        <v>3617</v>
      </c>
      <c r="X374" s="23" t="s">
        <v>3618</v>
      </c>
      <c r="Y374" s="23" t="s">
        <v>3619</v>
      </c>
      <c r="Z374" s="23" t="s">
        <v>3620</v>
      </c>
      <c r="AA374" s="23" t="s">
        <v>3621</v>
      </c>
      <c r="AB374" s="8"/>
      <c r="AC374" s="8"/>
      <c r="AD374" s="8"/>
    </row>
    <row r="375" spans="1:30" ht="15.75" customHeight="1">
      <c r="A375" s="4" t="s">
        <v>647</v>
      </c>
      <c r="B375" s="5">
        <v>2402</v>
      </c>
      <c r="C375" s="6" t="s">
        <v>674</v>
      </c>
      <c r="D375" s="7">
        <v>2022007438</v>
      </c>
      <c r="E375" s="7">
        <v>2201010848</v>
      </c>
      <c r="F375" s="7" t="s">
        <v>1808</v>
      </c>
      <c r="G375" s="7" t="s">
        <v>13</v>
      </c>
      <c r="H375" s="6" t="s">
        <v>675</v>
      </c>
      <c r="I375" s="6" t="s">
        <v>2559</v>
      </c>
      <c r="J375" s="6" t="s">
        <v>2560</v>
      </c>
      <c r="K375" s="6" t="s">
        <v>15</v>
      </c>
      <c r="L375" s="6" t="s">
        <v>149</v>
      </c>
      <c r="M375" s="6" t="s">
        <v>104</v>
      </c>
      <c r="N375" s="7" t="s">
        <v>18</v>
      </c>
      <c r="O375" s="23" t="s">
        <v>3611</v>
      </c>
      <c r="R375" s="23" t="s">
        <v>3612</v>
      </c>
      <c r="S375" s="2" t="s">
        <v>3613</v>
      </c>
      <c r="T375" s="2" t="s">
        <v>3614</v>
      </c>
      <c r="U375" s="2" t="s">
        <v>3615</v>
      </c>
      <c r="V375" s="23" t="s">
        <v>3616</v>
      </c>
      <c r="W375" s="24" t="s">
        <v>3617</v>
      </c>
      <c r="X375" s="23" t="s">
        <v>3618</v>
      </c>
      <c r="Y375" s="23" t="s">
        <v>3619</v>
      </c>
      <c r="Z375" s="23" t="s">
        <v>3620</v>
      </c>
      <c r="AA375" s="23" t="s">
        <v>3621</v>
      </c>
      <c r="AB375" s="8"/>
      <c r="AC375" s="8"/>
      <c r="AD375" s="8"/>
    </row>
    <row r="376" spans="1:30" ht="15.75" customHeight="1">
      <c r="A376" s="4" t="s">
        <v>647</v>
      </c>
      <c r="B376" s="5">
        <v>2402</v>
      </c>
      <c r="C376" s="6" t="s">
        <v>660</v>
      </c>
      <c r="D376" s="7">
        <v>2022007661</v>
      </c>
      <c r="E376" s="7">
        <v>2201010855</v>
      </c>
      <c r="F376" s="7" t="s">
        <v>1808</v>
      </c>
      <c r="G376" s="7" t="s">
        <v>13</v>
      </c>
      <c r="H376" s="6" t="s">
        <v>661</v>
      </c>
      <c r="I376" s="6" t="s">
        <v>2561</v>
      </c>
      <c r="J376" s="6" t="s">
        <v>2562</v>
      </c>
      <c r="K376" s="6" t="s">
        <v>15</v>
      </c>
      <c r="L376" s="6" t="s">
        <v>21</v>
      </c>
      <c r="M376" s="6" t="s">
        <v>26</v>
      </c>
      <c r="N376" s="7" t="s">
        <v>18</v>
      </c>
      <c r="O376" s="23" t="s">
        <v>3611</v>
      </c>
      <c r="R376" s="23" t="s">
        <v>3612</v>
      </c>
      <c r="S376" s="2" t="s">
        <v>3613</v>
      </c>
      <c r="T376" s="2" t="s">
        <v>3614</v>
      </c>
      <c r="U376" s="2" t="s">
        <v>3615</v>
      </c>
      <c r="V376" s="23" t="s">
        <v>3616</v>
      </c>
      <c r="W376" s="24" t="s">
        <v>3617</v>
      </c>
      <c r="X376" s="23" t="s">
        <v>3618</v>
      </c>
      <c r="Y376" s="23" t="s">
        <v>3619</v>
      </c>
      <c r="Z376" s="23" t="s">
        <v>3620</v>
      </c>
      <c r="AA376" s="23" t="s">
        <v>3621</v>
      </c>
      <c r="AB376" s="8"/>
      <c r="AC376" s="8"/>
      <c r="AD376" s="8"/>
    </row>
    <row r="377" spans="1:30" ht="15.75" customHeight="1">
      <c r="A377" s="4" t="s">
        <v>647</v>
      </c>
      <c r="B377" s="5">
        <v>2402</v>
      </c>
      <c r="C377" s="6" t="s">
        <v>697</v>
      </c>
      <c r="D377" s="7">
        <v>2022007718</v>
      </c>
      <c r="E377" s="7">
        <v>2201010860</v>
      </c>
      <c r="F377" s="7" t="s">
        <v>1808</v>
      </c>
      <c r="G377" s="7" t="s">
        <v>13</v>
      </c>
      <c r="H377" s="6" t="s">
        <v>698</v>
      </c>
      <c r="I377" s="6" t="s">
        <v>2563</v>
      </c>
      <c r="J377" s="6" t="s">
        <v>2564</v>
      </c>
      <c r="K377" s="6" t="s">
        <v>15</v>
      </c>
      <c r="L377" s="6" t="s">
        <v>149</v>
      </c>
      <c r="M377" s="6" t="s">
        <v>104</v>
      </c>
      <c r="N377" s="7" t="s">
        <v>18</v>
      </c>
      <c r="O377" s="23" t="s">
        <v>3611</v>
      </c>
      <c r="R377" s="23" t="s">
        <v>3612</v>
      </c>
      <c r="S377" s="2" t="s">
        <v>3613</v>
      </c>
      <c r="T377" s="2" t="s">
        <v>3614</v>
      </c>
      <c r="U377" s="2" t="s">
        <v>3615</v>
      </c>
      <c r="V377" s="23" t="s">
        <v>3616</v>
      </c>
      <c r="W377" s="24" t="s">
        <v>3617</v>
      </c>
      <c r="X377" s="23" t="s">
        <v>3618</v>
      </c>
      <c r="Y377" s="23" t="s">
        <v>3619</v>
      </c>
      <c r="Z377" s="23" t="s">
        <v>3620</v>
      </c>
      <c r="AA377" s="23" t="s">
        <v>3621</v>
      </c>
      <c r="AB377" s="8"/>
      <c r="AC377" s="8"/>
      <c r="AD377" s="8"/>
    </row>
    <row r="378" spans="1:30" ht="15.75" customHeight="1">
      <c r="A378" s="4" t="s">
        <v>647</v>
      </c>
      <c r="B378" s="5">
        <v>2402</v>
      </c>
      <c r="C378" s="6" t="s">
        <v>699</v>
      </c>
      <c r="D378" s="7">
        <v>2022007786</v>
      </c>
      <c r="E378" s="7">
        <v>2201010863</v>
      </c>
      <c r="F378" s="7" t="s">
        <v>1808</v>
      </c>
      <c r="G378" s="7" t="s">
        <v>13</v>
      </c>
      <c r="H378" s="6" t="s">
        <v>700</v>
      </c>
      <c r="I378" s="6" t="s">
        <v>2565</v>
      </c>
      <c r="J378" s="6" t="s">
        <v>2566</v>
      </c>
      <c r="K378" s="6" t="s">
        <v>15</v>
      </c>
      <c r="L378" s="6" t="s">
        <v>21</v>
      </c>
      <c r="M378" s="6" t="s">
        <v>149</v>
      </c>
      <c r="N378" s="7" t="s">
        <v>18</v>
      </c>
      <c r="O378" s="23" t="s">
        <v>3611</v>
      </c>
      <c r="R378" s="23" t="s">
        <v>3612</v>
      </c>
      <c r="S378" s="2" t="s">
        <v>3613</v>
      </c>
      <c r="T378" s="2" t="s">
        <v>3614</v>
      </c>
      <c r="U378" s="2" t="s">
        <v>3615</v>
      </c>
      <c r="V378" s="23" t="s">
        <v>3616</v>
      </c>
      <c r="W378" s="24" t="s">
        <v>3617</v>
      </c>
      <c r="X378" s="23" t="s">
        <v>3618</v>
      </c>
      <c r="Y378" s="23" t="s">
        <v>3619</v>
      </c>
      <c r="Z378" s="23" t="s">
        <v>3620</v>
      </c>
      <c r="AA378" s="23" t="s">
        <v>3621</v>
      </c>
      <c r="AB378" s="8"/>
      <c r="AC378" s="8"/>
      <c r="AD378" s="8"/>
    </row>
    <row r="379" spans="1:30" ht="15.75" customHeight="1">
      <c r="A379" s="4" t="s">
        <v>647</v>
      </c>
      <c r="B379" s="5">
        <v>2402</v>
      </c>
      <c r="C379" s="6" t="s">
        <v>662</v>
      </c>
      <c r="D379" s="7">
        <v>2022007795</v>
      </c>
      <c r="E379" s="7">
        <v>2201010865</v>
      </c>
      <c r="F379" s="7" t="s">
        <v>1808</v>
      </c>
      <c r="G379" s="7" t="s">
        <v>13</v>
      </c>
      <c r="H379" s="6" t="s">
        <v>663</v>
      </c>
      <c r="I379" s="6" t="s">
        <v>2567</v>
      </c>
      <c r="J379" s="6" t="s">
        <v>2568</v>
      </c>
      <c r="K379" s="6" t="s">
        <v>15</v>
      </c>
      <c r="L379" s="6" t="s">
        <v>16</v>
      </c>
      <c r="M379" s="6" t="s">
        <v>149</v>
      </c>
      <c r="N379" s="7" t="s">
        <v>18</v>
      </c>
      <c r="O379" s="23" t="s">
        <v>3611</v>
      </c>
      <c r="R379" s="23" t="s">
        <v>3612</v>
      </c>
      <c r="S379" s="2" t="s">
        <v>3613</v>
      </c>
      <c r="T379" s="2" t="s">
        <v>3614</v>
      </c>
      <c r="U379" s="2" t="s">
        <v>3615</v>
      </c>
      <c r="V379" s="23" t="s">
        <v>3616</v>
      </c>
      <c r="W379" s="24" t="s">
        <v>3617</v>
      </c>
      <c r="X379" s="23" t="s">
        <v>3618</v>
      </c>
      <c r="Y379" s="23" t="s">
        <v>3619</v>
      </c>
      <c r="Z379" s="23" t="s">
        <v>3620</v>
      </c>
      <c r="AA379" s="23" t="s">
        <v>3621</v>
      </c>
      <c r="AB379" s="9"/>
      <c r="AC379" s="9"/>
      <c r="AD379" s="9"/>
    </row>
    <row r="380" spans="1:30" ht="15.75" customHeight="1">
      <c r="A380" s="4" t="s">
        <v>647</v>
      </c>
      <c r="B380" s="5">
        <v>2402</v>
      </c>
      <c r="C380" s="6" t="s">
        <v>701</v>
      </c>
      <c r="D380" s="7">
        <v>2022007819</v>
      </c>
      <c r="E380" s="7">
        <v>2201010866</v>
      </c>
      <c r="F380" s="7" t="s">
        <v>1808</v>
      </c>
      <c r="G380" s="7" t="s">
        <v>13</v>
      </c>
      <c r="H380" s="6" t="s">
        <v>702</v>
      </c>
      <c r="I380" s="6" t="s">
        <v>2569</v>
      </c>
      <c r="J380" s="6" t="s">
        <v>2570</v>
      </c>
      <c r="K380" s="6" t="s">
        <v>15</v>
      </c>
      <c r="L380" s="6" t="s">
        <v>149</v>
      </c>
      <c r="M380" s="6" t="s">
        <v>49</v>
      </c>
      <c r="N380" s="7" t="s">
        <v>18</v>
      </c>
      <c r="O380" s="23" t="s">
        <v>3611</v>
      </c>
      <c r="R380" s="23" t="s">
        <v>3612</v>
      </c>
      <c r="S380" s="2" t="s">
        <v>3613</v>
      </c>
      <c r="T380" s="2" t="s">
        <v>3614</v>
      </c>
      <c r="U380" s="2" t="s">
        <v>3615</v>
      </c>
      <c r="V380" s="23" t="s">
        <v>3616</v>
      </c>
      <c r="W380" s="24" t="s">
        <v>3617</v>
      </c>
      <c r="X380" s="23" t="s">
        <v>3618</v>
      </c>
      <c r="Y380" s="23" t="s">
        <v>3619</v>
      </c>
      <c r="Z380" s="23" t="s">
        <v>3620</v>
      </c>
      <c r="AA380" s="23" t="s">
        <v>3621</v>
      </c>
      <c r="AB380" s="9"/>
      <c r="AC380" s="9"/>
      <c r="AD380" s="9"/>
    </row>
    <row r="381" spans="1:30" ht="15.75" customHeight="1">
      <c r="A381" s="4" t="s">
        <v>647</v>
      </c>
      <c r="B381" s="5">
        <v>2402</v>
      </c>
      <c r="C381" s="6" t="s">
        <v>761</v>
      </c>
      <c r="D381" s="7">
        <v>2022364256</v>
      </c>
      <c r="E381" s="7">
        <v>2201010869</v>
      </c>
      <c r="F381" s="7" t="s">
        <v>1808</v>
      </c>
      <c r="G381" s="7" t="s">
        <v>13</v>
      </c>
      <c r="H381" s="6" t="s">
        <v>762</v>
      </c>
      <c r="I381" s="6" t="s">
        <v>2571</v>
      </c>
      <c r="J381" s="6" t="s">
        <v>2572</v>
      </c>
      <c r="K381" s="6" t="s">
        <v>15</v>
      </c>
      <c r="L381" s="6" t="e">
        <v>#N/A</v>
      </c>
      <c r="M381" s="6" t="e">
        <v>#N/A</v>
      </c>
      <c r="N381" s="7" t="e">
        <v>#N/A</v>
      </c>
      <c r="O381" s="23" t="s">
        <v>3611</v>
      </c>
      <c r="R381" s="23" t="s">
        <v>3612</v>
      </c>
      <c r="S381" s="2" t="s">
        <v>3613</v>
      </c>
      <c r="T381" s="2" t="s">
        <v>3614</v>
      </c>
      <c r="U381" s="2" t="s">
        <v>3615</v>
      </c>
      <c r="V381" s="23" t="s">
        <v>3616</v>
      </c>
      <c r="W381" s="24" t="s">
        <v>3617</v>
      </c>
      <c r="X381" s="23" t="s">
        <v>3618</v>
      </c>
      <c r="Y381" s="23" t="s">
        <v>3619</v>
      </c>
      <c r="Z381" s="23" t="s">
        <v>3620</v>
      </c>
      <c r="AA381" s="23" t="s">
        <v>3621</v>
      </c>
      <c r="AB381" s="9"/>
      <c r="AC381" s="9"/>
      <c r="AD381" s="9"/>
    </row>
    <row r="382" spans="1:30" ht="15.75" customHeight="1">
      <c r="A382" s="4" t="s">
        <v>647</v>
      </c>
      <c r="B382" s="5">
        <v>2402</v>
      </c>
      <c r="C382" s="6" t="s">
        <v>724</v>
      </c>
      <c r="D382" s="7">
        <v>2022540836</v>
      </c>
      <c r="E382" s="7">
        <v>2201010879</v>
      </c>
      <c r="F382" s="7" t="s">
        <v>1808</v>
      </c>
      <c r="G382" s="7" t="s">
        <v>13</v>
      </c>
      <c r="H382" s="6" t="s">
        <v>725</v>
      </c>
      <c r="I382" s="6" t="s">
        <v>2573</v>
      </c>
      <c r="J382" s="6" t="s">
        <v>2574</v>
      </c>
      <c r="K382" s="6" t="s">
        <v>15</v>
      </c>
      <c r="L382" s="6" t="e">
        <v>#N/A</v>
      </c>
      <c r="M382" s="6" t="e">
        <v>#N/A</v>
      </c>
      <c r="N382" s="7" t="e">
        <v>#N/A</v>
      </c>
      <c r="O382" s="23" t="s">
        <v>3611</v>
      </c>
      <c r="R382" s="23" t="s">
        <v>3612</v>
      </c>
      <c r="S382" s="2" t="s">
        <v>3613</v>
      </c>
      <c r="T382" s="2" t="s">
        <v>3614</v>
      </c>
      <c r="U382" s="2" t="s">
        <v>3615</v>
      </c>
      <c r="V382" s="23" t="s">
        <v>3616</v>
      </c>
      <c r="W382" s="24" t="s">
        <v>3617</v>
      </c>
      <c r="X382" s="23" t="s">
        <v>3618</v>
      </c>
      <c r="Y382" s="23" t="s">
        <v>3619</v>
      </c>
      <c r="Z382" s="23" t="s">
        <v>3620</v>
      </c>
      <c r="AA382" s="23" t="s">
        <v>3621</v>
      </c>
      <c r="AB382" s="8"/>
      <c r="AC382" s="8"/>
      <c r="AD382" s="8"/>
    </row>
    <row r="383" spans="1:30" ht="15.75" customHeight="1">
      <c r="A383" s="4" t="s">
        <v>647</v>
      </c>
      <c r="B383" s="5">
        <v>2402</v>
      </c>
      <c r="C383" s="6" t="s">
        <v>383</v>
      </c>
      <c r="D383" s="7">
        <v>2022555807</v>
      </c>
      <c r="E383" s="7">
        <v>2201010881</v>
      </c>
      <c r="F383" s="7" t="s">
        <v>1808</v>
      </c>
      <c r="G383" s="7" t="s">
        <v>13</v>
      </c>
      <c r="H383" s="6" t="s">
        <v>729</v>
      </c>
      <c r="I383" s="6" t="s">
        <v>2575</v>
      </c>
      <c r="J383" s="6" t="s">
        <v>2576</v>
      </c>
      <c r="K383" s="6" t="s">
        <v>15</v>
      </c>
      <c r="L383" s="6" t="s">
        <v>21</v>
      </c>
      <c r="M383" s="6" t="s">
        <v>149</v>
      </c>
      <c r="N383" s="7" t="s">
        <v>18</v>
      </c>
      <c r="O383" s="23" t="s">
        <v>3611</v>
      </c>
      <c r="R383" s="23" t="s">
        <v>3612</v>
      </c>
      <c r="S383" s="2" t="s">
        <v>3613</v>
      </c>
      <c r="T383" s="2" t="s">
        <v>3614</v>
      </c>
      <c r="U383" s="2" t="s">
        <v>3615</v>
      </c>
      <c r="V383" s="23" t="s">
        <v>3616</v>
      </c>
      <c r="W383" s="24" t="s">
        <v>3617</v>
      </c>
      <c r="X383" s="23" t="s">
        <v>3618</v>
      </c>
      <c r="Y383" s="23" t="s">
        <v>3619</v>
      </c>
      <c r="Z383" s="23" t="s">
        <v>3620</v>
      </c>
      <c r="AA383" s="23" t="s">
        <v>3621</v>
      </c>
      <c r="AB383" s="8"/>
      <c r="AC383" s="8"/>
      <c r="AD383" s="8"/>
    </row>
    <row r="384" spans="1:30" ht="15.75" customHeight="1">
      <c r="A384" s="4" t="s">
        <v>647</v>
      </c>
      <c r="B384" s="5">
        <v>2402</v>
      </c>
      <c r="C384" s="6" t="s">
        <v>666</v>
      </c>
      <c r="D384" s="7">
        <v>2022594458</v>
      </c>
      <c r="E384" s="7">
        <v>2201010892</v>
      </c>
      <c r="F384" s="7" t="s">
        <v>1808</v>
      </c>
      <c r="G384" s="7" t="s">
        <v>13</v>
      </c>
      <c r="H384" s="6" t="s">
        <v>667</v>
      </c>
      <c r="I384" s="6" t="s">
        <v>2577</v>
      </c>
      <c r="J384" s="6" t="s">
        <v>2578</v>
      </c>
      <c r="K384" s="6" t="s">
        <v>15</v>
      </c>
      <c r="L384" s="6" t="e">
        <v>#N/A</v>
      </c>
      <c r="M384" s="6" t="e">
        <v>#N/A</v>
      </c>
      <c r="N384" s="7" t="e">
        <v>#N/A</v>
      </c>
      <c r="O384" s="23" t="s">
        <v>3611</v>
      </c>
      <c r="R384" s="23" t="s">
        <v>3612</v>
      </c>
      <c r="S384" s="2" t="s">
        <v>3613</v>
      </c>
      <c r="T384" s="2" t="s">
        <v>3614</v>
      </c>
      <c r="U384" s="2" t="s">
        <v>3615</v>
      </c>
      <c r="V384" s="23" t="s">
        <v>3616</v>
      </c>
      <c r="W384" s="24" t="s">
        <v>3617</v>
      </c>
      <c r="X384" s="23" t="s">
        <v>3618</v>
      </c>
      <c r="Y384" s="23" t="s">
        <v>3619</v>
      </c>
      <c r="Z384" s="23" t="s">
        <v>3620</v>
      </c>
      <c r="AA384" s="23" t="s">
        <v>3621</v>
      </c>
      <c r="AB384" s="8"/>
      <c r="AC384" s="8"/>
      <c r="AD384" s="8"/>
    </row>
    <row r="385" spans="1:30" ht="15.75" customHeight="1">
      <c r="A385" s="4" t="s">
        <v>647</v>
      </c>
      <c r="B385" s="5">
        <v>2402</v>
      </c>
      <c r="C385" s="6" t="s">
        <v>618</v>
      </c>
      <c r="D385" s="7">
        <v>2022604034</v>
      </c>
      <c r="E385" s="7">
        <v>2201010895</v>
      </c>
      <c r="F385" s="7" t="s">
        <v>1808</v>
      </c>
      <c r="G385" s="7" t="s">
        <v>13</v>
      </c>
      <c r="H385" s="6" t="s">
        <v>738</v>
      </c>
      <c r="I385" s="6" t="s">
        <v>2579</v>
      </c>
      <c r="J385" s="6" t="s">
        <v>2580</v>
      </c>
      <c r="K385" s="6" t="s">
        <v>15</v>
      </c>
      <c r="L385" s="6" t="s">
        <v>21</v>
      </c>
      <c r="M385" s="6" t="s">
        <v>149</v>
      </c>
      <c r="N385" s="7" t="s">
        <v>18</v>
      </c>
      <c r="O385" s="23" t="s">
        <v>3611</v>
      </c>
      <c r="R385" s="23" t="s">
        <v>3612</v>
      </c>
      <c r="S385" s="2" t="s">
        <v>3613</v>
      </c>
      <c r="T385" s="2" t="s">
        <v>3614</v>
      </c>
      <c r="U385" s="2" t="s">
        <v>3615</v>
      </c>
      <c r="V385" s="23" t="s">
        <v>3616</v>
      </c>
      <c r="W385" s="24" t="s">
        <v>3617</v>
      </c>
      <c r="X385" s="23" t="s">
        <v>3618</v>
      </c>
      <c r="Y385" s="23" t="s">
        <v>3619</v>
      </c>
      <c r="Z385" s="23" t="s">
        <v>3620</v>
      </c>
      <c r="AA385" s="23" t="s">
        <v>3621</v>
      </c>
    </row>
    <row r="386" spans="1:30" ht="15.75" customHeight="1">
      <c r="A386" s="4" t="s">
        <v>647</v>
      </c>
      <c r="B386" s="5">
        <v>2402</v>
      </c>
      <c r="C386" s="6" t="s">
        <v>670</v>
      </c>
      <c r="D386" s="7">
        <v>2022610409</v>
      </c>
      <c r="E386" s="7">
        <v>2201010900</v>
      </c>
      <c r="F386" s="7" t="s">
        <v>1808</v>
      </c>
      <c r="G386" s="7" t="s">
        <v>13</v>
      </c>
      <c r="H386" s="6" t="s">
        <v>671</v>
      </c>
      <c r="I386" s="6" t="s">
        <v>2581</v>
      </c>
      <c r="J386" s="6" t="s">
        <v>2582</v>
      </c>
      <c r="K386" s="6" t="s">
        <v>15</v>
      </c>
      <c r="L386" s="6" t="s">
        <v>21</v>
      </c>
      <c r="M386" s="6" t="s">
        <v>104</v>
      </c>
      <c r="N386" s="7" t="s">
        <v>18</v>
      </c>
      <c r="O386" s="23" t="s">
        <v>3611</v>
      </c>
      <c r="R386" s="23" t="s">
        <v>3612</v>
      </c>
      <c r="S386" s="2" t="s">
        <v>3613</v>
      </c>
      <c r="T386" s="2" t="s">
        <v>3614</v>
      </c>
      <c r="U386" s="2" t="s">
        <v>3615</v>
      </c>
      <c r="V386" s="23" t="s">
        <v>3616</v>
      </c>
      <c r="W386" s="24" t="s">
        <v>3617</v>
      </c>
      <c r="X386" s="23" t="s">
        <v>3618</v>
      </c>
      <c r="Y386" s="23" t="s">
        <v>3619</v>
      </c>
      <c r="Z386" s="23" t="s">
        <v>3620</v>
      </c>
      <c r="AA386" s="23" t="s">
        <v>3621</v>
      </c>
      <c r="AB386" s="8"/>
      <c r="AC386" s="8"/>
      <c r="AD386" s="8"/>
    </row>
    <row r="387" spans="1:30" ht="15.75" customHeight="1">
      <c r="A387" s="4" t="s">
        <v>647</v>
      </c>
      <c r="B387" s="5">
        <v>2402</v>
      </c>
      <c r="C387" s="6" t="s">
        <v>751</v>
      </c>
      <c r="D387" s="7">
        <v>2022835895</v>
      </c>
      <c r="E387" s="7">
        <v>2201010910</v>
      </c>
      <c r="F387" s="7" t="s">
        <v>1808</v>
      </c>
      <c r="G387" s="7" t="s">
        <v>13</v>
      </c>
      <c r="H387" s="6" t="s">
        <v>752</v>
      </c>
      <c r="I387" s="6" t="s">
        <v>2583</v>
      </c>
      <c r="J387" s="6" t="s">
        <v>2584</v>
      </c>
      <c r="K387" s="6" t="s">
        <v>15</v>
      </c>
      <c r="L387" s="6" t="s">
        <v>149</v>
      </c>
      <c r="M387" s="6" t="s">
        <v>149</v>
      </c>
      <c r="N387" s="7" t="s">
        <v>18</v>
      </c>
      <c r="O387" s="23" t="s">
        <v>3611</v>
      </c>
      <c r="R387" s="23" t="s">
        <v>3612</v>
      </c>
      <c r="S387" s="2" t="s">
        <v>3613</v>
      </c>
      <c r="T387" s="2" t="s">
        <v>3614</v>
      </c>
      <c r="U387" s="2" t="s">
        <v>3615</v>
      </c>
      <c r="V387" s="23" t="s">
        <v>3616</v>
      </c>
      <c r="W387" s="24" t="s">
        <v>3617</v>
      </c>
      <c r="X387" s="23" t="s">
        <v>3618</v>
      </c>
      <c r="Y387" s="23" t="s">
        <v>3619</v>
      </c>
      <c r="Z387" s="23" t="s">
        <v>3620</v>
      </c>
      <c r="AA387" s="23" t="s">
        <v>3621</v>
      </c>
      <c r="AB387" s="8"/>
      <c r="AC387" s="8"/>
      <c r="AD387" s="8"/>
    </row>
    <row r="388" spans="1:30" ht="15.75" customHeight="1">
      <c r="A388" s="4" t="s">
        <v>647</v>
      </c>
      <c r="B388" s="5">
        <v>2402</v>
      </c>
      <c r="C388" s="6" t="s">
        <v>1373</v>
      </c>
      <c r="D388" s="7">
        <v>2023503067</v>
      </c>
      <c r="E388" s="7">
        <v>2301017006</v>
      </c>
      <c r="F388" s="7" t="s">
        <v>1808</v>
      </c>
      <c r="G388" s="7" t="s">
        <v>13</v>
      </c>
      <c r="H388" s="11" t="s">
        <v>1374</v>
      </c>
      <c r="I388" s="6" t="s">
        <v>2585</v>
      </c>
      <c r="J388" s="6" t="s">
        <v>2586</v>
      </c>
      <c r="K388" s="6" t="s">
        <v>15</v>
      </c>
      <c r="L388" s="6" t="s">
        <v>49</v>
      </c>
      <c r="M388" s="6" t="s">
        <v>21</v>
      </c>
      <c r="N388" s="7" t="s">
        <v>18</v>
      </c>
      <c r="O388" s="23" t="s">
        <v>3611</v>
      </c>
      <c r="R388" s="23" t="s">
        <v>3612</v>
      </c>
      <c r="S388" s="2" t="s">
        <v>3613</v>
      </c>
      <c r="T388" s="2" t="s">
        <v>3614</v>
      </c>
      <c r="U388" s="2" t="s">
        <v>3615</v>
      </c>
      <c r="V388" s="23" t="s">
        <v>3616</v>
      </c>
      <c r="W388" s="24" t="s">
        <v>3617</v>
      </c>
      <c r="X388" s="23" t="s">
        <v>3618</v>
      </c>
      <c r="Y388" s="23" t="s">
        <v>3619</v>
      </c>
      <c r="Z388" s="23" t="s">
        <v>3620</v>
      </c>
      <c r="AA388" s="23" t="s">
        <v>3621</v>
      </c>
      <c r="AB388" s="8"/>
      <c r="AC388" s="8"/>
      <c r="AD388" s="8"/>
    </row>
    <row r="389" spans="1:30" ht="15.75" customHeight="1">
      <c r="A389" s="10" t="s">
        <v>11</v>
      </c>
      <c r="B389" s="5">
        <v>2402</v>
      </c>
      <c r="C389" s="6" t="s">
        <v>791</v>
      </c>
      <c r="D389" s="7">
        <v>2021316862</v>
      </c>
      <c r="E389" s="7">
        <v>210101007</v>
      </c>
      <c r="F389" s="7" t="s">
        <v>1807</v>
      </c>
      <c r="G389" s="7" t="s">
        <v>13</v>
      </c>
      <c r="H389" s="11" t="s">
        <v>792</v>
      </c>
      <c r="I389" s="6" t="s">
        <v>2587</v>
      </c>
      <c r="J389" s="6" t="s">
        <v>2588</v>
      </c>
      <c r="K389" s="6" t="s">
        <v>15</v>
      </c>
      <c r="L389" s="6" t="e">
        <v>#N/A</v>
      </c>
      <c r="M389" s="6" t="e">
        <v>#N/A</v>
      </c>
      <c r="N389" s="7" t="e">
        <v>#N/A</v>
      </c>
      <c r="O389" s="23" t="s">
        <v>3611</v>
      </c>
      <c r="R389" s="23" t="s">
        <v>3612</v>
      </c>
      <c r="S389" s="2" t="s">
        <v>3613</v>
      </c>
      <c r="T389" s="2" t="s">
        <v>3614</v>
      </c>
      <c r="U389" s="2" t="s">
        <v>3615</v>
      </c>
      <c r="V389" s="23" t="s">
        <v>3616</v>
      </c>
      <c r="W389" s="24" t="s">
        <v>3617</v>
      </c>
      <c r="X389" s="23" t="s">
        <v>3618</v>
      </c>
      <c r="Y389" s="23" t="s">
        <v>3619</v>
      </c>
      <c r="Z389" s="23" t="s">
        <v>3620</v>
      </c>
      <c r="AA389" s="23" t="s">
        <v>3621</v>
      </c>
      <c r="AB389" s="8"/>
      <c r="AC389" s="8"/>
      <c r="AD389" s="8"/>
    </row>
    <row r="390" spans="1:30" ht="15.75" customHeight="1">
      <c r="A390" s="10" t="s">
        <v>11</v>
      </c>
      <c r="B390" s="5">
        <v>2402</v>
      </c>
      <c r="C390" s="6" t="s">
        <v>789</v>
      </c>
      <c r="D390" s="7">
        <v>2021301933</v>
      </c>
      <c r="E390" s="7">
        <v>210101058</v>
      </c>
      <c r="F390" s="7" t="s">
        <v>1807</v>
      </c>
      <c r="G390" s="7" t="s">
        <v>13</v>
      </c>
      <c r="H390" s="6" t="s">
        <v>790</v>
      </c>
      <c r="I390" s="6" t="s">
        <v>2589</v>
      </c>
      <c r="J390" s="6" t="s">
        <v>2590</v>
      </c>
      <c r="K390" s="6" t="s">
        <v>15</v>
      </c>
      <c r="L390" s="6" t="e">
        <v>#N/A</v>
      </c>
      <c r="M390" s="6" t="e">
        <v>#N/A</v>
      </c>
      <c r="N390" s="7" t="e">
        <v>#N/A</v>
      </c>
      <c r="O390" s="23" t="s">
        <v>3611</v>
      </c>
      <c r="R390" s="23" t="s">
        <v>3612</v>
      </c>
      <c r="S390" s="2" t="s">
        <v>3613</v>
      </c>
      <c r="T390" s="2" t="s">
        <v>3614</v>
      </c>
      <c r="U390" s="2" t="s">
        <v>3615</v>
      </c>
      <c r="V390" s="23" t="s">
        <v>3616</v>
      </c>
      <c r="W390" s="24" t="s">
        <v>3617</v>
      </c>
      <c r="X390" s="23" t="s">
        <v>3618</v>
      </c>
      <c r="Y390" s="23" t="s">
        <v>3619</v>
      </c>
      <c r="Z390" s="23" t="s">
        <v>3620</v>
      </c>
      <c r="AA390" s="23" t="s">
        <v>3621</v>
      </c>
      <c r="AB390" s="8"/>
      <c r="AC390" s="8"/>
      <c r="AD390" s="8"/>
    </row>
    <row r="391" spans="1:30" ht="15.75" customHeight="1">
      <c r="A391" s="10" t="s">
        <v>11</v>
      </c>
      <c r="B391" s="5">
        <v>2402</v>
      </c>
      <c r="C391" s="6" t="s">
        <v>795</v>
      </c>
      <c r="D391" s="7">
        <v>2021373068</v>
      </c>
      <c r="E391" s="7">
        <v>210101077</v>
      </c>
      <c r="F391" s="7" t="s">
        <v>1807</v>
      </c>
      <c r="G391" s="7" t="s">
        <v>13</v>
      </c>
      <c r="H391" s="6" t="s">
        <v>796</v>
      </c>
      <c r="I391" s="6" t="s">
        <v>2591</v>
      </c>
      <c r="J391" s="6" t="s">
        <v>2592</v>
      </c>
      <c r="K391" s="6" t="s">
        <v>15</v>
      </c>
      <c r="L391" s="6" t="e">
        <v>#N/A</v>
      </c>
      <c r="M391" s="6" t="e">
        <v>#N/A</v>
      </c>
      <c r="N391" s="7" t="e">
        <v>#N/A</v>
      </c>
      <c r="O391" s="23" t="s">
        <v>3611</v>
      </c>
      <c r="R391" s="23" t="s">
        <v>3612</v>
      </c>
      <c r="S391" s="2" t="s">
        <v>3613</v>
      </c>
      <c r="T391" s="2" t="s">
        <v>3614</v>
      </c>
      <c r="U391" s="2" t="s">
        <v>3615</v>
      </c>
      <c r="V391" s="23" t="s">
        <v>3616</v>
      </c>
      <c r="W391" s="24" t="s">
        <v>3617</v>
      </c>
      <c r="X391" s="23" t="s">
        <v>3618</v>
      </c>
      <c r="Y391" s="23" t="s">
        <v>3619</v>
      </c>
      <c r="Z391" s="23" t="s">
        <v>3620</v>
      </c>
      <c r="AA391" s="23" t="s">
        <v>3621</v>
      </c>
      <c r="AB391" s="8"/>
      <c r="AC391" s="8"/>
      <c r="AD391" s="8"/>
    </row>
    <row r="392" spans="1:30" ht="15.75" customHeight="1">
      <c r="A392" s="10" t="s">
        <v>11</v>
      </c>
      <c r="B392" s="5">
        <v>2402</v>
      </c>
      <c r="C392" s="6" t="s">
        <v>797</v>
      </c>
      <c r="D392" s="7">
        <v>2021396844</v>
      </c>
      <c r="E392" s="7">
        <v>210101170</v>
      </c>
      <c r="F392" s="7" t="s">
        <v>1807</v>
      </c>
      <c r="G392" s="7" t="s">
        <v>13</v>
      </c>
      <c r="H392" s="6" t="s">
        <v>798</v>
      </c>
      <c r="I392" s="6" t="s">
        <v>2593</v>
      </c>
      <c r="J392" s="6" t="s">
        <v>2594</v>
      </c>
      <c r="K392" s="6" t="s">
        <v>15</v>
      </c>
      <c r="L392" s="6" t="e">
        <v>#N/A</v>
      </c>
      <c r="M392" s="6" t="e">
        <v>#N/A</v>
      </c>
      <c r="N392" s="7" t="e">
        <v>#N/A</v>
      </c>
      <c r="O392" s="23" t="s">
        <v>3611</v>
      </c>
      <c r="R392" s="23" t="s">
        <v>3612</v>
      </c>
      <c r="S392" s="2" t="s">
        <v>3613</v>
      </c>
      <c r="T392" s="2" t="s">
        <v>3614</v>
      </c>
      <c r="U392" s="2" t="s">
        <v>3615</v>
      </c>
      <c r="V392" s="23" t="s">
        <v>3616</v>
      </c>
      <c r="W392" s="24" t="s">
        <v>3617</v>
      </c>
      <c r="X392" s="23" t="s">
        <v>3618</v>
      </c>
      <c r="Y392" s="23" t="s">
        <v>3619</v>
      </c>
      <c r="Z392" s="23" t="s">
        <v>3620</v>
      </c>
      <c r="AA392" s="23" t="s">
        <v>3621</v>
      </c>
      <c r="AB392" s="8"/>
      <c r="AC392" s="8"/>
      <c r="AD392" s="8"/>
    </row>
    <row r="393" spans="1:30" ht="15.75" customHeight="1">
      <c r="A393" s="10" t="s">
        <v>11</v>
      </c>
      <c r="B393" s="5">
        <v>2402</v>
      </c>
      <c r="C393" s="6" t="s">
        <v>803</v>
      </c>
      <c r="D393" s="7">
        <v>2021447448</v>
      </c>
      <c r="E393" s="7">
        <v>210101223</v>
      </c>
      <c r="F393" s="7" t="s">
        <v>1807</v>
      </c>
      <c r="G393" s="7" t="s">
        <v>13</v>
      </c>
      <c r="H393" s="6" t="s">
        <v>804</v>
      </c>
      <c r="I393" s="6" t="s">
        <v>2595</v>
      </c>
      <c r="J393" s="6" t="s">
        <v>2596</v>
      </c>
      <c r="K393" s="6" t="s">
        <v>15</v>
      </c>
      <c r="L393" s="6" t="e">
        <v>#N/A</v>
      </c>
      <c r="M393" s="6" t="e">
        <v>#N/A</v>
      </c>
      <c r="N393" s="7" t="e">
        <v>#N/A</v>
      </c>
      <c r="O393" s="23" t="s">
        <v>3611</v>
      </c>
      <c r="R393" s="23" t="s">
        <v>3612</v>
      </c>
      <c r="S393" s="2" t="s">
        <v>3613</v>
      </c>
      <c r="T393" s="2" t="s">
        <v>3614</v>
      </c>
      <c r="U393" s="2" t="s">
        <v>3615</v>
      </c>
      <c r="V393" s="23" t="s">
        <v>3616</v>
      </c>
      <c r="W393" s="24" t="s">
        <v>3617</v>
      </c>
      <c r="X393" s="23" t="s">
        <v>3618</v>
      </c>
      <c r="Y393" s="23" t="s">
        <v>3619</v>
      </c>
      <c r="Z393" s="23" t="s">
        <v>3620</v>
      </c>
      <c r="AA393" s="23" t="s">
        <v>3621</v>
      </c>
      <c r="AB393" s="8"/>
      <c r="AC393" s="8"/>
      <c r="AD393" s="8"/>
    </row>
    <row r="394" spans="1:30" ht="15.75" customHeight="1">
      <c r="A394" s="10" t="s">
        <v>11</v>
      </c>
      <c r="B394" s="5">
        <v>2402</v>
      </c>
      <c r="C394" s="6" t="s">
        <v>799</v>
      </c>
      <c r="D394" s="7">
        <v>2021428834</v>
      </c>
      <c r="E394" s="7">
        <v>210101239</v>
      </c>
      <c r="F394" s="7" t="s">
        <v>1807</v>
      </c>
      <c r="G394" s="7" t="s">
        <v>13</v>
      </c>
      <c r="H394" s="11" t="s">
        <v>800</v>
      </c>
      <c r="I394" s="6" t="s">
        <v>2597</v>
      </c>
      <c r="J394" s="6" t="s">
        <v>2598</v>
      </c>
      <c r="K394" s="6" t="s">
        <v>15</v>
      </c>
      <c r="L394" s="6" t="e">
        <v>#N/A</v>
      </c>
      <c r="M394" s="6" t="e">
        <v>#N/A</v>
      </c>
      <c r="N394" s="7" t="e">
        <v>#N/A</v>
      </c>
      <c r="O394" s="23" t="s">
        <v>3611</v>
      </c>
      <c r="R394" s="23" t="s">
        <v>3612</v>
      </c>
      <c r="S394" s="2" t="s">
        <v>3613</v>
      </c>
      <c r="T394" s="2" t="s">
        <v>3614</v>
      </c>
      <c r="U394" s="2" t="s">
        <v>3615</v>
      </c>
      <c r="V394" s="23" t="s">
        <v>3616</v>
      </c>
      <c r="W394" s="24" t="s">
        <v>3617</v>
      </c>
      <c r="X394" s="23" t="s">
        <v>3618</v>
      </c>
      <c r="Y394" s="23" t="s">
        <v>3619</v>
      </c>
      <c r="Z394" s="23" t="s">
        <v>3620</v>
      </c>
      <c r="AA394" s="23" t="s">
        <v>3621</v>
      </c>
      <c r="AB394" s="8"/>
      <c r="AC394" s="8"/>
      <c r="AD394" s="8"/>
    </row>
    <row r="395" spans="1:30" ht="15.75" customHeight="1">
      <c r="A395" s="10" t="s">
        <v>11</v>
      </c>
      <c r="B395" s="5">
        <v>2402</v>
      </c>
      <c r="C395" s="6" t="s">
        <v>801</v>
      </c>
      <c r="D395" s="7">
        <v>2021446146</v>
      </c>
      <c r="E395" s="7">
        <v>210101241</v>
      </c>
      <c r="F395" s="7" t="s">
        <v>1807</v>
      </c>
      <c r="G395" s="7" t="s">
        <v>13</v>
      </c>
      <c r="H395" s="6" t="s">
        <v>802</v>
      </c>
      <c r="I395" s="6" t="s">
        <v>2599</v>
      </c>
      <c r="J395" s="6" t="s">
        <v>2600</v>
      </c>
      <c r="K395" s="6" t="s">
        <v>15</v>
      </c>
      <c r="L395" s="6" t="e">
        <v>#N/A</v>
      </c>
      <c r="M395" s="6" t="e">
        <v>#N/A</v>
      </c>
      <c r="N395" s="7" t="e">
        <v>#N/A</v>
      </c>
      <c r="O395" s="23" t="s">
        <v>3611</v>
      </c>
      <c r="R395" s="23" t="s">
        <v>3612</v>
      </c>
      <c r="S395" s="2" t="s">
        <v>3613</v>
      </c>
      <c r="T395" s="2" t="s">
        <v>3614</v>
      </c>
      <c r="U395" s="2" t="s">
        <v>3615</v>
      </c>
      <c r="V395" s="23" t="s">
        <v>3616</v>
      </c>
      <c r="W395" s="24" t="s">
        <v>3617</v>
      </c>
      <c r="X395" s="23" t="s">
        <v>3618</v>
      </c>
      <c r="Y395" s="23" t="s">
        <v>3619</v>
      </c>
      <c r="Z395" s="23" t="s">
        <v>3620</v>
      </c>
      <c r="AA395" s="23" t="s">
        <v>3621</v>
      </c>
      <c r="AB395" s="8"/>
      <c r="AC395" s="8"/>
      <c r="AD395" s="8"/>
    </row>
    <row r="396" spans="1:30" ht="15.75" customHeight="1">
      <c r="A396" s="10" t="s">
        <v>11</v>
      </c>
      <c r="B396" s="5">
        <v>2402</v>
      </c>
      <c r="C396" s="6" t="s">
        <v>805</v>
      </c>
      <c r="D396" s="7">
        <v>2021474998</v>
      </c>
      <c r="E396" s="7">
        <v>210101366</v>
      </c>
      <c r="F396" s="7" t="s">
        <v>1807</v>
      </c>
      <c r="G396" s="7" t="s">
        <v>13</v>
      </c>
      <c r="H396" s="6" t="s">
        <v>806</v>
      </c>
      <c r="I396" s="6" t="s">
        <v>2601</v>
      </c>
      <c r="J396" s="6" t="s">
        <v>2602</v>
      </c>
      <c r="K396" s="6" t="s">
        <v>15</v>
      </c>
      <c r="L396" s="6" t="e">
        <v>#N/A</v>
      </c>
      <c r="M396" s="6" t="e">
        <v>#N/A</v>
      </c>
      <c r="N396" s="7" t="e">
        <v>#N/A</v>
      </c>
      <c r="O396" s="23" t="s">
        <v>3611</v>
      </c>
      <c r="R396" s="23" t="s">
        <v>3612</v>
      </c>
      <c r="S396" s="2" t="s">
        <v>3613</v>
      </c>
      <c r="T396" s="2" t="s">
        <v>3614</v>
      </c>
      <c r="U396" s="2" t="s">
        <v>3615</v>
      </c>
      <c r="V396" s="23" t="s">
        <v>3616</v>
      </c>
      <c r="W396" s="24" t="s">
        <v>3617</v>
      </c>
      <c r="X396" s="23" t="s">
        <v>3618</v>
      </c>
      <c r="Y396" s="23" t="s">
        <v>3619</v>
      </c>
      <c r="Z396" s="23" t="s">
        <v>3620</v>
      </c>
      <c r="AA396" s="23" t="s">
        <v>3621</v>
      </c>
      <c r="AB396" s="8"/>
      <c r="AC396" s="8"/>
      <c r="AD396" s="8"/>
    </row>
    <row r="397" spans="1:30" ht="15.75" customHeight="1">
      <c r="A397" s="10" t="s">
        <v>11</v>
      </c>
      <c r="B397" s="5">
        <v>2402</v>
      </c>
      <c r="C397" s="6" t="s">
        <v>787</v>
      </c>
      <c r="D397" s="7">
        <v>2021300643</v>
      </c>
      <c r="E397" s="7">
        <v>210101393</v>
      </c>
      <c r="F397" s="7" t="s">
        <v>1807</v>
      </c>
      <c r="G397" s="7" t="s">
        <v>13</v>
      </c>
      <c r="H397" s="6" t="s">
        <v>788</v>
      </c>
      <c r="I397" s="6" t="s">
        <v>2603</v>
      </c>
      <c r="J397" s="6" t="s">
        <v>2604</v>
      </c>
      <c r="K397" s="6" t="s">
        <v>15</v>
      </c>
      <c r="L397" s="6" t="e">
        <v>#N/A</v>
      </c>
      <c r="M397" s="6" t="e">
        <v>#N/A</v>
      </c>
      <c r="N397" s="7" t="e">
        <v>#N/A</v>
      </c>
      <c r="O397" s="23" t="s">
        <v>3611</v>
      </c>
      <c r="R397" s="23" t="s">
        <v>3612</v>
      </c>
      <c r="S397" s="2" t="s">
        <v>3613</v>
      </c>
      <c r="T397" s="2" t="s">
        <v>3614</v>
      </c>
      <c r="U397" s="2" t="s">
        <v>3615</v>
      </c>
      <c r="V397" s="23" t="s">
        <v>3616</v>
      </c>
      <c r="W397" s="24" t="s">
        <v>3617</v>
      </c>
      <c r="X397" s="23" t="s">
        <v>3618</v>
      </c>
      <c r="Y397" s="23" t="s">
        <v>3619</v>
      </c>
      <c r="Z397" s="23" t="s">
        <v>3620</v>
      </c>
      <c r="AA397" s="23" t="s">
        <v>3621</v>
      </c>
      <c r="AB397" s="8"/>
      <c r="AC397" s="8"/>
      <c r="AD397" s="8"/>
    </row>
    <row r="398" spans="1:30" ht="15.75" customHeight="1">
      <c r="A398" s="10" t="s">
        <v>11</v>
      </c>
      <c r="B398" s="5">
        <v>2402</v>
      </c>
      <c r="C398" s="6" t="s">
        <v>793</v>
      </c>
      <c r="D398" s="7">
        <v>2021361239</v>
      </c>
      <c r="E398" s="7">
        <v>210101480</v>
      </c>
      <c r="F398" s="7" t="s">
        <v>1807</v>
      </c>
      <c r="G398" s="7" t="s">
        <v>13</v>
      </c>
      <c r="H398" s="6" t="s">
        <v>794</v>
      </c>
      <c r="I398" s="6" t="s">
        <v>2605</v>
      </c>
      <c r="J398" s="6" t="s">
        <v>2606</v>
      </c>
      <c r="K398" s="6" t="s">
        <v>15</v>
      </c>
      <c r="L398" s="6" t="e">
        <v>#N/A</v>
      </c>
      <c r="M398" s="6" t="e">
        <v>#N/A</v>
      </c>
      <c r="N398" s="7" t="e">
        <v>#N/A</v>
      </c>
      <c r="O398" s="23" t="s">
        <v>3611</v>
      </c>
      <c r="R398" s="23" t="s">
        <v>3612</v>
      </c>
      <c r="S398" s="2" t="s">
        <v>3613</v>
      </c>
      <c r="T398" s="2" t="s">
        <v>3614</v>
      </c>
      <c r="U398" s="2" t="s">
        <v>3615</v>
      </c>
      <c r="V398" s="23" t="s">
        <v>3616</v>
      </c>
      <c r="W398" s="24" t="s">
        <v>3617</v>
      </c>
      <c r="X398" s="23" t="s">
        <v>3618</v>
      </c>
      <c r="Y398" s="23" t="s">
        <v>3619</v>
      </c>
      <c r="Z398" s="23" t="s">
        <v>3620</v>
      </c>
      <c r="AA398" s="23" t="s">
        <v>3621</v>
      </c>
      <c r="AB398" s="8"/>
      <c r="AC398" s="8"/>
      <c r="AD398" s="8"/>
    </row>
    <row r="399" spans="1:30" ht="15.75" customHeight="1">
      <c r="A399" s="4" t="s">
        <v>11</v>
      </c>
      <c r="B399" s="5">
        <v>2402</v>
      </c>
      <c r="C399" s="6" t="s">
        <v>22</v>
      </c>
      <c r="D399" s="7">
        <v>2022002562</v>
      </c>
      <c r="E399" s="7">
        <v>2201010041</v>
      </c>
      <c r="F399" s="7" t="s">
        <v>1807</v>
      </c>
      <c r="G399" s="7" t="s">
        <v>13</v>
      </c>
      <c r="H399" s="6" t="s">
        <v>23</v>
      </c>
      <c r="I399" s="6" t="s">
        <v>2607</v>
      </c>
      <c r="J399" s="6" t="s">
        <v>2608</v>
      </c>
      <c r="K399" s="6" t="s">
        <v>15</v>
      </c>
      <c r="L399" s="6" t="s">
        <v>16</v>
      </c>
      <c r="M399" s="6" t="s">
        <v>16</v>
      </c>
      <c r="N399" s="7" t="s">
        <v>18</v>
      </c>
      <c r="O399" s="23" t="s">
        <v>3611</v>
      </c>
      <c r="R399" s="23" t="s">
        <v>3612</v>
      </c>
      <c r="S399" s="2" t="s">
        <v>3613</v>
      </c>
      <c r="T399" s="2" t="s">
        <v>3614</v>
      </c>
      <c r="U399" s="2" t="s">
        <v>3615</v>
      </c>
      <c r="V399" s="23" t="s">
        <v>3616</v>
      </c>
      <c r="W399" s="24" t="s">
        <v>3617</v>
      </c>
      <c r="X399" s="23" t="s">
        <v>3618</v>
      </c>
      <c r="Y399" s="23" t="s">
        <v>3619</v>
      </c>
      <c r="Z399" s="23" t="s">
        <v>3620</v>
      </c>
      <c r="AA399" s="23" t="s">
        <v>3621</v>
      </c>
      <c r="AB399" s="8"/>
      <c r="AC399" s="8"/>
      <c r="AD399" s="8"/>
    </row>
    <row r="400" spans="1:30" ht="15.75" customHeight="1">
      <c r="A400" s="4" t="s">
        <v>11</v>
      </c>
      <c r="B400" s="5">
        <v>2402</v>
      </c>
      <c r="C400" s="6" t="s">
        <v>126</v>
      </c>
      <c r="D400" s="7">
        <v>2022439077</v>
      </c>
      <c r="E400" s="7">
        <v>2201010048</v>
      </c>
      <c r="F400" s="7" t="s">
        <v>1807</v>
      </c>
      <c r="G400" s="7" t="s">
        <v>13</v>
      </c>
      <c r="H400" s="6" t="s">
        <v>127</v>
      </c>
      <c r="I400" s="6" t="s">
        <v>2609</v>
      </c>
      <c r="J400" s="6" t="s">
        <v>2610</v>
      </c>
      <c r="K400" s="6" t="s">
        <v>15</v>
      </c>
      <c r="L400" s="6" t="s">
        <v>117</v>
      </c>
      <c r="M400" s="6" t="s">
        <v>21</v>
      </c>
      <c r="N400" s="7" t="s">
        <v>18</v>
      </c>
      <c r="O400" s="23" t="s">
        <v>3611</v>
      </c>
      <c r="R400" s="23" t="s">
        <v>3612</v>
      </c>
      <c r="S400" s="2" t="s">
        <v>3613</v>
      </c>
      <c r="T400" s="2" t="s">
        <v>3614</v>
      </c>
      <c r="U400" s="2" t="s">
        <v>3615</v>
      </c>
      <c r="V400" s="23" t="s">
        <v>3616</v>
      </c>
      <c r="W400" s="24" t="s">
        <v>3617</v>
      </c>
      <c r="X400" s="23" t="s">
        <v>3618</v>
      </c>
      <c r="Y400" s="23" t="s">
        <v>3619</v>
      </c>
      <c r="Z400" s="23" t="s">
        <v>3620</v>
      </c>
      <c r="AA400" s="23" t="s">
        <v>3621</v>
      </c>
      <c r="AB400" s="8"/>
      <c r="AC400" s="8"/>
      <c r="AD400" s="8"/>
    </row>
    <row r="401" spans="1:30" ht="15.75" customHeight="1">
      <c r="A401" s="10" t="s">
        <v>11</v>
      </c>
      <c r="B401" s="5">
        <v>2402</v>
      </c>
      <c r="C401" s="6" t="s">
        <v>814</v>
      </c>
      <c r="D401" s="7">
        <v>2022005321</v>
      </c>
      <c r="E401" s="7">
        <v>2201010051</v>
      </c>
      <c r="F401" s="7" t="s">
        <v>1807</v>
      </c>
      <c r="G401" s="7" t="s">
        <v>13</v>
      </c>
      <c r="H401" s="6" t="s">
        <v>815</v>
      </c>
      <c r="I401" s="6" t="s">
        <v>2611</v>
      </c>
      <c r="J401" s="6" t="s">
        <v>2612</v>
      </c>
      <c r="K401" s="6" t="s">
        <v>15</v>
      </c>
      <c r="L401" s="6" t="s">
        <v>21</v>
      </c>
      <c r="M401" s="6" t="s">
        <v>16</v>
      </c>
      <c r="N401" s="7" t="s">
        <v>18</v>
      </c>
      <c r="O401" s="23" t="s">
        <v>3611</v>
      </c>
      <c r="R401" s="23" t="s">
        <v>3612</v>
      </c>
      <c r="S401" s="2" t="s">
        <v>3613</v>
      </c>
      <c r="T401" s="2" t="s">
        <v>3614</v>
      </c>
      <c r="U401" s="2" t="s">
        <v>3615</v>
      </c>
      <c r="V401" s="23" t="s">
        <v>3616</v>
      </c>
      <c r="W401" s="24" t="s">
        <v>3617</v>
      </c>
      <c r="X401" s="23" t="s">
        <v>3618</v>
      </c>
      <c r="Y401" s="23" t="s">
        <v>3619</v>
      </c>
      <c r="Z401" s="23" t="s">
        <v>3620</v>
      </c>
      <c r="AA401" s="23" t="s">
        <v>3621</v>
      </c>
      <c r="AB401" s="8"/>
      <c r="AC401" s="8"/>
      <c r="AD401" s="8"/>
    </row>
    <row r="402" spans="1:30" ht="15.75" customHeight="1">
      <c r="A402" s="4" t="s">
        <v>11</v>
      </c>
      <c r="B402" s="5">
        <v>2402</v>
      </c>
      <c r="C402" s="6" t="s">
        <v>113</v>
      </c>
      <c r="D402" s="7">
        <v>2022526282</v>
      </c>
      <c r="E402" s="7">
        <v>2201010053</v>
      </c>
      <c r="F402" s="7" t="s">
        <v>1807</v>
      </c>
      <c r="G402" s="7" t="s">
        <v>13</v>
      </c>
      <c r="H402" s="6" t="s">
        <v>114</v>
      </c>
      <c r="I402" s="6" t="s">
        <v>2613</v>
      </c>
      <c r="J402" s="6" t="s">
        <v>2614</v>
      </c>
      <c r="K402" s="6" t="s">
        <v>15</v>
      </c>
      <c r="L402" s="6" t="s">
        <v>16</v>
      </c>
      <c r="M402" s="6" t="s">
        <v>21</v>
      </c>
      <c r="N402" s="7" t="s">
        <v>18</v>
      </c>
      <c r="O402" s="23" t="s">
        <v>3611</v>
      </c>
      <c r="R402" s="23" t="s">
        <v>3612</v>
      </c>
      <c r="S402" s="2" t="s">
        <v>3613</v>
      </c>
      <c r="T402" s="2" t="s">
        <v>3614</v>
      </c>
      <c r="U402" s="2" t="s">
        <v>3615</v>
      </c>
      <c r="V402" s="23" t="s">
        <v>3616</v>
      </c>
      <c r="W402" s="24" t="s">
        <v>3617</v>
      </c>
      <c r="X402" s="23" t="s">
        <v>3618</v>
      </c>
      <c r="Y402" s="23" t="s">
        <v>3619</v>
      </c>
      <c r="Z402" s="23" t="s">
        <v>3620</v>
      </c>
      <c r="AA402" s="23" t="s">
        <v>3621</v>
      </c>
      <c r="AB402" s="8"/>
      <c r="AC402" s="8"/>
      <c r="AD402" s="8"/>
    </row>
    <row r="403" spans="1:30" ht="15.75" customHeight="1">
      <c r="A403" s="4" t="s">
        <v>11</v>
      </c>
      <c r="B403" s="5">
        <v>2402</v>
      </c>
      <c r="C403" s="6" t="s">
        <v>88</v>
      </c>
      <c r="D403" s="7">
        <v>2022484684</v>
      </c>
      <c r="E403" s="7">
        <v>2201010056</v>
      </c>
      <c r="F403" s="7" t="s">
        <v>1807</v>
      </c>
      <c r="G403" s="7" t="s">
        <v>13</v>
      </c>
      <c r="H403" s="6" t="s">
        <v>89</v>
      </c>
      <c r="I403" s="6" t="s">
        <v>2615</v>
      </c>
      <c r="J403" s="6" t="s">
        <v>2616</v>
      </c>
      <c r="K403" s="6" t="s">
        <v>15</v>
      </c>
      <c r="L403" s="6" t="s">
        <v>16</v>
      </c>
      <c r="M403" s="6" t="s">
        <v>17</v>
      </c>
      <c r="N403" s="7" t="s">
        <v>18</v>
      </c>
      <c r="O403" s="23" t="s">
        <v>3611</v>
      </c>
      <c r="R403" s="23" t="s">
        <v>3612</v>
      </c>
      <c r="S403" s="2" t="s">
        <v>3613</v>
      </c>
      <c r="T403" s="2" t="s">
        <v>3614</v>
      </c>
      <c r="U403" s="2" t="s">
        <v>3615</v>
      </c>
      <c r="V403" s="23" t="s">
        <v>3616</v>
      </c>
      <c r="W403" s="24" t="s">
        <v>3617</v>
      </c>
      <c r="X403" s="23" t="s">
        <v>3618</v>
      </c>
      <c r="Y403" s="23" t="s">
        <v>3619</v>
      </c>
      <c r="Z403" s="23" t="s">
        <v>3620</v>
      </c>
      <c r="AA403" s="23" t="s">
        <v>3621</v>
      </c>
      <c r="AB403" s="8"/>
      <c r="AC403" s="8"/>
      <c r="AD403" s="8"/>
    </row>
    <row r="404" spans="1:30" ht="15.75" customHeight="1">
      <c r="A404" s="4" t="s">
        <v>11</v>
      </c>
      <c r="B404" s="5">
        <v>2402</v>
      </c>
      <c r="C404" s="6" t="s">
        <v>84</v>
      </c>
      <c r="D404" s="7">
        <v>2022473379</v>
      </c>
      <c r="E404" s="7">
        <v>2201010070</v>
      </c>
      <c r="F404" s="7" t="s">
        <v>1807</v>
      </c>
      <c r="G404" s="7" t="s">
        <v>13</v>
      </c>
      <c r="H404" s="6" t="s">
        <v>85</v>
      </c>
      <c r="I404" s="6" t="s">
        <v>2617</v>
      </c>
      <c r="J404" s="6" t="s">
        <v>2618</v>
      </c>
      <c r="K404" s="6" t="s">
        <v>15</v>
      </c>
      <c r="L404" s="6" t="s">
        <v>21</v>
      </c>
      <c r="M404" s="6" t="s">
        <v>16</v>
      </c>
      <c r="N404" s="7" t="s">
        <v>18</v>
      </c>
      <c r="O404" s="23" t="s">
        <v>3611</v>
      </c>
      <c r="R404" s="23" t="s">
        <v>3612</v>
      </c>
      <c r="S404" s="2" t="s">
        <v>3613</v>
      </c>
      <c r="T404" s="2" t="s">
        <v>3614</v>
      </c>
      <c r="U404" s="2" t="s">
        <v>3615</v>
      </c>
      <c r="V404" s="23" t="s">
        <v>3616</v>
      </c>
      <c r="W404" s="24" t="s">
        <v>3617</v>
      </c>
      <c r="X404" s="23" t="s">
        <v>3618</v>
      </c>
      <c r="Y404" s="23" t="s">
        <v>3619</v>
      </c>
      <c r="Z404" s="23" t="s">
        <v>3620</v>
      </c>
      <c r="AA404" s="23" t="s">
        <v>3621</v>
      </c>
      <c r="AB404" s="8"/>
      <c r="AC404" s="8"/>
      <c r="AD404" s="8"/>
    </row>
    <row r="405" spans="1:30" ht="15.75" customHeight="1">
      <c r="A405" s="4" t="s">
        <v>11</v>
      </c>
      <c r="B405" s="5">
        <v>2402</v>
      </c>
      <c r="C405" s="6" t="s">
        <v>31</v>
      </c>
      <c r="D405" s="7">
        <v>2022003597</v>
      </c>
      <c r="E405" s="7">
        <v>2201010086</v>
      </c>
      <c r="F405" s="7" t="s">
        <v>1807</v>
      </c>
      <c r="G405" s="7" t="s">
        <v>13</v>
      </c>
      <c r="H405" s="6" t="s">
        <v>32</v>
      </c>
      <c r="I405" s="6" t="s">
        <v>2619</v>
      </c>
      <c r="J405" s="6" t="s">
        <v>2620</v>
      </c>
      <c r="K405" s="6" t="s">
        <v>15</v>
      </c>
      <c r="L405" s="6" t="s">
        <v>21</v>
      </c>
      <c r="M405" s="6" t="s">
        <v>16</v>
      </c>
      <c r="N405" s="7" t="s">
        <v>18</v>
      </c>
      <c r="O405" s="23" t="s">
        <v>3611</v>
      </c>
      <c r="R405" s="23" t="s">
        <v>3612</v>
      </c>
      <c r="S405" s="2" t="s">
        <v>3613</v>
      </c>
      <c r="T405" s="2" t="s">
        <v>3614</v>
      </c>
      <c r="U405" s="2" t="s">
        <v>3615</v>
      </c>
      <c r="V405" s="23" t="s">
        <v>3616</v>
      </c>
      <c r="W405" s="24" t="s">
        <v>3617</v>
      </c>
      <c r="X405" s="23" t="s">
        <v>3618</v>
      </c>
      <c r="Y405" s="23" t="s">
        <v>3619</v>
      </c>
      <c r="Z405" s="23" t="s">
        <v>3620</v>
      </c>
      <c r="AA405" s="23" t="s">
        <v>3621</v>
      </c>
      <c r="AB405" s="8"/>
      <c r="AC405" s="8"/>
      <c r="AD405" s="8"/>
    </row>
    <row r="406" spans="1:30" ht="15.75" customHeight="1">
      <c r="A406" s="4" t="s">
        <v>11</v>
      </c>
      <c r="B406" s="5">
        <v>2402</v>
      </c>
      <c r="C406" s="6" t="s">
        <v>74</v>
      </c>
      <c r="D406" s="7">
        <v>2022434676</v>
      </c>
      <c r="E406" s="7">
        <v>2201010091</v>
      </c>
      <c r="F406" s="7" t="s">
        <v>1807</v>
      </c>
      <c r="G406" s="7" t="s">
        <v>13</v>
      </c>
      <c r="H406" s="6" t="s">
        <v>75</v>
      </c>
      <c r="I406" s="6" t="s">
        <v>2621</v>
      </c>
      <c r="J406" s="6" t="s">
        <v>2622</v>
      </c>
      <c r="K406" s="6" t="s">
        <v>15</v>
      </c>
      <c r="L406" s="6" t="s">
        <v>16</v>
      </c>
      <c r="M406" s="6" t="s">
        <v>21</v>
      </c>
      <c r="N406" s="7" t="s">
        <v>18</v>
      </c>
      <c r="O406" s="23" t="s">
        <v>3611</v>
      </c>
      <c r="R406" s="23" t="s">
        <v>3612</v>
      </c>
      <c r="S406" s="2" t="s">
        <v>3613</v>
      </c>
      <c r="T406" s="2" t="s">
        <v>3614</v>
      </c>
      <c r="U406" s="2" t="s">
        <v>3615</v>
      </c>
      <c r="V406" s="23" t="s">
        <v>3616</v>
      </c>
      <c r="W406" s="24" t="s">
        <v>3617</v>
      </c>
      <c r="X406" s="23" t="s">
        <v>3618</v>
      </c>
      <c r="Y406" s="23" t="s">
        <v>3619</v>
      </c>
      <c r="Z406" s="23" t="s">
        <v>3620</v>
      </c>
      <c r="AA406" s="23" t="s">
        <v>3621</v>
      </c>
      <c r="AB406" s="8"/>
      <c r="AC406" s="8"/>
      <c r="AD406" s="8"/>
    </row>
    <row r="407" spans="1:30" ht="15.75" customHeight="1">
      <c r="A407" s="4" t="s">
        <v>11</v>
      </c>
      <c r="B407" s="5">
        <v>2402</v>
      </c>
      <c r="C407" s="6" t="s">
        <v>41</v>
      </c>
      <c r="D407" s="7">
        <v>2022006171</v>
      </c>
      <c r="E407" s="7">
        <v>2201010101</v>
      </c>
      <c r="F407" s="7" t="s">
        <v>1807</v>
      </c>
      <c r="G407" s="7" t="s">
        <v>13</v>
      </c>
      <c r="H407" s="6" t="s">
        <v>42</v>
      </c>
      <c r="I407" s="6" t="s">
        <v>2623</v>
      </c>
      <c r="J407" s="6" t="s">
        <v>2624</v>
      </c>
      <c r="K407" s="6" t="s">
        <v>15</v>
      </c>
      <c r="L407" s="6" t="s">
        <v>21</v>
      </c>
      <c r="M407" s="6" t="s">
        <v>16</v>
      </c>
      <c r="N407" s="7" t="s">
        <v>18</v>
      </c>
      <c r="O407" s="23" t="s">
        <v>3611</v>
      </c>
      <c r="R407" s="23" t="s">
        <v>3612</v>
      </c>
      <c r="S407" s="2" t="s">
        <v>3613</v>
      </c>
      <c r="T407" s="2" t="s">
        <v>3614</v>
      </c>
      <c r="U407" s="2" t="s">
        <v>3615</v>
      </c>
      <c r="V407" s="23" t="s">
        <v>3616</v>
      </c>
      <c r="W407" s="24" t="s">
        <v>3617</v>
      </c>
      <c r="X407" s="23" t="s">
        <v>3618</v>
      </c>
      <c r="Y407" s="23" t="s">
        <v>3619</v>
      </c>
      <c r="Z407" s="23" t="s">
        <v>3620</v>
      </c>
      <c r="AA407" s="23" t="s">
        <v>3621</v>
      </c>
      <c r="AB407" s="8"/>
      <c r="AC407" s="8"/>
      <c r="AD407" s="8"/>
    </row>
    <row r="408" spans="1:30" ht="15.75" customHeight="1">
      <c r="A408" s="4" t="s">
        <v>11</v>
      </c>
      <c r="B408" s="5">
        <v>2402</v>
      </c>
      <c r="C408" s="6" t="s">
        <v>35</v>
      </c>
      <c r="D408" s="7">
        <v>2022004609</v>
      </c>
      <c r="E408" s="7">
        <v>2201010110</v>
      </c>
      <c r="F408" s="7" t="s">
        <v>1807</v>
      </c>
      <c r="G408" s="7" t="s">
        <v>13</v>
      </c>
      <c r="H408" s="6" t="s">
        <v>36</v>
      </c>
      <c r="I408" s="6" t="s">
        <v>2625</v>
      </c>
      <c r="J408" s="6" t="s">
        <v>2626</v>
      </c>
      <c r="K408" s="6" t="s">
        <v>15</v>
      </c>
      <c r="L408" s="6" t="s">
        <v>16</v>
      </c>
      <c r="M408" s="6" t="s">
        <v>17</v>
      </c>
      <c r="N408" s="7" t="s">
        <v>18</v>
      </c>
      <c r="O408" s="23" t="s">
        <v>3611</v>
      </c>
      <c r="R408" s="23" t="s">
        <v>3612</v>
      </c>
      <c r="S408" s="2" t="s">
        <v>3613</v>
      </c>
      <c r="T408" s="2" t="s">
        <v>3614</v>
      </c>
      <c r="U408" s="2" t="s">
        <v>3615</v>
      </c>
      <c r="V408" s="23" t="s">
        <v>3616</v>
      </c>
      <c r="W408" s="24" t="s">
        <v>3617</v>
      </c>
      <c r="X408" s="23" t="s">
        <v>3618</v>
      </c>
      <c r="Y408" s="23" t="s">
        <v>3619</v>
      </c>
      <c r="Z408" s="23" t="s">
        <v>3620</v>
      </c>
      <c r="AA408" s="23" t="s">
        <v>3621</v>
      </c>
      <c r="AB408" s="8"/>
      <c r="AC408" s="8"/>
      <c r="AD408" s="8"/>
    </row>
    <row r="409" spans="1:30" ht="15.75" customHeight="1">
      <c r="A409" s="4" t="s">
        <v>11</v>
      </c>
      <c r="B409" s="5">
        <v>2402</v>
      </c>
      <c r="C409" s="6" t="s">
        <v>100</v>
      </c>
      <c r="D409" s="7">
        <v>2022502414</v>
      </c>
      <c r="E409" s="7">
        <v>2201010132</v>
      </c>
      <c r="F409" s="7" t="s">
        <v>1807</v>
      </c>
      <c r="G409" s="7" t="s">
        <v>13</v>
      </c>
      <c r="H409" s="6" t="s">
        <v>101</v>
      </c>
      <c r="I409" s="6" t="s">
        <v>2627</v>
      </c>
      <c r="J409" s="6" t="s">
        <v>2628</v>
      </c>
      <c r="K409" s="6" t="s">
        <v>15</v>
      </c>
      <c r="L409" s="6" t="s">
        <v>21</v>
      </c>
      <c r="M409" s="6" t="s">
        <v>16</v>
      </c>
      <c r="N409" s="7" t="s">
        <v>18</v>
      </c>
      <c r="O409" s="23" t="s">
        <v>3611</v>
      </c>
      <c r="R409" s="23" t="s">
        <v>3612</v>
      </c>
      <c r="S409" s="2" t="s">
        <v>3613</v>
      </c>
      <c r="T409" s="2" t="s">
        <v>3614</v>
      </c>
      <c r="U409" s="2" t="s">
        <v>3615</v>
      </c>
      <c r="V409" s="23" t="s">
        <v>3616</v>
      </c>
      <c r="W409" s="24" t="s">
        <v>3617</v>
      </c>
      <c r="X409" s="23" t="s">
        <v>3618</v>
      </c>
      <c r="Y409" s="23" t="s">
        <v>3619</v>
      </c>
      <c r="Z409" s="23" t="s">
        <v>3620</v>
      </c>
      <c r="AA409" s="23" t="s">
        <v>3621</v>
      </c>
      <c r="AB409" s="8"/>
      <c r="AC409" s="8"/>
      <c r="AD409" s="8"/>
    </row>
    <row r="410" spans="1:30" ht="15.75" customHeight="1">
      <c r="A410" s="4" t="s">
        <v>11</v>
      </c>
      <c r="B410" s="5">
        <v>2402</v>
      </c>
      <c r="C410" s="6" t="s">
        <v>47</v>
      </c>
      <c r="D410" s="7">
        <v>2022329124</v>
      </c>
      <c r="E410" s="7">
        <v>2201010138</v>
      </c>
      <c r="F410" s="7" t="s">
        <v>1807</v>
      </c>
      <c r="G410" s="7" t="s">
        <v>13</v>
      </c>
      <c r="H410" s="6" t="s">
        <v>48</v>
      </c>
      <c r="I410" s="6" t="s">
        <v>2629</v>
      </c>
      <c r="J410" s="6" t="s">
        <v>2630</v>
      </c>
      <c r="K410" s="6" t="s">
        <v>15</v>
      </c>
      <c r="L410" s="6" t="s">
        <v>21</v>
      </c>
      <c r="M410" s="6" t="s">
        <v>49</v>
      </c>
      <c r="N410" s="7" t="s">
        <v>18</v>
      </c>
      <c r="O410" s="23" t="s">
        <v>3611</v>
      </c>
      <c r="R410" s="23" t="s">
        <v>3612</v>
      </c>
      <c r="S410" s="2" t="s">
        <v>3613</v>
      </c>
      <c r="T410" s="2" t="s">
        <v>3614</v>
      </c>
      <c r="U410" s="2" t="s">
        <v>3615</v>
      </c>
      <c r="V410" s="23" t="s">
        <v>3616</v>
      </c>
      <c r="W410" s="24" t="s">
        <v>3617</v>
      </c>
      <c r="X410" s="23" t="s">
        <v>3618</v>
      </c>
      <c r="Y410" s="23" t="s">
        <v>3619</v>
      </c>
      <c r="Z410" s="23" t="s">
        <v>3620</v>
      </c>
      <c r="AA410" s="23" t="s">
        <v>3621</v>
      </c>
      <c r="AB410" s="8"/>
      <c r="AC410" s="8"/>
      <c r="AD410" s="8"/>
    </row>
    <row r="411" spans="1:30" ht="15.75" customHeight="1">
      <c r="A411" s="4" t="s">
        <v>11</v>
      </c>
      <c r="B411" s="5">
        <v>2402</v>
      </c>
      <c r="C411" s="6" t="s">
        <v>62</v>
      </c>
      <c r="D411" s="7">
        <v>2022395305</v>
      </c>
      <c r="E411" s="7">
        <v>2201010140</v>
      </c>
      <c r="F411" s="7" t="s">
        <v>1807</v>
      </c>
      <c r="G411" s="7" t="s">
        <v>13</v>
      </c>
      <c r="H411" s="6" t="s">
        <v>63</v>
      </c>
      <c r="I411" s="6" t="s">
        <v>2631</v>
      </c>
      <c r="J411" s="6" t="s">
        <v>2632</v>
      </c>
      <c r="K411" s="6" t="s">
        <v>15</v>
      </c>
      <c r="L411" s="6" t="s">
        <v>16</v>
      </c>
      <c r="M411" s="6" t="s">
        <v>21</v>
      </c>
      <c r="N411" s="7" t="s">
        <v>18</v>
      </c>
      <c r="O411" s="23" t="s">
        <v>3611</v>
      </c>
      <c r="R411" s="23" t="s">
        <v>3612</v>
      </c>
      <c r="S411" s="2" t="s">
        <v>3613</v>
      </c>
      <c r="T411" s="2" t="s">
        <v>3614</v>
      </c>
      <c r="U411" s="2" t="s">
        <v>3615</v>
      </c>
      <c r="V411" s="23" t="s">
        <v>3616</v>
      </c>
      <c r="W411" s="24" t="s">
        <v>3617</v>
      </c>
      <c r="X411" s="23" t="s">
        <v>3618</v>
      </c>
      <c r="Y411" s="23" t="s">
        <v>3619</v>
      </c>
      <c r="Z411" s="23" t="s">
        <v>3620</v>
      </c>
      <c r="AA411" s="23" t="s">
        <v>3621</v>
      </c>
      <c r="AB411" s="8"/>
      <c r="AC411" s="8"/>
      <c r="AD411" s="8"/>
    </row>
    <row r="412" spans="1:30" ht="15.75" customHeight="1">
      <c r="A412" s="4" t="s">
        <v>11</v>
      </c>
      <c r="B412" s="5">
        <v>2402</v>
      </c>
      <c r="C412" s="6" t="s">
        <v>58</v>
      </c>
      <c r="D412" s="7">
        <v>2022386541</v>
      </c>
      <c r="E412" s="7">
        <v>2201010141</v>
      </c>
      <c r="F412" s="7" t="s">
        <v>1807</v>
      </c>
      <c r="G412" s="7" t="s">
        <v>13</v>
      </c>
      <c r="H412" s="6" t="s">
        <v>59</v>
      </c>
      <c r="I412" s="6" t="s">
        <v>2633</v>
      </c>
      <c r="J412" s="6" t="s">
        <v>2634</v>
      </c>
      <c r="K412" s="6" t="s">
        <v>15</v>
      </c>
      <c r="L412" s="6" t="s">
        <v>16</v>
      </c>
      <c r="M412" s="6" t="s">
        <v>21</v>
      </c>
      <c r="N412" s="7" t="s">
        <v>18</v>
      </c>
      <c r="O412" s="23" t="s">
        <v>3611</v>
      </c>
      <c r="R412" s="23" t="s">
        <v>3612</v>
      </c>
      <c r="S412" s="2" t="s">
        <v>3613</v>
      </c>
      <c r="T412" s="2" t="s">
        <v>3614</v>
      </c>
      <c r="U412" s="2" t="s">
        <v>3615</v>
      </c>
      <c r="V412" s="23" t="s">
        <v>3616</v>
      </c>
      <c r="W412" s="24" t="s">
        <v>3617</v>
      </c>
      <c r="X412" s="23" t="s">
        <v>3618</v>
      </c>
      <c r="Y412" s="23" t="s">
        <v>3619</v>
      </c>
      <c r="Z412" s="23" t="s">
        <v>3620</v>
      </c>
      <c r="AA412" s="23" t="s">
        <v>3621</v>
      </c>
      <c r="AB412" s="8"/>
      <c r="AC412" s="8"/>
      <c r="AD412" s="8"/>
    </row>
    <row r="413" spans="1:30" ht="15.75" customHeight="1">
      <c r="A413" s="10" t="s">
        <v>11</v>
      </c>
      <c r="B413" s="5">
        <v>2402</v>
      </c>
      <c r="C413" s="6" t="s">
        <v>785</v>
      </c>
      <c r="D413" s="7">
        <v>2022557408</v>
      </c>
      <c r="E413" s="7">
        <v>2201010176</v>
      </c>
      <c r="F413" s="7" t="s">
        <v>1807</v>
      </c>
      <c r="G413" s="7" t="s">
        <v>13</v>
      </c>
      <c r="H413" s="6" t="s">
        <v>786</v>
      </c>
      <c r="I413" s="6" t="s">
        <v>2635</v>
      </c>
      <c r="J413" s="6" t="s">
        <v>2636</v>
      </c>
      <c r="K413" s="6" t="s">
        <v>15</v>
      </c>
      <c r="L413" s="6" t="e">
        <v>#N/A</v>
      </c>
      <c r="M413" s="6" t="e">
        <v>#N/A</v>
      </c>
      <c r="N413" s="7" t="e">
        <v>#N/A</v>
      </c>
      <c r="O413" s="23" t="s">
        <v>3611</v>
      </c>
      <c r="R413" s="23" t="s">
        <v>3612</v>
      </c>
      <c r="S413" s="2" t="s">
        <v>3613</v>
      </c>
      <c r="T413" s="2" t="s">
        <v>3614</v>
      </c>
      <c r="U413" s="2" t="s">
        <v>3615</v>
      </c>
      <c r="V413" s="23" t="s">
        <v>3616</v>
      </c>
      <c r="W413" s="24" t="s">
        <v>3617</v>
      </c>
      <c r="X413" s="23" t="s">
        <v>3618</v>
      </c>
      <c r="Y413" s="23" t="s">
        <v>3619</v>
      </c>
      <c r="Z413" s="23" t="s">
        <v>3620</v>
      </c>
      <c r="AA413" s="23" t="s">
        <v>3621</v>
      </c>
      <c r="AB413" s="9"/>
      <c r="AC413" s="9"/>
      <c r="AD413" s="9"/>
    </row>
    <row r="414" spans="1:30" ht="15.75" customHeight="1">
      <c r="A414" s="4" t="s">
        <v>11</v>
      </c>
      <c r="B414" s="5">
        <v>2402</v>
      </c>
      <c r="C414" s="6" t="s">
        <v>118</v>
      </c>
      <c r="D414" s="7">
        <v>2022535159</v>
      </c>
      <c r="E414" s="7">
        <v>2201010197</v>
      </c>
      <c r="F414" s="7" t="s">
        <v>1807</v>
      </c>
      <c r="G414" s="7" t="s">
        <v>13</v>
      </c>
      <c r="H414" s="6" t="s">
        <v>119</v>
      </c>
      <c r="I414" s="6" t="s">
        <v>2637</v>
      </c>
      <c r="J414" s="6" t="s">
        <v>2638</v>
      </c>
      <c r="K414" s="6" t="s">
        <v>15</v>
      </c>
      <c r="L414" s="6" t="s">
        <v>21</v>
      </c>
      <c r="M414" s="6" t="s">
        <v>16</v>
      </c>
      <c r="N414" s="7" t="s">
        <v>18</v>
      </c>
      <c r="O414" s="23" t="s">
        <v>3611</v>
      </c>
      <c r="R414" s="23" t="s">
        <v>3612</v>
      </c>
      <c r="S414" s="2" t="s">
        <v>3613</v>
      </c>
      <c r="T414" s="2" t="s">
        <v>3614</v>
      </c>
      <c r="U414" s="2" t="s">
        <v>3615</v>
      </c>
      <c r="V414" s="23" t="s">
        <v>3616</v>
      </c>
      <c r="W414" s="24" t="s">
        <v>3617</v>
      </c>
      <c r="X414" s="23" t="s">
        <v>3618</v>
      </c>
      <c r="Y414" s="23" t="s">
        <v>3619</v>
      </c>
      <c r="Z414" s="23" t="s">
        <v>3620</v>
      </c>
      <c r="AA414" s="23" t="s">
        <v>3621</v>
      </c>
      <c r="AB414" s="9"/>
      <c r="AC414" s="9"/>
      <c r="AD414" s="9"/>
    </row>
    <row r="415" spans="1:30" ht="15.75" customHeight="1">
      <c r="A415" s="4" t="s">
        <v>11</v>
      </c>
      <c r="B415" s="5">
        <v>2402</v>
      </c>
      <c r="C415" s="6" t="s">
        <v>70</v>
      </c>
      <c r="D415" s="7">
        <v>2022429052</v>
      </c>
      <c r="E415" s="7">
        <v>2201010207</v>
      </c>
      <c r="F415" s="7" t="s">
        <v>1807</v>
      </c>
      <c r="G415" s="7" t="s">
        <v>13</v>
      </c>
      <c r="H415" s="6" t="s">
        <v>71</v>
      </c>
      <c r="I415" s="6" t="s">
        <v>2639</v>
      </c>
      <c r="J415" s="6" t="s">
        <v>2640</v>
      </c>
      <c r="K415" s="6" t="s">
        <v>15</v>
      </c>
      <c r="L415" s="6" t="s">
        <v>21</v>
      </c>
      <c r="M415" s="6" t="s">
        <v>16</v>
      </c>
      <c r="N415" s="7" t="s">
        <v>18</v>
      </c>
      <c r="O415" s="23" t="s">
        <v>3611</v>
      </c>
      <c r="R415" s="23" t="s">
        <v>3612</v>
      </c>
      <c r="S415" s="2" t="s">
        <v>3613</v>
      </c>
      <c r="T415" s="2" t="s">
        <v>3614</v>
      </c>
      <c r="U415" s="2" t="s">
        <v>3615</v>
      </c>
      <c r="V415" s="23" t="s">
        <v>3616</v>
      </c>
      <c r="W415" s="24" t="s">
        <v>3617</v>
      </c>
      <c r="X415" s="23" t="s">
        <v>3618</v>
      </c>
      <c r="Y415" s="23" t="s">
        <v>3619</v>
      </c>
      <c r="Z415" s="23" t="s">
        <v>3620</v>
      </c>
      <c r="AA415" s="23" t="s">
        <v>3621</v>
      </c>
      <c r="AB415" s="9"/>
      <c r="AC415" s="9"/>
      <c r="AD415" s="9"/>
    </row>
    <row r="416" spans="1:30" ht="15.75" customHeight="1">
      <c r="A416" s="4" t="s">
        <v>11</v>
      </c>
      <c r="B416" s="5">
        <v>2402</v>
      </c>
      <c r="C416" s="6" t="s">
        <v>27</v>
      </c>
      <c r="D416" s="7">
        <v>2022003043</v>
      </c>
      <c r="E416" s="7">
        <v>2201010209</v>
      </c>
      <c r="F416" s="7" t="s">
        <v>1807</v>
      </c>
      <c r="G416" s="7" t="s">
        <v>13</v>
      </c>
      <c r="H416" s="6" t="s">
        <v>28</v>
      </c>
      <c r="I416" s="6" t="s">
        <v>2641</v>
      </c>
      <c r="J416" s="6" t="s">
        <v>2642</v>
      </c>
      <c r="K416" s="6" t="s">
        <v>15</v>
      </c>
      <c r="L416" s="6" t="s">
        <v>21</v>
      </c>
      <c r="M416" s="6" t="s">
        <v>16</v>
      </c>
      <c r="N416" s="7" t="s">
        <v>18</v>
      </c>
      <c r="O416" s="23" t="s">
        <v>3611</v>
      </c>
      <c r="R416" s="23" t="s">
        <v>3612</v>
      </c>
      <c r="S416" s="2" t="s">
        <v>3613</v>
      </c>
      <c r="T416" s="2" t="s">
        <v>3614</v>
      </c>
      <c r="U416" s="2" t="s">
        <v>3615</v>
      </c>
      <c r="V416" s="23" t="s">
        <v>3616</v>
      </c>
      <c r="W416" s="24" t="s">
        <v>3617</v>
      </c>
      <c r="X416" s="23" t="s">
        <v>3618</v>
      </c>
      <c r="Y416" s="23" t="s">
        <v>3619</v>
      </c>
      <c r="Z416" s="23" t="s">
        <v>3620</v>
      </c>
      <c r="AA416" s="23" t="s">
        <v>3621</v>
      </c>
      <c r="AB416" s="9"/>
      <c r="AC416" s="9"/>
      <c r="AD416" s="9"/>
    </row>
    <row r="417" spans="1:30" ht="15.75" customHeight="1">
      <c r="A417" s="4" t="s">
        <v>11</v>
      </c>
      <c r="B417" s="5">
        <v>2402</v>
      </c>
      <c r="C417" s="6" t="s">
        <v>50</v>
      </c>
      <c r="D417" s="7">
        <v>2022330872</v>
      </c>
      <c r="E417" s="7">
        <v>2201010220</v>
      </c>
      <c r="F417" s="7" t="s">
        <v>1807</v>
      </c>
      <c r="G417" s="7" t="s">
        <v>13</v>
      </c>
      <c r="H417" s="6" t="s">
        <v>51</v>
      </c>
      <c r="I417" s="6" t="s">
        <v>2643</v>
      </c>
      <c r="J417" s="6" t="s">
        <v>2644</v>
      </c>
      <c r="K417" s="6" t="s">
        <v>15</v>
      </c>
      <c r="L417" s="6" t="s">
        <v>16</v>
      </c>
      <c r="M417" s="6" t="s">
        <v>21</v>
      </c>
      <c r="N417" s="7" t="s">
        <v>18</v>
      </c>
      <c r="O417" s="23" t="s">
        <v>3611</v>
      </c>
      <c r="R417" s="23" t="s">
        <v>3612</v>
      </c>
      <c r="S417" s="2" t="s">
        <v>3613</v>
      </c>
      <c r="T417" s="2" t="s">
        <v>3614</v>
      </c>
      <c r="U417" s="2" t="s">
        <v>3615</v>
      </c>
      <c r="V417" s="23" t="s">
        <v>3616</v>
      </c>
      <c r="W417" s="24" t="s">
        <v>3617</v>
      </c>
      <c r="X417" s="23" t="s">
        <v>3618</v>
      </c>
      <c r="Y417" s="23" t="s">
        <v>3619</v>
      </c>
      <c r="Z417" s="23" t="s">
        <v>3620</v>
      </c>
      <c r="AA417" s="23" t="s">
        <v>3621</v>
      </c>
      <c r="AB417" s="9"/>
      <c r="AC417" s="9"/>
      <c r="AD417" s="9"/>
    </row>
    <row r="418" spans="1:30" ht="15.75" customHeight="1">
      <c r="A418" s="4" t="s">
        <v>11</v>
      </c>
      <c r="B418" s="5">
        <v>2402</v>
      </c>
      <c r="C418" s="6" t="s">
        <v>109</v>
      </c>
      <c r="D418" s="7">
        <v>2022511372</v>
      </c>
      <c r="E418" s="7">
        <v>2201010225</v>
      </c>
      <c r="F418" s="7" t="s">
        <v>1807</v>
      </c>
      <c r="G418" s="7" t="s">
        <v>13</v>
      </c>
      <c r="H418" s="6" t="s">
        <v>110</v>
      </c>
      <c r="I418" s="6" t="s">
        <v>2645</v>
      </c>
      <c r="J418" s="6" t="s">
        <v>2646</v>
      </c>
      <c r="K418" s="6" t="s">
        <v>15</v>
      </c>
      <c r="L418" s="6" t="s">
        <v>21</v>
      </c>
      <c r="M418" s="6" t="s">
        <v>16</v>
      </c>
      <c r="N418" s="7" t="s">
        <v>18</v>
      </c>
      <c r="O418" s="23" t="s">
        <v>3611</v>
      </c>
      <c r="R418" s="23" t="s">
        <v>3612</v>
      </c>
      <c r="S418" s="2" t="s">
        <v>3613</v>
      </c>
      <c r="T418" s="2" t="s">
        <v>3614</v>
      </c>
      <c r="U418" s="2" t="s">
        <v>3615</v>
      </c>
      <c r="V418" s="23" t="s">
        <v>3616</v>
      </c>
      <c r="W418" s="24" t="s">
        <v>3617</v>
      </c>
      <c r="X418" s="23" t="s">
        <v>3618</v>
      </c>
      <c r="Y418" s="23" t="s">
        <v>3619</v>
      </c>
      <c r="Z418" s="23" t="s">
        <v>3620</v>
      </c>
      <c r="AA418" s="23" t="s">
        <v>3621</v>
      </c>
      <c r="AB418" s="8"/>
      <c r="AC418" s="8"/>
      <c r="AD418" s="8"/>
    </row>
    <row r="419" spans="1:30" ht="15.75" customHeight="1">
      <c r="A419" s="4" t="s">
        <v>11</v>
      </c>
      <c r="B419" s="5">
        <v>2402</v>
      </c>
      <c r="C419" s="6" t="s">
        <v>82</v>
      </c>
      <c r="D419" s="7">
        <v>2022470752</v>
      </c>
      <c r="E419" s="7">
        <v>2201010235</v>
      </c>
      <c r="F419" s="7" t="s">
        <v>1807</v>
      </c>
      <c r="G419" s="7" t="s">
        <v>13</v>
      </c>
      <c r="H419" s="6" t="s">
        <v>83</v>
      </c>
      <c r="I419" s="6" t="s">
        <v>2647</v>
      </c>
      <c r="J419" s="6" t="s">
        <v>2648</v>
      </c>
      <c r="K419" s="6" t="s">
        <v>15</v>
      </c>
      <c r="L419" s="6" t="s">
        <v>16</v>
      </c>
      <c r="M419" s="6" t="s">
        <v>17</v>
      </c>
      <c r="N419" s="7" t="s">
        <v>18</v>
      </c>
      <c r="O419" s="23" t="s">
        <v>3611</v>
      </c>
      <c r="R419" s="23" t="s">
        <v>3612</v>
      </c>
      <c r="S419" s="2" t="s">
        <v>3613</v>
      </c>
      <c r="T419" s="2" t="s">
        <v>3614</v>
      </c>
      <c r="U419" s="2" t="s">
        <v>3615</v>
      </c>
      <c r="V419" s="23" t="s">
        <v>3616</v>
      </c>
      <c r="W419" s="24" t="s">
        <v>3617</v>
      </c>
      <c r="X419" s="23" t="s">
        <v>3618</v>
      </c>
      <c r="Y419" s="23" t="s">
        <v>3619</v>
      </c>
      <c r="Z419" s="23" t="s">
        <v>3620</v>
      </c>
      <c r="AA419" s="23" t="s">
        <v>3621</v>
      </c>
    </row>
    <row r="420" spans="1:30" ht="15.75" customHeight="1">
      <c r="A420" s="4" t="s">
        <v>11</v>
      </c>
      <c r="B420" s="5">
        <v>2402</v>
      </c>
      <c r="C420" s="6" t="s">
        <v>102</v>
      </c>
      <c r="D420" s="7">
        <v>2022505448</v>
      </c>
      <c r="E420" s="7">
        <v>2201010283</v>
      </c>
      <c r="F420" s="7" t="s">
        <v>1807</v>
      </c>
      <c r="G420" s="7" t="s">
        <v>13</v>
      </c>
      <c r="H420" s="6" t="s">
        <v>103</v>
      </c>
      <c r="I420" s="6" t="s">
        <v>2649</v>
      </c>
      <c r="J420" s="6" t="s">
        <v>2650</v>
      </c>
      <c r="K420" s="6" t="s">
        <v>15</v>
      </c>
      <c r="L420" s="6" t="s">
        <v>104</v>
      </c>
      <c r="M420" s="6" t="s">
        <v>26</v>
      </c>
      <c r="N420" s="7" t="s">
        <v>18</v>
      </c>
      <c r="O420" s="23" t="s">
        <v>3611</v>
      </c>
      <c r="R420" s="23" t="s">
        <v>3612</v>
      </c>
      <c r="S420" s="2" t="s">
        <v>3613</v>
      </c>
      <c r="T420" s="2" t="s">
        <v>3614</v>
      </c>
      <c r="U420" s="2" t="s">
        <v>3615</v>
      </c>
      <c r="V420" s="23" t="s">
        <v>3616</v>
      </c>
      <c r="W420" s="24" t="s">
        <v>3617</v>
      </c>
      <c r="X420" s="23" t="s">
        <v>3618</v>
      </c>
      <c r="Y420" s="23" t="s">
        <v>3619</v>
      </c>
      <c r="Z420" s="23" t="s">
        <v>3620</v>
      </c>
      <c r="AA420" s="23" t="s">
        <v>3621</v>
      </c>
    </row>
    <row r="421" spans="1:30" ht="15.75" customHeight="1">
      <c r="A421" s="4" t="s">
        <v>11</v>
      </c>
      <c r="B421" s="5">
        <v>2402</v>
      </c>
      <c r="C421" s="6" t="s">
        <v>80</v>
      </c>
      <c r="D421" s="7">
        <v>2022458909</v>
      </c>
      <c r="E421" s="7">
        <v>2201010311</v>
      </c>
      <c r="F421" s="7" t="s">
        <v>1807</v>
      </c>
      <c r="G421" s="7" t="s">
        <v>13</v>
      </c>
      <c r="H421" s="6" t="s">
        <v>81</v>
      </c>
      <c r="I421" s="6" t="s">
        <v>2651</v>
      </c>
      <c r="J421" s="6" t="s">
        <v>2652</v>
      </c>
      <c r="K421" s="6" t="s">
        <v>15</v>
      </c>
      <c r="L421" s="6" t="s">
        <v>21</v>
      </c>
      <c r="M421" s="6" t="s">
        <v>16</v>
      </c>
      <c r="N421" s="7" t="s">
        <v>18</v>
      </c>
      <c r="O421" s="23" t="s">
        <v>3611</v>
      </c>
      <c r="R421" s="23" t="s">
        <v>3612</v>
      </c>
      <c r="S421" s="2" t="s">
        <v>3613</v>
      </c>
      <c r="T421" s="2" t="s">
        <v>3614</v>
      </c>
      <c r="U421" s="2" t="s">
        <v>3615</v>
      </c>
      <c r="V421" s="23" t="s">
        <v>3616</v>
      </c>
      <c r="W421" s="24" t="s">
        <v>3617</v>
      </c>
      <c r="X421" s="23" t="s">
        <v>3618</v>
      </c>
      <c r="Y421" s="23" t="s">
        <v>3619</v>
      </c>
      <c r="Z421" s="23" t="s">
        <v>3620</v>
      </c>
      <c r="AA421" s="23" t="s">
        <v>3621</v>
      </c>
    </row>
    <row r="422" spans="1:30" ht="15.75" customHeight="1">
      <c r="A422" s="4" t="s">
        <v>11</v>
      </c>
      <c r="B422" s="5">
        <v>2402</v>
      </c>
      <c r="C422" s="6" t="s">
        <v>24</v>
      </c>
      <c r="D422" s="7">
        <v>2022002824</v>
      </c>
      <c r="E422" s="7">
        <v>2201010327</v>
      </c>
      <c r="F422" s="7" t="s">
        <v>1807</v>
      </c>
      <c r="G422" s="7" t="s">
        <v>13</v>
      </c>
      <c r="H422" s="6" t="s">
        <v>25</v>
      </c>
      <c r="I422" s="6" t="s">
        <v>2653</v>
      </c>
      <c r="J422" s="6" t="s">
        <v>2654</v>
      </c>
      <c r="K422" s="6" t="s">
        <v>15</v>
      </c>
      <c r="L422" s="6" t="s">
        <v>26</v>
      </c>
      <c r="M422" s="6" t="s">
        <v>21</v>
      </c>
      <c r="N422" s="7" t="s">
        <v>18</v>
      </c>
      <c r="O422" s="23" t="s">
        <v>3611</v>
      </c>
      <c r="R422" s="23" t="s">
        <v>3612</v>
      </c>
      <c r="S422" s="2" t="s">
        <v>3613</v>
      </c>
      <c r="T422" s="2" t="s">
        <v>3614</v>
      </c>
      <c r="U422" s="2" t="s">
        <v>3615</v>
      </c>
      <c r="V422" s="23" t="s">
        <v>3616</v>
      </c>
      <c r="W422" s="24" t="s">
        <v>3617</v>
      </c>
      <c r="X422" s="23" t="s">
        <v>3618</v>
      </c>
      <c r="Y422" s="23" t="s">
        <v>3619</v>
      </c>
      <c r="Z422" s="23" t="s">
        <v>3620</v>
      </c>
      <c r="AA422" s="23" t="s">
        <v>3621</v>
      </c>
    </row>
    <row r="423" spans="1:30" ht="15.75" customHeight="1">
      <c r="A423" s="4" t="s">
        <v>11</v>
      </c>
      <c r="B423" s="5">
        <v>2402</v>
      </c>
      <c r="C423" s="6" t="s">
        <v>76</v>
      </c>
      <c r="D423" s="7">
        <v>2022436300</v>
      </c>
      <c r="E423" s="7">
        <v>2201010356</v>
      </c>
      <c r="F423" s="7" t="s">
        <v>1807</v>
      </c>
      <c r="G423" s="7" t="s">
        <v>13</v>
      </c>
      <c r="H423" s="6" t="s">
        <v>77</v>
      </c>
      <c r="I423" s="6" t="s">
        <v>2655</v>
      </c>
      <c r="J423" s="6" t="s">
        <v>2656</v>
      </c>
      <c r="K423" s="6" t="s">
        <v>15</v>
      </c>
      <c r="L423" s="6" t="s">
        <v>21</v>
      </c>
      <c r="M423" s="6" t="s">
        <v>16</v>
      </c>
      <c r="N423" s="7" t="s">
        <v>18</v>
      </c>
      <c r="O423" s="23" t="s">
        <v>3611</v>
      </c>
      <c r="R423" s="23" t="s">
        <v>3612</v>
      </c>
      <c r="S423" s="2" t="s">
        <v>3613</v>
      </c>
      <c r="T423" s="2" t="s">
        <v>3614</v>
      </c>
      <c r="U423" s="2" t="s">
        <v>3615</v>
      </c>
      <c r="V423" s="23" t="s">
        <v>3616</v>
      </c>
      <c r="W423" s="24" t="s">
        <v>3617</v>
      </c>
      <c r="X423" s="23" t="s">
        <v>3618</v>
      </c>
      <c r="Y423" s="23" t="s">
        <v>3619</v>
      </c>
      <c r="Z423" s="23" t="s">
        <v>3620</v>
      </c>
      <c r="AA423" s="23" t="s">
        <v>3621</v>
      </c>
    </row>
    <row r="424" spans="1:30" ht="15.75" customHeight="1">
      <c r="A424" s="4" t="s">
        <v>11</v>
      </c>
      <c r="B424" s="5">
        <v>2402</v>
      </c>
      <c r="C424" s="6" t="s">
        <v>33</v>
      </c>
      <c r="D424" s="7">
        <v>2022004161</v>
      </c>
      <c r="E424" s="7">
        <v>2201010362</v>
      </c>
      <c r="F424" s="7" t="s">
        <v>1807</v>
      </c>
      <c r="G424" s="7" t="s">
        <v>13</v>
      </c>
      <c r="H424" s="6" t="s">
        <v>34</v>
      </c>
      <c r="I424" s="6" t="s">
        <v>2657</v>
      </c>
      <c r="J424" s="6" t="s">
        <v>2658</v>
      </c>
      <c r="K424" s="6" t="s">
        <v>15</v>
      </c>
      <c r="L424" s="6" t="s">
        <v>21</v>
      </c>
      <c r="M424" s="6" t="s">
        <v>16</v>
      </c>
      <c r="N424" s="7" t="s">
        <v>18</v>
      </c>
      <c r="O424" s="23" t="s">
        <v>3611</v>
      </c>
      <c r="R424" s="23" t="s">
        <v>3612</v>
      </c>
      <c r="S424" s="2" t="s">
        <v>3613</v>
      </c>
      <c r="T424" s="2" t="s">
        <v>3614</v>
      </c>
      <c r="U424" s="2" t="s">
        <v>3615</v>
      </c>
      <c r="V424" s="23" t="s">
        <v>3616</v>
      </c>
      <c r="W424" s="24" t="s">
        <v>3617</v>
      </c>
      <c r="X424" s="23" t="s">
        <v>3618</v>
      </c>
      <c r="Y424" s="23" t="s">
        <v>3619</v>
      </c>
      <c r="Z424" s="23" t="s">
        <v>3620</v>
      </c>
      <c r="AA424" s="23" t="s">
        <v>3621</v>
      </c>
    </row>
    <row r="425" spans="1:30" ht="15.75" customHeight="1">
      <c r="A425" s="4" t="s">
        <v>11</v>
      </c>
      <c r="B425" s="5">
        <v>2402</v>
      </c>
      <c r="C425" s="6" t="s">
        <v>107</v>
      </c>
      <c r="D425" s="7">
        <v>2022506809</v>
      </c>
      <c r="E425" s="7">
        <v>2201010364</v>
      </c>
      <c r="F425" s="7" t="s">
        <v>1807</v>
      </c>
      <c r="G425" s="7" t="s">
        <v>13</v>
      </c>
      <c r="H425" s="6" t="s">
        <v>108</v>
      </c>
      <c r="I425" s="6" t="s">
        <v>2659</v>
      </c>
      <c r="J425" s="6" t="s">
        <v>2660</v>
      </c>
      <c r="K425" s="6" t="s">
        <v>15</v>
      </c>
      <c r="L425" s="6" t="s">
        <v>21</v>
      </c>
      <c r="M425" s="6" t="s">
        <v>16</v>
      </c>
      <c r="N425" s="7" t="s">
        <v>18</v>
      </c>
      <c r="O425" s="23" t="s">
        <v>3611</v>
      </c>
      <c r="R425" s="23" t="s">
        <v>3612</v>
      </c>
      <c r="S425" s="2" t="s">
        <v>3613</v>
      </c>
      <c r="T425" s="2" t="s">
        <v>3614</v>
      </c>
      <c r="U425" s="2" t="s">
        <v>3615</v>
      </c>
      <c r="V425" s="23" t="s">
        <v>3616</v>
      </c>
      <c r="W425" s="24" t="s">
        <v>3617</v>
      </c>
      <c r="X425" s="23" t="s">
        <v>3618</v>
      </c>
      <c r="Y425" s="23" t="s">
        <v>3619</v>
      </c>
      <c r="Z425" s="23" t="s">
        <v>3620</v>
      </c>
      <c r="AA425" s="23" t="s">
        <v>3621</v>
      </c>
    </row>
    <row r="426" spans="1:30" ht="15.75" customHeight="1">
      <c r="A426" s="4" t="s">
        <v>11</v>
      </c>
      <c r="B426" s="5">
        <v>2402</v>
      </c>
      <c r="C426" s="6" t="s">
        <v>124</v>
      </c>
      <c r="D426" s="7">
        <v>2022811342</v>
      </c>
      <c r="E426" s="7">
        <v>2201010391</v>
      </c>
      <c r="F426" s="7" t="s">
        <v>1807</v>
      </c>
      <c r="G426" s="7" t="s">
        <v>13</v>
      </c>
      <c r="H426" s="6" t="s">
        <v>125</v>
      </c>
      <c r="I426" s="6" t="s">
        <v>2661</v>
      </c>
      <c r="J426" s="6" t="s">
        <v>2662</v>
      </c>
      <c r="K426" s="6" t="s">
        <v>15</v>
      </c>
      <c r="L426" s="6" t="s">
        <v>16</v>
      </c>
      <c r="M426" s="6" t="s">
        <v>17</v>
      </c>
      <c r="N426" s="7" t="s">
        <v>18</v>
      </c>
      <c r="O426" s="23" t="s">
        <v>3611</v>
      </c>
      <c r="R426" s="23" t="s">
        <v>3612</v>
      </c>
      <c r="S426" s="2" t="s">
        <v>3613</v>
      </c>
      <c r="T426" s="2" t="s">
        <v>3614</v>
      </c>
      <c r="U426" s="2" t="s">
        <v>3615</v>
      </c>
      <c r="V426" s="23" t="s">
        <v>3616</v>
      </c>
      <c r="W426" s="24" t="s">
        <v>3617</v>
      </c>
      <c r="X426" s="23" t="s">
        <v>3618</v>
      </c>
      <c r="Y426" s="23" t="s">
        <v>3619</v>
      </c>
      <c r="Z426" s="23" t="s">
        <v>3620</v>
      </c>
      <c r="AA426" s="23" t="s">
        <v>3621</v>
      </c>
    </row>
    <row r="427" spans="1:30" ht="15.75" customHeight="1">
      <c r="A427" s="4" t="s">
        <v>11</v>
      </c>
      <c r="B427" s="5">
        <v>2402</v>
      </c>
      <c r="C427" s="6" t="s">
        <v>98</v>
      </c>
      <c r="D427" s="7">
        <v>2022499099</v>
      </c>
      <c r="E427" s="7">
        <v>2201010392</v>
      </c>
      <c r="F427" s="7" t="s">
        <v>1807</v>
      </c>
      <c r="G427" s="7" t="s">
        <v>13</v>
      </c>
      <c r="H427" s="6" t="s">
        <v>99</v>
      </c>
      <c r="I427" s="6" t="s">
        <v>2663</v>
      </c>
      <c r="J427" s="6" t="s">
        <v>2664</v>
      </c>
      <c r="K427" s="6" t="s">
        <v>15</v>
      </c>
      <c r="L427" s="6" t="s">
        <v>16</v>
      </c>
      <c r="M427" s="6" t="s">
        <v>49</v>
      </c>
      <c r="N427" s="7" t="s">
        <v>18</v>
      </c>
      <c r="O427" s="23" t="s">
        <v>3611</v>
      </c>
      <c r="R427" s="23" t="s">
        <v>3612</v>
      </c>
      <c r="S427" s="2" t="s">
        <v>3613</v>
      </c>
      <c r="T427" s="2" t="s">
        <v>3614</v>
      </c>
      <c r="U427" s="2" t="s">
        <v>3615</v>
      </c>
      <c r="V427" s="23" t="s">
        <v>3616</v>
      </c>
      <c r="W427" s="24" t="s">
        <v>3617</v>
      </c>
      <c r="X427" s="23" t="s">
        <v>3618</v>
      </c>
      <c r="Y427" s="23" t="s">
        <v>3619</v>
      </c>
      <c r="Z427" s="23" t="s">
        <v>3620</v>
      </c>
      <c r="AA427" s="23" t="s">
        <v>3621</v>
      </c>
    </row>
    <row r="428" spans="1:30" ht="15.75" customHeight="1">
      <c r="A428" s="4" t="s">
        <v>11</v>
      </c>
      <c r="B428" s="5">
        <v>2402</v>
      </c>
      <c r="C428" s="6" t="s">
        <v>105</v>
      </c>
      <c r="D428" s="7">
        <v>2022506408</v>
      </c>
      <c r="E428" s="7">
        <v>2201010430</v>
      </c>
      <c r="F428" s="7" t="s">
        <v>1807</v>
      </c>
      <c r="G428" s="7" t="s">
        <v>13</v>
      </c>
      <c r="H428" s="6" t="s">
        <v>106</v>
      </c>
      <c r="I428" s="6" t="s">
        <v>2665</v>
      </c>
      <c r="J428" s="6" t="s">
        <v>2666</v>
      </c>
      <c r="K428" s="6" t="s">
        <v>15</v>
      </c>
      <c r="L428" s="6" t="s">
        <v>16</v>
      </c>
      <c r="M428" s="6" t="s">
        <v>21</v>
      </c>
      <c r="N428" s="7" t="s">
        <v>18</v>
      </c>
      <c r="O428" s="23" t="s">
        <v>3611</v>
      </c>
      <c r="R428" s="23" t="s">
        <v>3612</v>
      </c>
      <c r="S428" s="2" t="s">
        <v>3613</v>
      </c>
      <c r="T428" s="2" t="s">
        <v>3614</v>
      </c>
      <c r="U428" s="2" t="s">
        <v>3615</v>
      </c>
      <c r="V428" s="23" t="s">
        <v>3616</v>
      </c>
      <c r="W428" s="24" t="s">
        <v>3617</v>
      </c>
      <c r="X428" s="23" t="s">
        <v>3618</v>
      </c>
      <c r="Y428" s="23" t="s">
        <v>3619</v>
      </c>
      <c r="Z428" s="23" t="s">
        <v>3620</v>
      </c>
      <c r="AA428" s="23" t="s">
        <v>3621</v>
      </c>
    </row>
    <row r="429" spans="1:30" ht="15.75" customHeight="1">
      <c r="A429" s="4" t="s">
        <v>11</v>
      </c>
      <c r="B429" s="5">
        <v>2402</v>
      </c>
      <c r="C429" s="6" t="s">
        <v>64</v>
      </c>
      <c r="D429" s="7">
        <v>2022400915</v>
      </c>
      <c r="E429" s="7">
        <v>2201010431</v>
      </c>
      <c r="F429" s="7" t="s">
        <v>1807</v>
      </c>
      <c r="G429" s="7" t="s">
        <v>13</v>
      </c>
      <c r="H429" s="6" t="s">
        <v>65</v>
      </c>
      <c r="I429" s="6" t="s">
        <v>2667</v>
      </c>
      <c r="J429" s="6" t="s">
        <v>2668</v>
      </c>
      <c r="K429" s="6" t="s">
        <v>15</v>
      </c>
      <c r="L429" s="6" t="s">
        <v>16</v>
      </c>
      <c r="M429" s="6" t="s">
        <v>21</v>
      </c>
      <c r="N429" s="7" t="s">
        <v>18</v>
      </c>
      <c r="O429" s="23" t="s">
        <v>3611</v>
      </c>
      <c r="R429" s="23" t="s">
        <v>3612</v>
      </c>
      <c r="S429" s="2" t="s">
        <v>3613</v>
      </c>
      <c r="T429" s="2" t="s">
        <v>3614</v>
      </c>
      <c r="U429" s="2" t="s">
        <v>3615</v>
      </c>
      <c r="V429" s="23" t="s">
        <v>3616</v>
      </c>
      <c r="W429" s="24" t="s">
        <v>3617</v>
      </c>
      <c r="X429" s="23" t="s">
        <v>3618</v>
      </c>
      <c r="Y429" s="23" t="s">
        <v>3619</v>
      </c>
      <c r="Z429" s="23" t="s">
        <v>3620</v>
      </c>
      <c r="AA429" s="23" t="s">
        <v>3621</v>
      </c>
    </row>
    <row r="430" spans="1:30" ht="15.75" customHeight="1">
      <c r="A430" s="4" t="s">
        <v>11</v>
      </c>
      <c r="B430" s="5">
        <v>2402</v>
      </c>
      <c r="C430" s="6" t="s">
        <v>86</v>
      </c>
      <c r="D430" s="7">
        <v>2022482796</v>
      </c>
      <c r="E430" s="7">
        <v>2201010433</v>
      </c>
      <c r="F430" s="7" t="s">
        <v>1807</v>
      </c>
      <c r="G430" s="7" t="s">
        <v>13</v>
      </c>
      <c r="H430" s="6" t="s">
        <v>87</v>
      </c>
      <c r="I430" s="6" t="s">
        <v>2669</v>
      </c>
      <c r="J430" s="6" t="s">
        <v>2670</v>
      </c>
      <c r="K430" s="6" t="s">
        <v>15</v>
      </c>
      <c r="L430" s="6" t="s">
        <v>16</v>
      </c>
      <c r="M430" s="6" t="s">
        <v>21</v>
      </c>
      <c r="N430" s="7" t="s">
        <v>18</v>
      </c>
      <c r="O430" s="23" t="s">
        <v>3611</v>
      </c>
      <c r="R430" s="23" t="s">
        <v>3612</v>
      </c>
      <c r="S430" s="2" t="s">
        <v>3613</v>
      </c>
      <c r="T430" s="2" t="s">
        <v>3614</v>
      </c>
      <c r="U430" s="2" t="s">
        <v>3615</v>
      </c>
      <c r="V430" s="23" t="s">
        <v>3616</v>
      </c>
      <c r="W430" s="24" t="s">
        <v>3617</v>
      </c>
      <c r="X430" s="23" t="s">
        <v>3618</v>
      </c>
      <c r="Y430" s="23" t="s">
        <v>3619</v>
      </c>
      <c r="Z430" s="23" t="s">
        <v>3620</v>
      </c>
      <c r="AA430" s="23" t="s">
        <v>3621</v>
      </c>
    </row>
    <row r="431" spans="1:30" ht="15.75" customHeight="1">
      <c r="A431" s="4" t="s">
        <v>11</v>
      </c>
      <c r="B431" s="5">
        <v>2402</v>
      </c>
      <c r="C431" s="6" t="s">
        <v>29</v>
      </c>
      <c r="D431" s="7">
        <v>2022003474</v>
      </c>
      <c r="E431" s="7">
        <v>2201010499</v>
      </c>
      <c r="F431" s="7" t="s">
        <v>1807</v>
      </c>
      <c r="G431" s="7" t="s">
        <v>13</v>
      </c>
      <c r="H431" s="6" t="s">
        <v>30</v>
      </c>
      <c r="I431" s="6" t="s">
        <v>2671</v>
      </c>
      <c r="J431" s="6" t="s">
        <v>2672</v>
      </c>
      <c r="K431" s="6" t="s">
        <v>15</v>
      </c>
      <c r="L431" s="6" t="s">
        <v>16</v>
      </c>
      <c r="M431" s="6" t="s">
        <v>21</v>
      </c>
      <c r="N431" s="7" t="s">
        <v>18</v>
      </c>
      <c r="O431" s="23" t="s">
        <v>3611</v>
      </c>
      <c r="R431" s="23" t="s">
        <v>3612</v>
      </c>
      <c r="S431" s="2" t="s">
        <v>3613</v>
      </c>
      <c r="T431" s="2" t="s">
        <v>3614</v>
      </c>
      <c r="U431" s="2" t="s">
        <v>3615</v>
      </c>
      <c r="V431" s="23" t="s">
        <v>3616</v>
      </c>
      <c r="W431" s="24" t="s">
        <v>3617</v>
      </c>
      <c r="X431" s="23" t="s">
        <v>3618</v>
      </c>
      <c r="Y431" s="23" t="s">
        <v>3619</v>
      </c>
      <c r="Z431" s="23" t="s">
        <v>3620</v>
      </c>
      <c r="AA431" s="23" t="s">
        <v>3621</v>
      </c>
    </row>
    <row r="432" spans="1:30" ht="15.75" customHeight="1">
      <c r="A432" s="4" t="s">
        <v>11</v>
      </c>
      <c r="B432" s="5">
        <v>2402</v>
      </c>
      <c r="C432" s="6" t="s">
        <v>52</v>
      </c>
      <c r="D432" s="7">
        <v>2022344698</v>
      </c>
      <c r="E432" s="7">
        <v>2201010539</v>
      </c>
      <c r="F432" s="7" t="s">
        <v>1807</v>
      </c>
      <c r="G432" s="7" t="s">
        <v>13</v>
      </c>
      <c r="H432" s="6" t="s">
        <v>53</v>
      </c>
      <c r="I432" s="6" t="s">
        <v>2673</v>
      </c>
      <c r="J432" s="6" t="s">
        <v>2674</v>
      </c>
      <c r="K432" s="6" t="s">
        <v>15</v>
      </c>
      <c r="L432" s="6" t="s">
        <v>16</v>
      </c>
      <c r="M432" s="6" t="s">
        <v>21</v>
      </c>
      <c r="N432" s="7" t="s">
        <v>18</v>
      </c>
      <c r="O432" s="23" t="s">
        <v>3611</v>
      </c>
      <c r="R432" s="23" t="s">
        <v>3612</v>
      </c>
      <c r="S432" s="2" t="s">
        <v>3613</v>
      </c>
      <c r="T432" s="2" t="s">
        <v>3614</v>
      </c>
      <c r="U432" s="2" t="s">
        <v>3615</v>
      </c>
      <c r="V432" s="23" t="s">
        <v>3616</v>
      </c>
      <c r="W432" s="24" t="s">
        <v>3617</v>
      </c>
      <c r="X432" s="23" t="s">
        <v>3618</v>
      </c>
      <c r="Y432" s="23" t="s">
        <v>3619</v>
      </c>
      <c r="Z432" s="23" t="s">
        <v>3620</v>
      </c>
      <c r="AA432" s="23" t="s">
        <v>3621</v>
      </c>
    </row>
    <row r="433" spans="1:30" ht="15.75" customHeight="1">
      <c r="A433" s="4" t="s">
        <v>11</v>
      </c>
      <c r="B433" s="5">
        <v>2402</v>
      </c>
      <c r="C433" s="6" t="s">
        <v>92</v>
      </c>
      <c r="D433" s="7">
        <v>2022492019</v>
      </c>
      <c r="E433" s="7">
        <v>2201010540</v>
      </c>
      <c r="F433" s="7" t="s">
        <v>1807</v>
      </c>
      <c r="G433" s="7" t="s">
        <v>13</v>
      </c>
      <c r="H433" s="6" t="s">
        <v>93</v>
      </c>
      <c r="I433" s="6" t="s">
        <v>2675</v>
      </c>
      <c r="J433" s="6" t="s">
        <v>2676</v>
      </c>
      <c r="K433" s="6" t="s">
        <v>15</v>
      </c>
      <c r="L433" s="6" t="s">
        <v>16</v>
      </c>
      <c r="M433" s="6" t="s">
        <v>21</v>
      </c>
      <c r="N433" s="7" t="s">
        <v>18</v>
      </c>
      <c r="O433" s="23" t="s">
        <v>3611</v>
      </c>
      <c r="R433" s="23" t="s">
        <v>3612</v>
      </c>
      <c r="S433" s="2" t="s">
        <v>3613</v>
      </c>
      <c r="T433" s="2" t="s">
        <v>3614</v>
      </c>
      <c r="U433" s="2" t="s">
        <v>3615</v>
      </c>
      <c r="V433" s="23" t="s">
        <v>3616</v>
      </c>
      <c r="W433" s="24" t="s">
        <v>3617</v>
      </c>
      <c r="X433" s="23" t="s">
        <v>3618</v>
      </c>
      <c r="Y433" s="23" t="s">
        <v>3619</v>
      </c>
      <c r="Z433" s="23" t="s">
        <v>3620</v>
      </c>
      <c r="AA433" s="23" t="s">
        <v>3621</v>
      </c>
    </row>
    <row r="434" spans="1:30" ht="15.75" customHeight="1">
      <c r="A434" s="4" t="s">
        <v>11</v>
      </c>
      <c r="B434" s="5">
        <v>2402</v>
      </c>
      <c r="C434" s="6" t="s">
        <v>111</v>
      </c>
      <c r="D434" s="7">
        <v>2022523416</v>
      </c>
      <c r="E434" s="7">
        <v>2201010550</v>
      </c>
      <c r="F434" s="7" t="s">
        <v>1807</v>
      </c>
      <c r="G434" s="7" t="s">
        <v>13</v>
      </c>
      <c r="H434" s="6" t="s">
        <v>112</v>
      </c>
      <c r="I434" s="6" t="s">
        <v>2677</v>
      </c>
      <c r="J434" s="6" t="s">
        <v>2678</v>
      </c>
      <c r="K434" s="6" t="s">
        <v>15</v>
      </c>
      <c r="L434" s="6" t="s">
        <v>21</v>
      </c>
      <c r="M434" s="6" t="s">
        <v>16</v>
      </c>
      <c r="N434" s="7" t="s">
        <v>18</v>
      </c>
      <c r="O434" s="23" t="s">
        <v>3611</v>
      </c>
      <c r="R434" s="23" t="s">
        <v>3612</v>
      </c>
      <c r="S434" s="2" t="s">
        <v>3613</v>
      </c>
      <c r="T434" s="2" t="s">
        <v>3614</v>
      </c>
      <c r="U434" s="2" t="s">
        <v>3615</v>
      </c>
      <c r="V434" s="23" t="s">
        <v>3616</v>
      </c>
      <c r="W434" s="24" t="s">
        <v>3617</v>
      </c>
      <c r="X434" s="23" t="s">
        <v>3618</v>
      </c>
      <c r="Y434" s="23" t="s">
        <v>3619</v>
      </c>
      <c r="Z434" s="23" t="s">
        <v>3620</v>
      </c>
      <c r="AA434" s="23" t="s">
        <v>3621</v>
      </c>
    </row>
    <row r="435" spans="1:30" ht="15.75" customHeight="1">
      <c r="A435" s="4" t="s">
        <v>11</v>
      </c>
      <c r="B435" s="5">
        <v>2402</v>
      </c>
      <c r="C435" s="6" t="s">
        <v>37</v>
      </c>
      <c r="D435" s="7">
        <v>2022004614</v>
      </c>
      <c r="E435" s="7">
        <v>2201010561</v>
      </c>
      <c r="F435" s="7" t="s">
        <v>1807</v>
      </c>
      <c r="G435" s="7" t="s">
        <v>13</v>
      </c>
      <c r="H435" s="6" t="s">
        <v>38</v>
      </c>
      <c r="I435" s="6" t="s">
        <v>2679</v>
      </c>
      <c r="J435" s="6" t="s">
        <v>2680</v>
      </c>
      <c r="K435" s="6" t="s">
        <v>15</v>
      </c>
      <c r="L435" s="6" t="s">
        <v>16</v>
      </c>
      <c r="M435" s="6" t="s">
        <v>21</v>
      </c>
      <c r="N435" s="7" t="s">
        <v>18</v>
      </c>
      <c r="O435" s="23" t="s">
        <v>3611</v>
      </c>
      <c r="R435" s="23" t="s">
        <v>3612</v>
      </c>
      <c r="S435" s="2" t="s">
        <v>3613</v>
      </c>
      <c r="T435" s="2" t="s">
        <v>3614</v>
      </c>
      <c r="U435" s="2" t="s">
        <v>3615</v>
      </c>
      <c r="V435" s="23" t="s">
        <v>3616</v>
      </c>
      <c r="W435" s="24" t="s">
        <v>3617</v>
      </c>
      <c r="X435" s="23" t="s">
        <v>3618</v>
      </c>
      <c r="Y435" s="23" t="s">
        <v>3619</v>
      </c>
      <c r="Z435" s="23" t="s">
        <v>3620</v>
      </c>
      <c r="AA435" s="23" t="s">
        <v>3621</v>
      </c>
    </row>
    <row r="436" spans="1:30" ht="15.75" customHeight="1">
      <c r="A436" s="4" t="s">
        <v>11</v>
      </c>
      <c r="B436" s="5">
        <v>2402</v>
      </c>
      <c r="C436" s="6" t="s">
        <v>12</v>
      </c>
      <c r="D436" s="7">
        <v>2022000799</v>
      </c>
      <c r="E436" s="7">
        <v>2201010619</v>
      </c>
      <c r="F436" s="7" t="s">
        <v>1807</v>
      </c>
      <c r="G436" s="7" t="s">
        <v>13</v>
      </c>
      <c r="H436" s="6" t="s">
        <v>14</v>
      </c>
      <c r="I436" s="6" t="s">
        <v>2681</v>
      </c>
      <c r="J436" s="6">
        <v>0</v>
      </c>
      <c r="K436" s="6" t="s">
        <v>15</v>
      </c>
      <c r="L436" s="6" t="s">
        <v>16</v>
      </c>
      <c r="M436" s="6" t="s">
        <v>17</v>
      </c>
      <c r="N436" s="7" t="s">
        <v>18</v>
      </c>
      <c r="O436" s="23" t="s">
        <v>3611</v>
      </c>
      <c r="R436" s="23" t="s">
        <v>3612</v>
      </c>
      <c r="S436" s="2" t="s">
        <v>3613</v>
      </c>
      <c r="T436" s="2" t="s">
        <v>3614</v>
      </c>
      <c r="U436" s="2" t="s">
        <v>3615</v>
      </c>
      <c r="V436" s="23" t="s">
        <v>3616</v>
      </c>
      <c r="W436" s="24" t="s">
        <v>3617</v>
      </c>
      <c r="X436" s="23" t="s">
        <v>3618</v>
      </c>
      <c r="Y436" s="23" t="s">
        <v>3619</v>
      </c>
      <c r="Z436" s="23" t="s">
        <v>3620</v>
      </c>
      <c r="AA436" s="23" t="s">
        <v>3621</v>
      </c>
    </row>
    <row r="437" spans="1:30" ht="15.75" customHeight="1">
      <c r="A437" s="4" t="s">
        <v>11</v>
      </c>
      <c r="B437" s="5">
        <v>2402</v>
      </c>
      <c r="C437" s="6" t="s">
        <v>19</v>
      </c>
      <c r="D437" s="7">
        <v>2022001198</v>
      </c>
      <c r="E437" s="7">
        <v>2201010620</v>
      </c>
      <c r="F437" s="7" t="s">
        <v>1807</v>
      </c>
      <c r="G437" s="7" t="s">
        <v>13</v>
      </c>
      <c r="H437" s="6" t="s">
        <v>20</v>
      </c>
      <c r="I437" s="6" t="s">
        <v>2682</v>
      </c>
      <c r="J437" s="6" t="s">
        <v>2683</v>
      </c>
      <c r="K437" s="6" t="s">
        <v>15</v>
      </c>
      <c r="L437" s="6" t="s">
        <v>16</v>
      </c>
      <c r="M437" s="6" t="s">
        <v>21</v>
      </c>
      <c r="N437" s="7" t="s">
        <v>18</v>
      </c>
      <c r="O437" s="23" t="s">
        <v>3611</v>
      </c>
      <c r="R437" s="23" t="s">
        <v>3612</v>
      </c>
      <c r="S437" s="2" t="s">
        <v>3613</v>
      </c>
      <c r="T437" s="2" t="s">
        <v>3614</v>
      </c>
      <c r="U437" s="2" t="s">
        <v>3615</v>
      </c>
      <c r="V437" s="23" t="s">
        <v>3616</v>
      </c>
      <c r="W437" s="24" t="s">
        <v>3617</v>
      </c>
      <c r="X437" s="23" t="s">
        <v>3618</v>
      </c>
      <c r="Y437" s="23" t="s">
        <v>3619</v>
      </c>
      <c r="Z437" s="23" t="s">
        <v>3620</v>
      </c>
      <c r="AA437" s="23" t="s">
        <v>3621</v>
      </c>
    </row>
    <row r="438" spans="1:30" ht="15.75" customHeight="1">
      <c r="A438" s="4" t="s">
        <v>11</v>
      </c>
      <c r="B438" s="5">
        <v>2402</v>
      </c>
      <c r="C438" s="6" t="s">
        <v>90</v>
      </c>
      <c r="D438" s="7">
        <v>2022487397</v>
      </c>
      <c r="E438" s="7">
        <v>2201010665</v>
      </c>
      <c r="F438" s="7" t="s">
        <v>1807</v>
      </c>
      <c r="G438" s="7" t="s">
        <v>13</v>
      </c>
      <c r="H438" s="6" t="s">
        <v>91</v>
      </c>
      <c r="I438" s="6" t="s">
        <v>2684</v>
      </c>
      <c r="J438" s="6" t="s">
        <v>2685</v>
      </c>
      <c r="K438" s="6" t="s">
        <v>15</v>
      </c>
      <c r="L438" s="6" t="s">
        <v>16</v>
      </c>
      <c r="M438" s="6" t="s">
        <v>21</v>
      </c>
      <c r="N438" s="7" t="s">
        <v>18</v>
      </c>
      <c r="O438" s="23" t="s">
        <v>3611</v>
      </c>
      <c r="R438" s="23" t="s">
        <v>3612</v>
      </c>
      <c r="S438" s="2" t="s">
        <v>3613</v>
      </c>
      <c r="T438" s="2" t="s">
        <v>3614</v>
      </c>
      <c r="U438" s="2" t="s">
        <v>3615</v>
      </c>
      <c r="V438" s="23" t="s">
        <v>3616</v>
      </c>
      <c r="W438" s="24" t="s">
        <v>3617</v>
      </c>
      <c r="X438" s="23" t="s">
        <v>3618</v>
      </c>
      <c r="Y438" s="23" t="s">
        <v>3619</v>
      </c>
      <c r="Z438" s="23" t="s">
        <v>3620</v>
      </c>
      <c r="AA438" s="23" t="s">
        <v>3621</v>
      </c>
    </row>
    <row r="439" spans="1:30" ht="15.75" customHeight="1">
      <c r="A439" s="4" t="s">
        <v>11</v>
      </c>
      <c r="B439" s="5">
        <v>2402</v>
      </c>
      <c r="C439" s="6" t="s">
        <v>94</v>
      </c>
      <c r="D439" s="7">
        <v>2022495153</v>
      </c>
      <c r="E439" s="7">
        <v>2201010685</v>
      </c>
      <c r="F439" s="7" t="s">
        <v>1807</v>
      </c>
      <c r="G439" s="7" t="s">
        <v>13</v>
      </c>
      <c r="H439" s="6" t="s">
        <v>95</v>
      </c>
      <c r="I439" s="6" t="s">
        <v>2686</v>
      </c>
      <c r="J439" s="6" t="s">
        <v>2687</v>
      </c>
      <c r="K439" s="6" t="s">
        <v>15</v>
      </c>
      <c r="L439" s="6" t="s">
        <v>21</v>
      </c>
      <c r="M439" s="6" t="s">
        <v>16</v>
      </c>
      <c r="N439" s="7" t="s">
        <v>18</v>
      </c>
      <c r="O439" s="23" t="s">
        <v>3611</v>
      </c>
      <c r="R439" s="23" t="s">
        <v>3612</v>
      </c>
      <c r="S439" s="2" t="s">
        <v>3613</v>
      </c>
      <c r="T439" s="2" t="s">
        <v>3614</v>
      </c>
      <c r="U439" s="2" t="s">
        <v>3615</v>
      </c>
      <c r="V439" s="23" t="s">
        <v>3616</v>
      </c>
      <c r="W439" s="24" t="s">
        <v>3617</v>
      </c>
      <c r="X439" s="23" t="s">
        <v>3618</v>
      </c>
      <c r="Y439" s="23" t="s">
        <v>3619</v>
      </c>
      <c r="Z439" s="23" t="s">
        <v>3620</v>
      </c>
      <c r="AA439" s="23" t="s">
        <v>3621</v>
      </c>
      <c r="AB439" s="8"/>
      <c r="AC439" s="8"/>
      <c r="AD439" s="8"/>
    </row>
    <row r="440" spans="1:30" ht="15.75" customHeight="1">
      <c r="A440" s="4" t="s">
        <v>11</v>
      </c>
      <c r="B440" s="5">
        <v>2402</v>
      </c>
      <c r="C440" s="6" t="s">
        <v>66</v>
      </c>
      <c r="D440" s="7">
        <v>2022408033</v>
      </c>
      <c r="E440" s="7">
        <v>2201010723</v>
      </c>
      <c r="F440" s="7" t="s">
        <v>1807</v>
      </c>
      <c r="G440" s="7" t="s">
        <v>13</v>
      </c>
      <c r="H440" s="6" t="s">
        <v>67</v>
      </c>
      <c r="I440" s="6" t="s">
        <v>2688</v>
      </c>
      <c r="J440" s="6" t="s">
        <v>2689</v>
      </c>
      <c r="K440" s="6" t="s">
        <v>15</v>
      </c>
      <c r="L440" s="6" t="s">
        <v>16</v>
      </c>
      <c r="M440" s="6" t="s">
        <v>21</v>
      </c>
      <c r="N440" s="7" t="s">
        <v>18</v>
      </c>
      <c r="O440" s="23" t="s">
        <v>3611</v>
      </c>
      <c r="R440" s="23" t="s">
        <v>3612</v>
      </c>
      <c r="S440" s="2" t="s">
        <v>3613</v>
      </c>
      <c r="T440" s="2" t="s">
        <v>3614</v>
      </c>
      <c r="U440" s="2" t="s">
        <v>3615</v>
      </c>
      <c r="V440" s="23" t="s">
        <v>3616</v>
      </c>
      <c r="W440" s="24" t="s">
        <v>3617</v>
      </c>
      <c r="X440" s="23" t="s">
        <v>3618</v>
      </c>
      <c r="Y440" s="23" t="s">
        <v>3619</v>
      </c>
      <c r="Z440" s="23" t="s">
        <v>3620</v>
      </c>
      <c r="AA440" s="23" t="s">
        <v>3621</v>
      </c>
      <c r="AB440" s="8"/>
      <c r="AC440" s="8"/>
      <c r="AD440" s="8"/>
    </row>
    <row r="441" spans="1:30" ht="15.75" customHeight="1">
      <c r="A441" s="4" t="s">
        <v>11</v>
      </c>
      <c r="B441" s="5">
        <v>2402</v>
      </c>
      <c r="C441" s="6" t="s">
        <v>96</v>
      </c>
      <c r="D441" s="7">
        <v>2022498602</v>
      </c>
      <c r="E441" s="7">
        <v>2201010724</v>
      </c>
      <c r="F441" s="7" t="s">
        <v>1807</v>
      </c>
      <c r="G441" s="7" t="s">
        <v>13</v>
      </c>
      <c r="H441" s="6" t="s">
        <v>97</v>
      </c>
      <c r="I441" s="6" t="s">
        <v>2690</v>
      </c>
      <c r="J441" s="6" t="s">
        <v>2691</v>
      </c>
      <c r="K441" s="6" t="s">
        <v>15</v>
      </c>
      <c r="L441" s="6" t="s">
        <v>16</v>
      </c>
      <c r="M441" s="6" t="s">
        <v>21</v>
      </c>
      <c r="N441" s="7" t="s">
        <v>18</v>
      </c>
      <c r="O441" s="23" t="s">
        <v>3611</v>
      </c>
      <c r="R441" s="23" t="s">
        <v>3612</v>
      </c>
      <c r="S441" s="2" t="s">
        <v>3613</v>
      </c>
      <c r="T441" s="2" t="s">
        <v>3614</v>
      </c>
      <c r="U441" s="2" t="s">
        <v>3615</v>
      </c>
      <c r="V441" s="23" t="s">
        <v>3616</v>
      </c>
      <c r="W441" s="24" t="s">
        <v>3617</v>
      </c>
      <c r="X441" s="23" t="s">
        <v>3618</v>
      </c>
      <c r="Y441" s="23" t="s">
        <v>3619</v>
      </c>
      <c r="Z441" s="23" t="s">
        <v>3620</v>
      </c>
      <c r="AA441" s="23" t="s">
        <v>3621</v>
      </c>
      <c r="AB441" s="8"/>
      <c r="AC441" s="8"/>
      <c r="AD441" s="8"/>
    </row>
    <row r="442" spans="1:30" ht="15.75" customHeight="1">
      <c r="A442" s="4" t="s">
        <v>11</v>
      </c>
      <c r="B442" s="5">
        <v>2402</v>
      </c>
      <c r="C442" s="6" t="s">
        <v>120</v>
      </c>
      <c r="D442" s="7">
        <v>2022543079</v>
      </c>
      <c r="E442" s="7">
        <v>2201010735</v>
      </c>
      <c r="F442" s="7" t="s">
        <v>1807</v>
      </c>
      <c r="G442" s="7" t="s">
        <v>13</v>
      </c>
      <c r="H442" s="6" t="s">
        <v>121</v>
      </c>
      <c r="I442" s="6" t="s">
        <v>2692</v>
      </c>
      <c r="J442" s="6" t="s">
        <v>2693</v>
      </c>
      <c r="K442" s="6" t="s">
        <v>15</v>
      </c>
      <c r="L442" s="6" t="s">
        <v>21</v>
      </c>
      <c r="M442" s="6" t="s">
        <v>16</v>
      </c>
      <c r="N442" s="7" t="s">
        <v>18</v>
      </c>
      <c r="O442" s="23" t="s">
        <v>3611</v>
      </c>
      <c r="R442" s="23" t="s">
        <v>3612</v>
      </c>
      <c r="S442" s="2" t="s">
        <v>3613</v>
      </c>
      <c r="T442" s="2" t="s">
        <v>3614</v>
      </c>
      <c r="U442" s="2" t="s">
        <v>3615</v>
      </c>
      <c r="V442" s="23" t="s">
        <v>3616</v>
      </c>
      <c r="W442" s="24" t="s">
        <v>3617</v>
      </c>
      <c r="X442" s="23" t="s">
        <v>3618</v>
      </c>
      <c r="Y442" s="23" t="s">
        <v>3619</v>
      </c>
      <c r="Z442" s="23" t="s">
        <v>3620</v>
      </c>
      <c r="AA442" s="23" t="s">
        <v>3621</v>
      </c>
      <c r="AB442" s="8"/>
      <c r="AC442" s="8"/>
      <c r="AD442" s="8"/>
    </row>
    <row r="443" spans="1:30" ht="15.75" customHeight="1">
      <c r="A443" s="4" t="s">
        <v>11</v>
      </c>
      <c r="B443" s="5">
        <v>2402</v>
      </c>
      <c r="C443" s="6" t="s">
        <v>54</v>
      </c>
      <c r="D443" s="7">
        <v>2022360071</v>
      </c>
      <c r="E443" s="7">
        <v>2201010737</v>
      </c>
      <c r="F443" s="7" t="s">
        <v>1807</v>
      </c>
      <c r="G443" s="7" t="s">
        <v>13</v>
      </c>
      <c r="H443" s="6" t="s">
        <v>55</v>
      </c>
      <c r="I443" s="6" t="s">
        <v>2694</v>
      </c>
      <c r="J443" s="6" t="s">
        <v>2695</v>
      </c>
      <c r="K443" s="6" t="s">
        <v>15</v>
      </c>
      <c r="L443" s="6" t="s">
        <v>16</v>
      </c>
      <c r="M443" s="6" t="s">
        <v>17</v>
      </c>
      <c r="N443" s="7" t="s">
        <v>18</v>
      </c>
      <c r="O443" s="23" t="s">
        <v>3611</v>
      </c>
      <c r="R443" s="23" t="s">
        <v>3612</v>
      </c>
      <c r="S443" s="2" t="s">
        <v>3613</v>
      </c>
      <c r="T443" s="2" t="s">
        <v>3614</v>
      </c>
      <c r="U443" s="2" t="s">
        <v>3615</v>
      </c>
      <c r="V443" s="23" t="s">
        <v>3616</v>
      </c>
      <c r="W443" s="24" t="s">
        <v>3617</v>
      </c>
      <c r="X443" s="23" t="s">
        <v>3618</v>
      </c>
      <c r="Y443" s="23" t="s">
        <v>3619</v>
      </c>
      <c r="Z443" s="23" t="s">
        <v>3620</v>
      </c>
      <c r="AA443" s="23" t="s">
        <v>3621</v>
      </c>
      <c r="AB443" s="8"/>
      <c r="AC443" s="8"/>
      <c r="AD443" s="8"/>
    </row>
    <row r="444" spans="1:30" ht="15.75" customHeight="1">
      <c r="A444" s="4" t="s">
        <v>11</v>
      </c>
      <c r="B444" s="5">
        <v>2402</v>
      </c>
      <c r="C444" s="6" t="s">
        <v>39</v>
      </c>
      <c r="D444" s="7">
        <v>2022005697</v>
      </c>
      <c r="E444" s="7">
        <v>2201010754</v>
      </c>
      <c r="F444" s="7" t="s">
        <v>1807</v>
      </c>
      <c r="G444" s="7" t="s">
        <v>13</v>
      </c>
      <c r="H444" s="6" t="s">
        <v>40</v>
      </c>
      <c r="I444" s="6" t="s">
        <v>2696</v>
      </c>
      <c r="J444" s="6" t="s">
        <v>2697</v>
      </c>
      <c r="K444" s="6" t="s">
        <v>15</v>
      </c>
      <c r="L444" s="6" t="s">
        <v>21</v>
      </c>
      <c r="M444" s="6" t="s">
        <v>16</v>
      </c>
      <c r="N444" s="7" t="s">
        <v>18</v>
      </c>
      <c r="O444" s="23" t="s">
        <v>3611</v>
      </c>
      <c r="R444" s="23" t="s">
        <v>3612</v>
      </c>
      <c r="S444" s="2" t="s">
        <v>3613</v>
      </c>
      <c r="T444" s="2" t="s">
        <v>3614</v>
      </c>
      <c r="U444" s="2" t="s">
        <v>3615</v>
      </c>
      <c r="V444" s="23" t="s">
        <v>3616</v>
      </c>
      <c r="W444" s="24" t="s">
        <v>3617</v>
      </c>
      <c r="X444" s="23" t="s">
        <v>3618</v>
      </c>
      <c r="Y444" s="23" t="s">
        <v>3619</v>
      </c>
      <c r="Z444" s="23" t="s">
        <v>3620</v>
      </c>
      <c r="AA444" s="23" t="s">
        <v>3621</v>
      </c>
      <c r="AB444" s="8"/>
      <c r="AC444" s="8"/>
      <c r="AD444" s="8"/>
    </row>
    <row r="445" spans="1:30" ht="15.75" customHeight="1">
      <c r="A445" s="4" t="s">
        <v>11</v>
      </c>
      <c r="B445" s="5">
        <v>2402</v>
      </c>
      <c r="C445" s="6" t="s">
        <v>60</v>
      </c>
      <c r="D445" s="7">
        <v>2022393356</v>
      </c>
      <c r="E445" s="7">
        <v>2201010771</v>
      </c>
      <c r="F445" s="7" t="s">
        <v>1807</v>
      </c>
      <c r="G445" s="7" t="s">
        <v>13</v>
      </c>
      <c r="H445" s="6" t="s">
        <v>61</v>
      </c>
      <c r="I445" s="6" t="s">
        <v>2698</v>
      </c>
      <c r="J445" s="6" t="s">
        <v>2699</v>
      </c>
      <c r="K445" s="6" t="s">
        <v>15</v>
      </c>
      <c r="L445" s="6" t="s">
        <v>16</v>
      </c>
      <c r="M445" s="6" t="s">
        <v>21</v>
      </c>
      <c r="N445" s="7" t="s">
        <v>18</v>
      </c>
      <c r="O445" s="23" t="s">
        <v>3611</v>
      </c>
      <c r="R445" s="23" t="s">
        <v>3612</v>
      </c>
      <c r="S445" s="2" t="s">
        <v>3613</v>
      </c>
      <c r="T445" s="2" t="s">
        <v>3614</v>
      </c>
      <c r="U445" s="2" t="s">
        <v>3615</v>
      </c>
      <c r="V445" s="23" t="s">
        <v>3616</v>
      </c>
      <c r="W445" s="24" t="s">
        <v>3617</v>
      </c>
      <c r="X445" s="23" t="s">
        <v>3618</v>
      </c>
      <c r="Y445" s="23" t="s">
        <v>3619</v>
      </c>
      <c r="Z445" s="23" t="s">
        <v>3620</v>
      </c>
      <c r="AA445" s="23" t="s">
        <v>3621</v>
      </c>
      <c r="AB445" s="8"/>
      <c r="AC445" s="8"/>
      <c r="AD445" s="8"/>
    </row>
    <row r="446" spans="1:30" ht="15.75" customHeight="1">
      <c r="A446" s="4" t="s">
        <v>11</v>
      </c>
      <c r="B446" s="5">
        <v>2402</v>
      </c>
      <c r="C446" s="6" t="s">
        <v>78</v>
      </c>
      <c r="D446" s="7">
        <v>2022439020</v>
      </c>
      <c r="E446" s="7">
        <v>2201010780</v>
      </c>
      <c r="F446" s="7" t="s">
        <v>1807</v>
      </c>
      <c r="G446" s="7" t="s">
        <v>13</v>
      </c>
      <c r="H446" s="6" t="s">
        <v>79</v>
      </c>
      <c r="I446" s="6" t="s">
        <v>2700</v>
      </c>
      <c r="J446" s="6" t="s">
        <v>2701</v>
      </c>
      <c r="K446" s="6" t="s">
        <v>15</v>
      </c>
      <c r="L446" s="6" t="s">
        <v>16</v>
      </c>
      <c r="M446" s="6" t="s">
        <v>26</v>
      </c>
      <c r="N446" s="7" t="s">
        <v>18</v>
      </c>
      <c r="O446" s="23" t="s">
        <v>3611</v>
      </c>
      <c r="R446" s="23" t="s">
        <v>3612</v>
      </c>
      <c r="S446" s="2" t="s">
        <v>3613</v>
      </c>
      <c r="T446" s="2" t="s">
        <v>3614</v>
      </c>
      <c r="U446" s="2" t="s">
        <v>3615</v>
      </c>
      <c r="V446" s="23" t="s">
        <v>3616</v>
      </c>
      <c r="W446" s="24" t="s">
        <v>3617</v>
      </c>
      <c r="X446" s="23" t="s">
        <v>3618</v>
      </c>
      <c r="Y446" s="23" t="s">
        <v>3619</v>
      </c>
      <c r="Z446" s="23" t="s">
        <v>3620</v>
      </c>
      <c r="AA446" s="23" t="s">
        <v>3621</v>
      </c>
      <c r="AB446" s="8"/>
      <c r="AC446" s="8"/>
      <c r="AD446" s="8"/>
    </row>
    <row r="447" spans="1:30" ht="15.75" customHeight="1">
      <c r="A447" s="4" t="s">
        <v>11</v>
      </c>
      <c r="B447" s="5">
        <v>2402</v>
      </c>
      <c r="C447" s="6" t="s">
        <v>68</v>
      </c>
      <c r="D447" s="7">
        <v>2022423199</v>
      </c>
      <c r="E447" s="7">
        <v>2201010812</v>
      </c>
      <c r="F447" s="7" t="s">
        <v>1807</v>
      </c>
      <c r="G447" s="7" t="s">
        <v>13</v>
      </c>
      <c r="H447" s="6" t="s">
        <v>69</v>
      </c>
      <c r="I447" s="6" t="s">
        <v>2702</v>
      </c>
      <c r="J447" s="6" t="s">
        <v>2703</v>
      </c>
      <c r="K447" s="6" t="s">
        <v>15</v>
      </c>
      <c r="L447" s="6" t="s">
        <v>16</v>
      </c>
      <c r="M447" s="6" t="s">
        <v>17</v>
      </c>
      <c r="N447" s="7" t="s">
        <v>18</v>
      </c>
      <c r="O447" s="23" t="s">
        <v>3611</v>
      </c>
      <c r="R447" s="23" t="s">
        <v>3612</v>
      </c>
      <c r="S447" s="2" t="s">
        <v>3613</v>
      </c>
      <c r="T447" s="2" t="s">
        <v>3614</v>
      </c>
      <c r="U447" s="2" t="s">
        <v>3615</v>
      </c>
      <c r="V447" s="23" t="s">
        <v>3616</v>
      </c>
      <c r="W447" s="24" t="s">
        <v>3617</v>
      </c>
      <c r="X447" s="23" t="s">
        <v>3618</v>
      </c>
      <c r="Y447" s="23" t="s">
        <v>3619</v>
      </c>
      <c r="Z447" s="23" t="s">
        <v>3620</v>
      </c>
      <c r="AA447" s="23" t="s">
        <v>3621</v>
      </c>
      <c r="AB447" s="8"/>
      <c r="AC447" s="8"/>
      <c r="AD447" s="8"/>
    </row>
    <row r="448" spans="1:30" ht="15.75" customHeight="1">
      <c r="A448" s="4" t="s">
        <v>11</v>
      </c>
      <c r="B448" s="5">
        <v>2402</v>
      </c>
      <c r="C448" s="6" t="s">
        <v>72</v>
      </c>
      <c r="D448" s="7">
        <v>2022433386</v>
      </c>
      <c r="E448" s="7">
        <v>2201010825</v>
      </c>
      <c r="F448" s="7" t="s">
        <v>1807</v>
      </c>
      <c r="G448" s="7" t="s">
        <v>13</v>
      </c>
      <c r="H448" s="6" t="s">
        <v>73</v>
      </c>
      <c r="I448" s="6" t="s">
        <v>2704</v>
      </c>
      <c r="J448" s="6" t="s">
        <v>2705</v>
      </c>
      <c r="K448" s="6" t="s">
        <v>15</v>
      </c>
      <c r="L448" s="6" t="s">
        <v>16</v>
      </c>
      <c r="M448" s="6" t="s">
        <v>21</v>
      </c>
      <c r="N448" s="7" t="s">
        <v>18</v>
      </c>
      <c r="O448" s="23" t="s">
        <v>3611</v>
      </c>
      <c r="R448" s="23" t="s">
        <v>3612</v>
      </c>
      <c r="S448" s="2" t="s">
        <v>3613</v>
      </c>
      <c r="T448" s="2" t="s">
        <v>3614</v>
      </c>
      <c r="U448" s="2" t="s">
        <v>3615</v>
      </c>
      <c r="V448" s="23" t="s">
        <v>3616</v>
      </c>
      <c r="W448" s="24" t="s">
        <v>3617</v>
      </c>
      <c r="X448" s="23" t="s">
        <v>3618</v>
      </c>
      <c r="Y448" s="23" t="s">
        <v>3619</v>
      </c>
      <c r="Z448" s="23" t="s">
        <v>3620</v>
      </c>
      <c r="AA448" s="23" t="s">
        <v>3621</v>
      </c>
      <c r="AB448" s="8"/>
      <c r="AC448" s="8"/>
      <c r="AD448" s="8"/>
    </row>
    <row r="449" spans="1:30" ht="15.75" customHeight="1">
      <c r="A449" s="4" t="s">
        <v>11</v>
      </c>
      <c r="B449" s="5">
        <v>2402</v>
      </c>
      <c r="C449" s="6" t="s">
        <v>43</v>
      </c>
      <c r="D449" s="7">
        <v>2022007449</v>
      </c>
      <c r="E449" s="7">
        <v>2201010849</v>
      </c>
      <c r="F449" s="7" t="s">
        <v>1807</v>
      </c>
      <c r="G449" s="7" t="s">
        <v>13</v>
      </c>
      <c r="H449" s="6" t="s">
        <v>44</v>
      </c>
      <c r="I449" s="6" t="s">
        <v>2706</v>
      </c>
      <c r="J449" s="6" t="s">
        <v>2707</v>
      </c>
      <c r="K449" s="6" t="s">
        <v>15</v>
      </c>
      <c r="L449" s="6" t="s">
        <v>21</v>
      </c>
      <c r="M449" s="6" t="s">
        <v>16</v>
      </c>
      <c r="N449" s="7" t="s">
        <v>18</v>
      </c>
      <c r="O449" s="23" t="s">
        <v>3611</v>
      </c>
      <c r="R449" s="23" t="s">
        <v>3612</v>
      </c>
      <c r="S449" s="2" t="s">
        <v>3613</v>
      </c>
      <c r="T449" s="2" t="s">
        <v>3614</v>
      </c>
      <c r="U449" s="2" t="s">
        <v>3615</v>
      </c>
      <c r="V449" s="23" t="s">
        <v>3616</v>
      </c>
      <c r="W449" s="24" t="s">
        <v>3617</v>
      </c>
      <c r="X449" s="23" t="s">
        <v>3618</v>
      </c>
      <c r="Y449" s="23" t="s">
        <v>3619</v>
      </c>
      <c r="Z449" s="23" t="s">
        <v>3620</v>
      </c>
      <c r="AA449" s="23" t="s">
        <v>3621</v>
      </c>
      <c r="AB449" s="8"/>
      <c r="AC449" s="8"/>
      <c r="AD449" s="8"/>
    </row>
    <row r="450" spans="1:30" ht="15.75" customHeight="1">
      <c r="A450" s="4" t="s">
        <v>11</v>
      </c>
      <c r="B450" s="5">
        <v>2402</v>
      </c>
      <c r="C450" s="6" t="s">
        <v>45</v>
      </c>
      <c r="D450" s="7">
        <v>2022007676</v>
      </c>
      <c r="E450" s="7">
        <v>2201010856</v>
      </c>
      <c r="F450" s="7" t="s">
        <v>1807</v>
      </c>
      <c r="G450" s="7" t="s">
        <v>13</v>
      </c>
      <c r="H450" s="6" t="s">
        <v>46</v>
      </c>
      <c r="I450" s="6" t="s">
        <v>2708</v>
      </c>
      <c r="J450" s="6" t="s">
        <v>2709</v>
      </c>
      <c r="K450" s="6" t="s">
        <v>15</v>
      </c>
      <c r="L450" s="6" t="s">
        <v>21</v>
      </c>
      <c r="M450" s="6" t="s">
        <v>16</v>
      </c>
      <c r="N450" s="7" t="s">
        <v>18</v>
      </c>
      <c r="O450" s="23" t="s">
        <v>3611</v>
      </c>
      <c r="R450" s="23" t="s">
        <v>3612</v>
      </c>
      <c r="S450" s="2" t="s">
        <v>3613</v>
      </c>
      <c r="T450" s="2" t="s">
        <v>3614</v>
      </c>
      <c r="U450" s="2" t="s">
        <v>3615</v>
      </c>
      <c r="V450" s="23" t="s">
        <v>3616</v>
      </c>
      <c r="W450" s="24" t="s">
        <v>3617</v>
      </c>
      <c r="X450" s="23" t="s">
        <v>3618</v>
      </c>
      <c r="Y450" s="23" t="s">
        <v>3619</v>
      </c>
      <c r="Z450" s="23" t="s">
        <v>3620</v>
      </c>
      <c r="AA450" s="23" t="s">
        <v>3621</v>
      </c>
      <c r="AB450" s="8"/>
      <c r="AC450" s="8"/>
      <c r="AD450" s="8"/>
    </row>
    <row r="451" spans="1:30" ht="15.75" customHeight="1">
      <c r="A451" s="4" t="s">
        <v>11</v>
      </c>
      <c r="B451" s="5">
        <v>2402</v>
      </c>
      <c r="C451" s="6" t="s">
        <v>56</v>
      </c>
      <c r="D451" s="7">
        <v>2022369268</v>
      </c>
      <c r="E451" s="7">
        <v>2201010870</v>
      </c>
      <c r="F451" s="7" t="s">
        <v>1807</v>
      </c>
      <c r="G451" s="7" t="s">
        <v>13</v>
      </c>
      <c r="H451" s="6" t="s">
        <v>57</v>
      </c>
      <c r="I451" s="6" t="s">
        <v>2710</v>
      </c>
      <c r="J451" s="6" t="s">
        <v>2711</v>
      </c>
      <c r="K451" s="6" t="s">
        <v>15</v>
      </c>
      <c r="L451" s="6" t="e">
        <v>#N/A</v>
      </c>
      <c r="M451" s="6" t="e">
        <v>#N/A</v>
      </c>
      <c r="N451" s="7" t="e">
        <v>#N/A</v>
      </c>
      <c r="O451" s="23" t="s">
        <v>3611</v>
      </c>
      <c r="R451" s="23" t="s">
        <v>3612</v>
      </c>
      <c r="S451" s="2" t="s">
        <v>3613</v>
      </c>
      <c r="T451" s="2" t="s">
        <v>3614</v>
      </c>
      <c r="U451" s="2" t="s">
        <v>3615</v>
      </c>
      <c r="V451" s="23" t="s">
        <v>3616</v>
      </c>
      <c r="W451" s="24" t="s">
        <v>3617</v>
      </c>
      <c r="X451" s="23" t="s">
        <v>3618</v>
      </c>
      <c r="Y451" s="23" t="s">
        <v>3619</v>
      </c>
      <c r="Z451" s="23" t="s">
        <v>3620</v>
      </c>
      <c r="AA451" s="23" t="s">
        <v>3621</v>
      </c>
    </row>
    <row r="452" spans="1:30" ht="15.75" customHeight="1">
      <c r="A452" s="4" t="s">
        <v>11</v>
      </c>
      <c r="B452" s="5">
        <v>2402</v>
      </c>
      <c r="C452" s="6" t="s">
        <v>115</v>
      </c>
      <c r="D452" s="7">
        <v>2022528998</v>
      </c>
      <c r="E452" s="7">
        <v>2201010876</v>
      </c>
      <c r="F452" s="7" t="s">
        <v>1807</v>
      </c>
      <c r="G452" s="7" t="s">
        <v>13</v>
      </c>
      <c r="H452" s="6" t="s">
        <v>116</v>
      </c>
      <c r="I452" s="6" t="s">
        <v>2712</v>
      </c>
      <c r="J452" s="6" t="s">
        <v>2713</v>
      </c>
      <c r="K452" s="6" t="s">
        <v>15</v>
      </c>
      <c r="L452" s="6" t="s">
        <v>16</v>
      </c>
      <c r="M452" s="6" t="s">
        <v>117</v>
      </c>
      <c r="N452" s="7" t="s">
        <v>18</v>
      </c>
      <c r="O452" s="23" t="s">
        <v>3611</v>
      </c>
      <c r="R452" s="23" t="s">
        <v>3612</v>
      </c>
      <c r="S452" s="2" t="s">
        <v>3613</v>
      </c>
      <c r="T452" s="2" t="s">
        <v>3614</v>
      </c>
      <c r="U452" s="2" t="s">
        <v>3615</v>
      </c>
      <c r="V452" s="23" t="s">
        <v>3616</v>
      </c>
      <c r="W452" s="24" t="s">
        <v>3617</v>
      </c>
      <c r="X452" s="23" t="s">
        <v>3618</v>
      </c>
      <c r="Y452" s="23" t="s">
        <v>3619</v>
      </c>
      <c r="Z452" s="23" t="s">
        <v>3620</v>
      </c>
      <c r="AA452" s="23" t="s">
        <v>3621</v>
      </c>
    </row>
    <row r="453" spans="1:30" ht="15.75" customHeight="1">
      <c r="A453" s="4" t="s">
        <v>11</v>
      </c>
      <c r="B453" s="5">
        <v>2402</v>
      </c>
      <c r="C453" s="6" t="s">
        <v>122</v>
      </c>
      <c r="D453" s="7">
        <v>2022591296</v>
      </c>
      <c r="E453" s="7">
        <v>2201010887</v>
      </c>
      <c r="F453" s="7" t="s">
        <v>1807</v>
      </c>
      <c r="G453" s="7" t="s">
        <v>13</v>
      </c>
      <c r="H453" s="6" t="s">
        <v>123</v>
      </c>
      <c r="I453" s="6" t="s">
        <v>2714</v>
      </c>
      <c r="J453" s="6" t="s">
        <v>2715</v>
      </c>
      <c r="K453" s="6" t="s">
        <v>15</v>
      </c>
      <c r="L453" s="6" t="s">
        <v>21</v>
      </c>
      <c r="M453" s="6" t="s">
        <v>26</v>
      </c>
      <c r="N453" s="7" t="s">
        <v>18</v>
      </c>
      <c r="O453" s="23" t="s">
        <v>3611</v>
      </c>
      <c r="R453" s="23" t="s">
        <v>3612</v>
      </c>
      <c r="S453" s="2" t="s">
        <v>3613</v>
      </c>
      <c r="T453" s="2" t="s">
        <v>3614</v>
      </c>
      <c r="U453" s="2" t="s">
        <v>3615</v>
      </c>
      <c r="V453" s="23" t="s">
        <v>3616</v>
      </c>
      <c r="W453" s="24" t="s">
        <v>3617</v>
      </c>
      <c r="X453" s="23" t="s">
        <v>3618</v>
      </c>
      <c r="Y453" s="23" t="s">
        <v>3619</v>
      </c>
      <c r="Z453" s="23" t="s">
        <v>3620</v>
      </c>
      <c r="AA453" s="23" t="s">
        <v>3621</v>
      </c>
    </row>
    <row r="454" spans="1:30" ht="15.75" customHeight="1">
      <c r="A454" s="10" t="s">
        <v>132</v>
      </c>
      <c r="B454" s="5">
        <v>2402</v>
      </c>
      <c r="C454" s="6" t="s">
        <v>807</v>
      </c>
      <c r="D454" s="7">
        <v>2021482470</v>
      </c>
      <c r="E454" s="7">
        <v>210101376</v>
      </c>
      <c r="F454" s="7" t="s">
        <v>1809</v>
      </c>
      <c r="G454" s="7" t="s">
        <v>13</v>
      </c>
      <c r="H454" s="6" t="s">
        <v>808</v>
      </c>
      <c r="I454" s="6" t="s">
        <v>2716</v>
      </c>
      <c r="J454" s="6" t="s">
        <v>2717</v>
      </c>
      <c r="K454" s="6" t="s">
        <v>15</v>
      </c>
      <c r="L454" s="6" t="s">
        <v>149</v>
      </c>
      <c r="M454" s="6" t="s">
        <v>16</v>
      </c>
      <c r="N454" s="7" t="s">
        <v>18</v>
      </c>
      <c r="O454" s="23" t="s">
        <v>3611</v>
      </c>
      <c r="R454" s="23" t="s">
        <v>3612</v>
      </c>
      <c r="S454" s="2" t="s">
        <v>3613</v>
      </c>
      <c r="T454" s="2" t="s">
        <v>3614</v>
      </c>
      <c r="U454" s="2" t="s">
        <v>3615</v>
      </c>
      <c r="V454" s="23" t="s">
        <v>3616</v>
      </c>
      <c r="W454" s="24" t="s">
        <v>3617</v>
      </c>
      <c r="X454" s="23" t="s">
        <v>3618</v>
      </c>
      <c r="Y454" s="23" t="s">
        <v>3619</v>
      </c>
      <c r="Z454" s="23" t="s">
        <v>3620</v>
      </c>
      <c r="AA454" s="23" t="s">
        <v>3621</v>
      </c>
    </row>
    <row r="455" spans="1:30" ht="15.75" customHeight="1">
      <c r="A455" s="4" t="s">
        <v>132</v>
      </c>
      <c r="B455" s="5">
        <v>2402</v>
      </c>
      <c r="C455" s="6" t="s">
        <v>141</v>
      </c>
      <c r="D455" s="7">
        <v>2022539291</v>
      </c>
      <c r="E455" s="7">
        <v>2201010030</v>
      </c>
      <c r="F455" s="7" t="s">
        <v>1809</v>
      </c>
      <c r="G455" s="7" t="s">
        <v>13</v>
      </c>
      <c r="H455" s="6" t="s">
        <v>142</v>
      </c>
      <c r="I455" s="6" t="s">
        <v>2718</v>
      </c>
      <c r="J455" s="6" t="s">
        <v>2719</v>
      </c>
      <c r="K455" s="6" t="s">
        <v>15</v>
      </c>
      <c r="L455" s="6" t="e">
        <v>#N/A</v>
      </c>
      <c r="M455" s="6" t="e">
        <v>#N/A</v>
      </c>
      <c r="N455" s="7" t="e">
        <v>#N/A</v>
      </c>
      <c r="O455" s="23" t="s">
        <v>3611</v>
      </c>
      <c r="R455" s="23" t="s">
        <v>3612</v>
      </c>
      <c r="S455" s="2" t="s">
        <v>3613</v>
      </c>
      <c r="T455" s="2" t="s">
        <v>3614</v>
      </c>
      <c r="U455" s="2" t="s">
        <v>3615</v>
      </c>
      <c r="V455" s="23" t="s">
        <v>3616</v>
      </c>
      <c r="W455" s="24" t="s">
        <v>3617</v>
      </c>
      <c r="X455" s="23" t="s">
        <v>3618</v>
      </c>
      <c r="Y455" s="23" t="s">
        <v>3619</v>
      </c>
      <c r="Z455" s="23" t="s">
        <v>3620</v>
      </c>
      <c r="AA455" s="23" t="s">
        <v>3621</v>
      </c>
    </row>
    <row r="456" spans="1:30" ht="15.75" customHeight="1">
      <c r="A456" s="4" t="s">
        <v>132</v>
      </c>
      <c r="B456" s="5">
        <v>2402</v>
      </c>
      <c r="C456" s="6" t="s">
        <v>211</v>
      </c>
      <c r="D456" s="7">
        <v>2022508626</v>
      </c>
      <c r="E456" s="7">
        <v>2201010032</v>
      </c>
      <c r="F456" s="7" t="s">
        <v>1809</v>
      </c>
      <c r="G456" s="7" t="s">
        <v>13</v>
      </c>
      <c r="H456" s="6" t="s">
        <v>212</v>
      </c>
      <c r="I456" s="6" t="s">
        <v>2720</v>
      </c>
      <c r="J456" s="6" t="s">
        <v>2721</v>
      </c>
      <c r="K456" s="6" t="s">
        <v>15</v>
      </c>
      <c r="L456" s="6" t="s">
        <v>21</v>
      </c>
      <c r="M456" s="6" t="s">
        <v>16</v>
      </c>
      <c r="N456" s="7" t="s">
        <v>18</v>
      </c>
      <c r="O456" s="23" t="s">
        <v>3611</v>
      </c>
      <c r="R456" s="23" t="s">
        <v>3612</v>
      </c>
      <c r="S456" s="2" t="s">
        <v>3613</v>
      </c>
      <c r="T456" s="2" t="s">
        <v>3614</v>
      </c>
      <c r="U456" s="2" t="s">
        <v>3615</v>
      </c>
      <c r="V456" s="23" t="s">
        <v>3616</v>
      </c>
      <c r="W456" s="24" t="s">
        <v>3617</v>
      </c>
      <c r="X456" s="23" t="s">
        <v>3618</v>
      </c>
      <c r="Y456" s="23" t="s">
        <v>3619</v>
      </c>
      <c r="Z456" s="23" t="s">
        <v>3620</v>
      </c>
      <c r="AA456" s="23" t="s">
        <v>3621</v>
      </c>
    </row>
    <row r="457" spans="1:30" ht="15.75" customHeight="1">
      <c r="A457" s="4" t="s">
        <v>132</v>
      </c>
      <c r="B457" s="5">
        <v>2402</v>
      </c>
      <c r="C457" s="6" t="s">
        <v>219</v>
      </c>
      <c r="D457" s="7">
        <v>2022558776</v>
      </c>
      <c r="E457" s="7">
        <v>2201010050</v>
      </c>
      <c r="F457" s="7" t="s">
        <v>1809</v>
      </c>
      <c r="G457" s="7" t="s">
        <v>13</v>
      </c>
      <c r="H457" s="6" t="s">
        <v>220</v>
      </c>
      <c r="I457" s="6" t="s">
        <v>2722</v>
      </c>
      <c r="J457" s="6" t="s">
        <v>2723</v>
      </c>
      <c r="K457" s="6" t="s">
        <v>15</v>
      </c>
      <c r="L457" s="6" t="s">
        <v>16</v>
      </c>
      <c r="M457" s="6" t="s">
        <v>21</v>
      </c>
      <c r="N457" s="7" t="s">
        <v>18</v>
      </c>
      <c r="O457" s="23" t="s">
        <v>3611</v>
      </c>
      <c r="R457" s="23" t="s">
        <v>3612</v>
      </c>
      <c r="S457" s="2" t="s">
        <v>3613</v>
      </c>
      <c r="T457" s="2" t="s">
        <v>3614</v>
      </c>
      <c r="U457" s="2" t="s">
        <v>3615</v>
      </c>
      <c r="V457" s="23" t="s">
        <v>3616</v>
      </c>
      <c r="W457" s="24" t="s">
        <v>3617</v>
      </c>
      <c r="X457" s="23" t="s">
        <v>3618</v>
      </c>
      <c r="Y457" s="23" t="s">
        <v>3619</v>
      </c>
      <c r="Z457" s="23" t="s">
        <v>3620</v>
      </c>
      <c r="AA457" s="23" t="s">
        <v>3621</v>
      </c>
    </row>
    <row r="458" spans="1:30" ht="15.75" customHeight="1">
      <c r="A458" s="4" t="s">
        <v>132</v>
      </c>
      <c r="B458" s="5">
        <v>2402</v>
      </c>
      <c r="C458" s="6" t="s">
        <v>197</v>
      </c>
      <c r="D458" s="7">
        <v>2022476104</v>
      </c>
      <c r="E458" s="7">
        <v>2201010058</v>
      </c>
      <c r="F458" s="7" t="s">
        <v>1809</v>
      </c>
      <c r="G458" s="7" t="s">
        <v>13</v>
      </c>
      <c r="H458" s="6" t="s">
        <v>198</v>
      </c>
      <c r="I458" s="6" t="s">
        <v>2724</v>
      </c>
      <c r="J458" s="6" t="s">
        <v>2725</v>
      </c>
      <c r="K458" s="6" t="s">
        <v>15</v>
      </c>
      <c r="L458" s="6" t="s">
        <v>149</v>
      </c>
      <c r="M458" s="6" t="s">
        <v>49</v>
      </c>
      <c r="N458" s="7" t="s">
        <v>18</v>
      </c>
      <c r="O458" s="23" t="s">
        <v>3611</v>
      </c>
      <c r="R458" s="23" t="s">
        <v>3612</v>
      </c>
      <c r="S458" s="2" t="s">
        <v>3613</v>
      </c>
      <c r="T458" s="2" t="s">
        <v>3614</v>
      </c>
      <c r="U458" s="2" t="s">
        <v>3615</v>
      </c>
      <c r="V458" s="23" t="s">
        <v>3616</v>
      </c>
      <c r="W458" s="24" t="s">
        <v>3617</v>
      </c>
      <c r="X458" s="23" t="s">
        <v>3618</v>
      </c>
      <c r="Y458" s="23" t="s">
        <v>3619</v>
      </c>
      <c r="Z458" s="23" t="s">
        <v>3620</v>
      </c>
      <c r="AA458" s="23" t="s">
        <v>3621</v>
      </c>
    </row>
    <row r="459" spans="1:30" ht="15.75" customHeight="1">
      <c r="A459" s="4" t="s">
        <v>132</v>
      </c>
      <c r="B459" s="5">
        <v>2402</v>
      </c>
      <c r="C459" s="6" t="s">
        <v>227</v>
      </c>
      <c r="D459" s="7">
        <v>2022567112</v>
      </c>
      <c r="E459" s="7">
        <v>2201010071</v>
      </c>
      <c r="F459" s="7" t="s">
        <v>1809</v>
      </c>
      <c r="G459" s="7" t="s">
        <v>13</v>
      </c>
      <c r="H459" s="6" t="s">
        <v>228</v>
      </c>
      <c r="I459" s="6" t="s">
        <v>2726</v>
      </c>
      <c r="J459" s="6" t="s">
        <v>2727</v>
      </c>
      <c r="K459" s="6" t="s">
        <v>15</v>
      </c>
      <c r="L459" s="6" t="s">
        <v>16</v>
      </c>
      <c r="M459" s="6" t="s">
        <v>49</v>
      </c>
      <c r="N459" s="7" t="s">
        <v>18</v>
      </c>
      <c r="O459" s="23" t="s">
        <v>3611</v>
      </c>
      <c r="R459" s="23" t="s">
        <v>3612</v>
      </c>
      <c r="S459" s="2" t="s">
        <v>3613</v>
      </c>
      <c r="T459" s="2" t="s">
        <v>3614</v>
      </c>
      <c r="U459" s="2" t="s">
        <v>3615</v>
      </c>
      <c r="V459" s="23" t="s">
        <v>3616</v>
      </c>
      <c r="W459" s="24" t="s">
        <v>3617</v>
      </c>
      <c r="X459" s="23" t="s">
        <v>3618</v>
      </c>
      <c r="Y459" s="23" t="s">
        <v>3619</v>
      </c>
      <c r="Z459" s="23" t="s">
        <v>3620</v>
      </c>
      <c r="AA459" s="23" t="s">
        <v>3621</v>
      </c>
    </row>
    <row r="460" spans="1:30" ht="15.75" customHeight="1">
      <c r="A460" s="4" t="s">
        <v>132</v>
      </c>
      <c r="B460" s="5">
        <v>2402</v>
      </c>
      <c r="C460" s="6" t="s">
        <v>150</v>
      </c>
      <c r="D460" s="7">
        <v>2022006152</v>
      </c>
      <c r="E460" s="7">
        <v>2201010075</v>
      </c>
      <c r="F460" s="7" t="s">
        <v>1809</v>
      </c>
      <c r="G460" s="7" t="s">
        <v>13</v>
      </c>
      <c r="H460" s="6" t="s">
        <v>151</v>
      </c>
      <c r="I460" s="6" t="s">
        <v>2728</v>
      </c>
      <c r="J460" s="6" t="s">
        <v>2729</v>
      </c>
      <c r="K460" s="6" t="s">
        <v>15</v>
      </c>
      <c r="L460" s="6" t="s">
        <v>16</v>
      </c>
      <c r="M460" s="6" t="s">
        <v>49</v>
      </c>
      <c r="N460" s="7" t="s">
        <v>18</v>
      </c>
      <c r="O460" s="23" t="s">
        <v>3611</v>
      </c>
      <c r="R460" s="23" t="s">
        <v>3612</v>
      </c>
      <c r="S460" s="2" t="s">
        <v>3613</v>
      </c>
      <c r="T460" s="2" t="s">
        <v>3614</v>
      </c>
      <c r="U460" s="2" t="s">
        <v>3615</v>
      </c>
      <c r="V460" s="23" t="s">
        <v>3616</v>
      </c>
      <c r="W460" s="24" t="s">
        <v>3617</v>
      </c>
      <c r="X460" s="23" t="s">
        <v>3618</v>
      </c>
      <c r="Y460" s="23" t="s">
        <v>3619</v>
      </c>
      <c r="Z460" s="23" t="s">
        <v>3620</v>
      </c>
      <c r="AA460" s="23" t="s">
        <v>3621</v>
      </c>
    </row>
    <row r="461" spans="1:30" ht="15.75" customHeight="1">
      <c r="A461" s="4" t="s">
        <v>132</v>
      </c>
      <c r="B461" s="5">
        <v>2402</v>
      </c>
      <c r="C461" s="6" t="s">
        <v>160</v>
      </c>
      <c r="D461" s="7">
        <v>2022006654</v>
      </c>
      <c r="E461" s="7">
        <v>2201010088</v>
      </c>
      <c r="F461" s="7" t="s">
        <v>1809</v>
      </c>
      <c r="G461" s="7" t="s">
        <v>13</v>
      </c>
      <c r="H461" s="6" t="s">
        <v>161</v>
      </c>
      <c r="I461" s="6" t="s">
        <v>2730</v>
      </c>
      <c r="J461" s="6" t="s">
        <v>2731</v>
      </c>
      <c r="K461" s="6" t="s">
        <v>15</v>
      </c>
      <c r="L461" s="6" t="s">
        <v>21</v>
      </c>
      <c r="M461" s="6" t="s">
        <v>149</v>
      </c>
      <c r="N461" s="7" t="s">
        <v>18</v>
      </c>
      <c r="O461" s="23" t="s">
        <v>3611</v>
      </c>
      <c r="R461" s="23" t="s">
        <v>3612</v>
      </c>
      <c r="S461" s="2" t="s">
        <v>3613</v>
      </c>
      <c r="T461" s="2" t="s">
        <v>3614</v>
      </c>
      <c r="U461" s="2" t="s">
        <v>3615</v>
      </c>
      <c r="V461" s="23" t="s">
        <v>3616</v>
      </c>
      <c r="W461" s="24" t="s">
        <v>3617</v>
      </c>
      <c r="X461" s="23" t="s">
        <v>3618</v>
      </c>
      <c r="Y461" s="23" t="s">
        <v>3619</v>
      </c>
      <c r="Z461" s="23" t="s">
        <v>3620</v>
      </c>
      <c r="AA461" s="23" t="s">
        <v>3621</v>
      </c>
    </row>
    <row r="462" spans="1:30" ht="15.75" customHeight="1">
      <c r="A462" s="4" t="s">
        <v>132</v>
      </c>
      <c r="B462" s="5">
        <v>2402</v>
      </c>
      <c r="C462" s="6" t="s">
        <v>122</v>
      </c>
      <c r="D462" s="7">
        <v>2022511918</v>
      </c>
      <c r="E462" s="7">
        <v>2201010090</v>
      </c>
      <c r="F462" s="7" t="s">
        <v>1809</v>
      </c>
      <c r="G462" s="7" t="s">
        <v>13</v>
      </c>
      <c r="H462" s="6" t="s">
        <v>140</v>
      </c>
      <c r="I462" s="6" t="s">
        <v>2732</v>
      </c>
      <c r="J462" s="6" t="s">
        <v>2733</v>
      </c>
      <c r="K462" s="6" t="s">
        <v>15</v>
      </c>
      <c r="L462" s="6" t="s">
        <v>21</v>
      </c>
      <c r="M462" s="6" t="s">
        <v>139</v>
      </c>
      <c r="N462" s="7" t="s">
        <v>18</v>
      </c>
      <c r="O462" s="23" t="s">
        <v>3611</v>
      </c>
      <c r="R462" s="23" t="s">
        <v>3612</v>
      </c>
      <c r="S462" s="2" t="s">
        <v>3613</v>
      </c>
      <c r="T462" s="2" t="s">
        <v>3614</v>
      </c>
      <c r="U462" s="2" t="s">
        <v>3615</v>
      </c>
      <c r="V462" s="23" t="s">
        <v>3616</v>
      </c>
      <c r="W462" s="24" t="s">
        <v>3617</v>
      </c>
      <c r="X462" s="23" t="s">
        <v>3618</v>
      </c>
      <c r="Y462" s="23" t="s">
        <v>3619</v>
      </c>
      <c r="Z462" s="23" t="s">
        <v>3620</v>
      </c>
      <c r="AA462" s="23" t="s">
        <v>3621</v>
      </c>
    </row>
    <row r="463" spans="1:30" ht="15.75" customHeight="1">
      <c r="A463" s="4" t="s">
        <v>132</v>
      </c>
      <c r="B463" s="5">
        <v>2402</v>
      </c>
      <c r="C463" s="6" t="s">
        <v>189</v>
      </c>
      <c r="D463" s="7">
        <v>2022407716</v>
      </c>
      <c r="E463" s="7">
        <v>2201010097</v>
      </c>
      <c r="F463" s="7" t="s">
        <v>1809</v>
      </c>
      <c r="G463" s="7" t="s">
        <v>13</v>
      </c>
      <c r="H463" s="6" t="s">
        <v>190</v>
      </c>
      <c r="I463" s="6" t="s">
        <v>2734</v>
      </c>
      <c r="J463" s="6" t="s">
        <v>2735</v>
      </c>
      <c r="K463" s="6" t="s">
        <v>15</v>
      </c>
      <c r="L463" s="6" t="s">
        <v>21</v>
      </c>
      <c r="M463" s="6" t="s">
        <v>16</v>
      </c>
      <c r="N463" s="7" t="s">
        <v>18</v>
      </c>
      <c r="O463" s="23" t="s">
        <v>3611</v>
      </c>
      <c r="R463" s="23" t="s">
        <v>3612</v>
      </c>
      <c r="S463" s="2" t="s">
        <v>3613</v>
      </c>
      <c r="T463" s="2" t="s">
        <v>3614</v>
      </c>
      <c r="U463" s="2" t="s">
        <v>3615</v>
      </c>
      <c r="V463" s="23" t="s">
        <v>3616</v>
      </c>
      <c r="W463" s="24" t="s">
        <v>3617</v>
      </c>
      <c r="X463" s="23" t="s">
        <v>3618</v>
      </c>
      <c r="Y463" s="23" t="s">
        <v>3619</v>
      </c>
      <c r="Z463" s="23" t="s">
        <v>3620</v>
      </c>
      <c r="AA463" s="23" t="s">
        <v>3621</v>
      </c>
    </row>
    <row r="464" spans="1:30" ht="15.75" customHeight="1">
      <c r="A464" s="4" t="s">
        <v>132</v>
      </c>
      <c r="B464" s="5">
        <v>2402</v>
      </c>
      <c r="C464" s="6" t="s">
        <v>231</v>
      </c>
      <c r="D464" s="7">
        <v>2022577648</v>
      </c>
      <c r="E464" s="7">
        <v>2201010102</v>
      </c>
      <c r="F464" s="7" t="s">
        <v>1809</v>
      </c>
      <c r="G464" s="7" t="s">
        <v>13</v>
      </c>
      <c r="H464" s="6" t="s">
        <v>232</v>
      </c>
      <c r="I464" s="6" t="s">
        <v>2736</v>
      </c>
      <c r="J464" s="6" t="s">
        <v>2737</v>
      </c>
      <c r="K464" s="6" t="s">
        <v>15</v>
      </c>
      <c r="L464" s="6" t="s">
        <v>16</v>
      </c>
      <c r="M464" s="6" t="s">
        <v>21</v>
      </c>
      <c r="N464" s="7" t="s">
        <v>18</v>
      </c>
      <c r="O464" s="23" t="s">
        <v>3611</v>
      </c>
      <c r="R464" s="23" t="s">
        <v>3612</v>
      </c>
      <c r="S464" s="2" t="s">
        <v>3613</v>
      </c>
      <c r="T464" s="2" t="s">
        <v>3614</v>
      </c>
      <c r="U464" s="2" t="s">
        <v>3615</v>
      </c>
      <c r="V464" s="23" t="s">
        <v>3616</v>
      </c>
      <c r="W464" s="24" t="s">
        <v>3617</v>
      </c>
      <c r="X464" s="23" t="s">
        <v>3618</v>
      </c>
      <c r="Y464" s="23" t="s">
        <v>3619</v>
      </c>
      <c r="Z464" s="23" t="s">
        <v>3620</v>
      </c>
      <c r="AA464" s="23" t="s">
        <v>3621</v>
      </c>
    </row>
    <row r="465" spans="1:30" ht="15.75" customHeight="1">
      <c r="A465" s="4" t="s">
        <v>132</v>
      </c>
      <c r="B465" s="5">
        <v>2402</v>
      </c>
      <c r="C465" s="6" t="s">
        <v>154</v>
      </c>
      <c r="D465" s="7">
        <v>2022006318</v>
      </c>
      <c r="E465" s="7">
        <v>2201010126</v>
      </c>
      <c r="F465" s="7" t="s">
        <v>1809</v>
      </c>
      <c r="G465" s="7" t="s">
        <v>13</v>
      </c>
      <c r="H465" s="6" t="s">
        <v>155</v>
      </c>
      <c r="I465" s="6" t="s">
        <v>2738</v>
      </c>
      <c r="J465" s="6" t="s">
        <v>2739</v>
      </c>
      <c r="K465" s="6" t="s">
        <v>15</v>
      </c>
      <c r="L465" s="6" t="s">
        <v>21</v>
      </c>
      <c r="M465" s="6" t="s">
        <v>16</v>
      </c>
      <c r="N465" s="7" t="s">
        <v>18</v>
      </c>
      <c r="O465" s="23" t="s">
        <v>3611</v>
      </c>
      <c r="R465" s="23" t="s">
        <v>3612</v>
      </c>
      <c r="S465" s="2" t="s">
        <v>3613</v>
      </c>
      <c r="T465" s="2" t="s">
        <v>3614</v>
      </c>
      <c r="U465" s="2" t="s">
        <v>3615</v>
      </c>
      <c r="V465" s="23" t="s">
        <v>3616</v>
      </c>
      <c r="W465" s="24" t="s">
        <v>3617</v>
      </c>
      <c r="X465" s="23" t="s">
        <v>3618</v>
      </c>
      <c r="Y465" s="23" t="s">
        <v>3619</v>
      </c>
      <c r="Z465" s="23" t="s">
        <v>3620</v>
      </c>
      <c r="AA465" s="23" t="s">
        <v>3621</v>
      </c>
    </row>
    <row r="466" spans="1:30" ht="15.75" customHeight="1">
      <c r="A466" s="4" t="s">
        <v>132</v>
      </c>
      <c r="B466" s="5">
        <v>2402</v>
      </c>
      <c r="C466" s="6" t="s">
        <v>201</v>
      </c>
      <c r="D466" s="7">
        <v>2022484200</v>
      </c>
      <c r="E466" s="7">
        <v>2201010156</v>
      </c>
      <c r="F466" s="7" t="s">
        <v>1809</v>
      </c>
      <c r="G466" s="7" t="s">
        <v>13</v>
      </c>
      <c r="H466" s="6" t="s">
        <v>202</v>
      </c>
      <c r="I466" s="6" t="s">
        <v>2740</v>
      </c>
      <c r="J466" s="6" t="s">
        <v>2741</v>
      </c>
      <c r="K466" s="6" t="s">
        <v>15</v>
      </c>
      <c r="L466" s="6" t="s">
        <v>21</v>
      </c>
      <c r="M466" s="6" t="s">
        <v>16</v>
      </c>
      <c r="N466" s="7" t="s">
        <v>18</v>
      </c>
      <c r="O466" s="23" t="s">
        <v>3611</v>
      </c>
      <c r="R466" s="23" t="s">
        <v>3612</v>
      </c>
      <c r="S466" s="2" t="s">
        <v>3613</v>
      </c>
      <c r="T466" s="2" t="s">
        <v>3614</v>
      </c>
      <c r="U466" s="2" t="s">
        <v>3615</v>
      </c>
      <c r="V466" s="23" t="s">
        <v>3616</v>
      </c>
      <c r="W466" s="24" t="s">
        <v>3617</v>
      </c>
      <c r="X466" s="23" t="s">
        <v>3618</v>
      </c>
      <c r="Y466" s="23" t="s">
        <v>3619</v>
      </c>
      <c r="Z466" s="23" t="s">
        <v>3620</v>
      </c>
      <c r="AA466" s="23" t="s">
        <v>3621</v>
      </c>
    </row>
    <row r="467" spans="1:30" ht="15.75" customHeight="1">
      <c r="A467" s="4" t="s">
        <v>132</v>
      </c>
      <c r="B467" s="5">
        <v>2402</v>
      </c>
      <c r="C467" s="6" t="s">
        <v>191</v>
      </c>
      <c r="D467" s="7">
        <v>2022416656</v>
      </c>
      <c r="E467" s="7">
        <v>2201010169</v>
      </c>
      <c r="F467" s="7" t="s">
        <v>1809</v>
      </c>
      <c r="G467" s="7" t="s">
        <v>13</v>
      </c>
      <c r="H467" s="6" t="s">
        <v>192</v>
      </c>
      <c r="I467" s="6" t="s">
        <v>2742</v>
      </c>
      <c r="J467" s="6" t="s">
        <v>2743</v>
      </c>
      <c r="K467" s="6" t="s">
        <v>15</v>
      </c>
      <c r="L467" s="6" t="s">
        <v>21</v>
      </c>
      <c r="M467" s="6" t="s">
        <v>16</v>
      </c>
      <c r="N467" s="7" t="s">
        <v>18</v>
      </c>
      <c r="O467" s="23" t="s">
        <v>3611</v>
      </c>
      <c r="R467" s="23" t="s">
        <v>3612</v>
      </c>
      <c r="S467" s="2" t="s">
        <v>3613</v>
      </c>
      <c r="T467" s="2" t="s">
        <v>3614</v>
      </c>
      <c r="U467" s="2" t="s">
        <v>3615</v>
      </c>
      <c r="V467" s="23" t="s">
        <v>3616</v>
      </c>
      <c r="W467" s="24" t="s">
        <v>3617</v>
      </c>
      <c r="X467" s="23" t="s">
        <v>3618</v>
      </c>
      <c r="Y467" s="23" t="s">
        <v>3619</v>
      </c>
      <c r="Z467" s="23" t="s">
        <v>3620</v>
      </c>
      <c r="AA467" s="23" t="s">
        <v>3621</v>
      </c>
    </row>
    <row r="468" spans="1:30" ht="15.75" customHeight="1">
      <c r="A468" s="4" t="s">
        <v>132</v>
      </c>
      <c r="B468" s="5">
        <v>2402</v>
      </c>
      <c r="C468" s="6" t="s">
        <v>137</v>
      </c>
      <c r="D468" s="7">
        <v>2022506998</v>
      </c>
      <c r="E468" s="7">
        <v>2201010247</v>
      </c>
      <c r="F468" s="7" t="s">
        <v>1809</v>
      </c>
      <c r="G468" s="7" t="s">
        <v>13</v>
      </c>
      <c r="H468" s="6" t="s">
        <v>138</v>
      </c>
      <c r="I468" s="6" t="s">
        <v>2744</v>
      </c>
      <c r="J468" s="6" t="s">
        <v>2745</v>
      </c>
      <c r="K468" s="6" t="s">
        <v>15</v>
      </c>
      <c r="L468" s="6" t="s">
        <v>21</v>
      </c>
      <c r="M468" s="6" t="s">
        <v>139</v>
      </c>
      <c r="N468" s="7" t="s">
        <v>18</v>
      </c>
      <c r="O468" s="23" t="s">
        <v>3611</v>
      </c>
      <c r="R468" s="23" t="s">
        <v>3612</v>
      </c>
      <c r="S468" s="2" t="s">
        <v>3613</v>
      </c>
      <c r="T468" s="2" t="s">
        <v>3614</v>
      </c>
      <c r="U468" s="2" t="s">
        <v>3615</v>
      </c>
      <c r="V468" s="23" t="s">
        <v>3616</v>
      </c>
      <c r="W468" s="24" t="s">
        <v>3617</v>
      </c>
      <c r="X468" s="23" t="s">
        <v>3618</v>
      </c>
      <c r="Y468" s="23" t="s">
        <v>3619</v>
      </c>
      <c r="Z468" s="23" t="s">
        <v>3620</v>
      </c>
      <c r="AA468" s="23" t="s">
        <v>3621</v>
      </c>
    </row>
    <row r="469" spans="1:30" ht="15.75" customHeight="1">
      <c r="A469" s="10" t="s">
        <v>132</v>
      </c>
      <c r="B469" s="5">
        <v>2402</v>
      </c>
      <c r="C469" s="6" t="s">
        <v>618</v>
      </c>
      <c r="D469" s="7">
        <v>2022002822</v>
      </c>
      <c r="E469" s="7">
        <v>2201010272</v>
      </c>
      <c r="F469" s="7" t="s">
        <v>1809</v>
      </c>
      <c r="G469" s="7" t="s">
        <v>13</v>
      </c>
      <c r="H469" s="6" t="s">
        <v>811</v>
      </c>
      <c r="I469" s="6" t="s">
        <v>2746</v>
      </c>
      <c r="J469" s="6" t="s">
        <v>2747</v>
      </c>
      <c r="K469" s="6" t="s">
        <v>15</v>
      </c>
      <c r="L469" s="6" t="s">
        <v>21</v>
      </c>
      <c r="M469" s="6" t="s">
        <v>17</v>
      </c>
      <c r="N469" s="7" t="s">
        <v>18</v>
      </c>
      <c r="O469" s="23" t="s">
        <v>3611</v>
      </c>
      <c r="R469" s="23" t="s">
        <v>3612</v>
      </c>
      <c r="S469" s="2" t="s">
        <v>3613</v>
      </c>
      <c r="T469" s="2" t="s">
        <v>3614</v>
      </c>
      <c r="U469" s="2" t="s">
        <v>3615</v>
      </c>
      <c r="V469" s="23" t="s">
        <v>3616</v>
      </c>
      <c r="W469" s="24" t="s">
        <v>3617</v>
      </c>
      <c r="X469" s="23" t="s">
        <v>3618</v>
      </c>
      <c r="Y469" s="23" t="s">
        <v>3619</v>
      </c>
      <c r="Z469" s="23" t="s">
        <v>3620</v>
      </c>
      <c r="AA469" s="23" t="s">
        <v>3621</v>
      </c>
    </row>
    <row r="470" spans="1:30" ht="15.75" customHeight="1">
      <c r="A470" s="4" t="s">
        <v>132</v>
      </c>
      <c r="B470" s="5">
        <v>2402</v>
      </c>
      <c r="C470" s="6" t="s">
        <v>152</v>
      </c>
      <c r="D470" s="7">
        <v>2022006162</v>
      </c>
      <c r="E470" s="7">
        <v>2201010279</v>
      </c>
      <c r="F470" s="7" t="s">
        <v>1809</v>
      </c>
      <c r="G470" s="7" t="s">
        <v>13</v>
      </c>
      <c r="H470" s="6" t="s">
        <v>153</v>
      </c>
      <c r="I470" s="6" t="s">
        <v>2748</v>
      </c>
      <c r="J470" s="6" t="s">
        <v>2749</v>
      </c>
      <c r="K470" s="6" t="s">
        <v>15</v>
      </c>
      <c r="L470" s="6" t="s">
        <v>21</v>
      </c>
      <c r="M470" s="6" t="s">
        <v>16</v>
      </c>
      <c r="N470" s="7" t="s">
        <v>18</v>
      </c>
      <c r="O470" s="23" t="s">
        <v>3611</v>
      </c>
      <c r="R470" s="23" t="s">
        <v>3612</v>
      </c>
      <c r="S470" s="2" t="s">
        <v>3613</v>
      </c>
      <c r="T470" s="2" t="s">
        <v>3614</v>
      </c>
      <c r="U470" s="2" t="s">
        <v>3615</v>
      </c>
      <c r="V470" s="23" t="s">
        <v>3616</v>
      </c>
      <c r="W470" s="24" t="s">
        <v>3617</v>
      </c>
      <c r="X470" s="23" t="s">
        <v>3618</v>
      </c>
      <c r="Y470" s="23" t="s">
        <v>3619</v>
      </c>
      <c r="Z470" s="23" t="s">
        <v>3620</v>
      </c>
      <c r="AA470" s="23" t="s">
        <v>3621</v>
      </c>
    </row>
    <row r="471" spans="1:30" ht="15.75" customHeight="1">
      <c r="A471" s="4" t="s">
        <v>132</v>
      </c>
      <c r="B471" s="5">
        <v>2402</v>
      </c>
      <c r="C471" s="6" t="s">
        <v>229</v>
      </c>
      <c r="D471" s="7">
        <v>2022570019</v>
      </c>
      <c r="E471" s="7">
        <v>2201010293</v>
      </c>
      <c r="F471" s="7" t="s">
        <v>1809</v>
      </c>
      <c r="G471" s="7" t="s">
        <v>13</v>
      </c>
      <c r="H471" s="6" t="s">
        <v>230</v>
      </c>
      <c r="I471" s="6" t="s">
        <v>2750</v>
      </c>
      <c r="J471" s="6" t="s">
        <v>2751</v>
      </c>
      <c r="K471" s="6" t="s">
        <v>15</v>
      </c>
      <c r="L471" s="6" t="s">
        <v>16</v>
      </c>
      <c r="M471" s="6" t="s">
        <v>21</v>
      </c>
      <c r="N471" s="7" t="s">
        <v>18</v>
      </c>
      <c r="O471" s="23" t="s">
        <v>3611</v>
      </c>
      <c r="R471" s="23" t="s">
        <v>3612</v>
      </c>
      <c r="S471" s="2" t="s">
        <v>3613</v>
      </c>
      <c r="T471" s="2" t="s">
        <v>3614</v>
      </c>
      <c r="U471" s="2" t="s">
        <v>3615</v>
      </c>
      <c r="V471" s="23" t="s">
        <v>3616</v>
      </c>
      <c r="W471" s="24" t="s">
        <v>3617</v>
      </c>
      <c r="X471" s="23" t="s">
        <v>3618</v>
      </c>
      <c r="Y471" s="23" t="s">
        <v>3619</v>
      </c>
      <c r="Z471" s="23" t="s">
        <v>3620</v>
      </c>
      <c r="AA471" s="23" t="s">
        <v>3621</v>
      </c>
    </row>
    <row r="472" spans="1:30" ht="15.75" customHeight="1">
      <c r="A472" s="4" t="s">
        <v>132</v>
      </c>
      <c r="B472" s="5">
        <v>2402</v>
      </c>
      <c r="C472" s="6" t="s">
        <v>233</v>
      </c>
      <c r="D472" s="7">
        <v>2022582150</v>
      </c>
      <c r="E472" s="7">
        <v>2201010304</v>
      </c>
      <c r="F472" s="7" t="s">
        <v>1809</v>
      </c>
      <c r="G472" s="7" t="s">
        <v>13</v>
      </c>
      <c r="H472" s="6" t="s">
        <v>234</v>
      </c>
      <c r="I472" s="6" t="s">
        <v>2752</v>
      </c>
      <c r="J472" s="6" t="s">
        <v>2753</v>
      </c>
      <c r="K472" s="6" t="s">
        <v>15</v>
      </c>
      <c r="L472" s="6" t="s">
        <v>21</v>
      </c>
      <c r="M472" s="6" t="s">
        <v>16</v>
      </c>
      <c r="N472" s="7" t="s">
        <v>18</v>
      </c>
      <c r="O472" s="23" t="s">
        <v>3611</v>
      </c>
      <c r="R472" s="23" t="s">
        <v>3612</v>
      </c>
      <c r="S472" s="2" t="s">
        <v>3613</v>
      </c>
      <c r="T472" s="2" t="s">
        <v>3614</v>
      </c>
      <c r="U472" s="2" t="s">
        <v>3615</v>
      </c>
      <c r="V472" s="23" t="s">
        <v>3616</v>
      </c>
      <c r="W472" s="24" t="s">
        <v>3617</v>
      </c>
      <c r="X472" s="23" t="s">
        <v>3618</v>
      </c>
      <c r="Y472" s="23" t="s">
        <v>3619</v>
      </c>
      <c r="Z472" s="23" t="s">
        <v>3620</v>
      </c>
      <c r="AA472" s="23" t="s">
        <v>3621</v>
      </c>
    </row>
    <row r="473" spans="1:30" ht="15.75" customHeight="1">
      <c r="A473" s="4" t="s">
        <v>132</v>
      </c>
      <c r="B473" s="5">
        <v>2402</v>
      </c>
      <c r="C473" s="6" t="s">
        <v>241</v>
      </c>
      <c r="D473" s="7">
        <v>2022819221</v>
      </c>
      <c r="E473" s="7">
        <v>2201010307</v>
      </c>
      <c r="F473" s="7" t="s">
        <v>1809</v>
      </c>
      <c r="G473" s="7" t="s">
        <v>13</v>
      </c>
      <c r="H473" s="6" t="s">
        <v>242</v>
      </c>
      <c r="I473" s="6" t="s">
        <v>2754</v>
      </c>
      <c r="J473" s="6" t="s">
        <v>2755</v>
      </c>
      <c r="K473" s="6" t="s">
        <v>15</v>
      </c>
      <c r="L473" s="6" t="s">
        <v>16</v>
      </c>
      <c r="M473" s="6" t="s">
        <v>104</v>
      </c>
      <c r="N473" s="7" t="s">
        <v>18</v>
      </c>
      <c r="O473" s="23" t="s">
        <v>3611</v>
      </c>
      <c r="R473" s="23" t="s">
        <v>3612</v>
      </c>
      <c r="S473" s="2" t="s">
        <v>3613</v>
      </c>
      <c r="T473" s="2" t="s">
        <v>3614</v>
      </c>
      <c r="U473" s="2" t="s">
        <v>3615</v>
      </c>
      <c r="V473" s="23" t="s">
        <v>3616</v>
      </c>
      <c r="W473" s="24" t="s">
        <v>3617</v>
      </c>
      <c r="X473" s="23" t="s">
        <v>3618</v>
      </c>
      <c r="Y473" s="23" t="s">
        <v>3619</v>
      </c>
      <c r="Z473" s="23" t="s">
        <v>3620</v>
      </c>
      <c r="AA473" s="23" t="s">
        <v>3621</v>
      </c>
    </row>
    <row r="474" spans="1:30" ht="15.75" customHeight="1">
      <c r="A474" s="4" t="s">
        <v>132</v>
      </c>
      <c r="B474" s="5">
        <v>2402</v>
      </c>
      <c r="C474" s="6" t="s">
        <v>185</v>
      </c>
      <c r="D474" s="7">
        <v>2022359778</v>
      </c>
      <c r="E474" s="7">
        <v>2201010340</v>
      </c>
      <c r="F474" s="7" t="s">
        <v>1809</v>
      </c>
      <c r="G474" s="7" t="s">
        <v>13</v>
      </c>
      <c r="H474" s="6" t="s">
        <v>186</v>
      </c>
      <c r="I474" s="6" t="s">
        <v>2756</v>
      </c>
      <c r="J474" s="6" t="s">
        <v>2757</v>
      </c>
      <c r="K474" s="6" t="s">
        <v>15</v>
      </c>
      <c r="L474" s="6" t="s">
        <v>16</v>
      </c>
      <c r="M474" s="6" t="s">
        <v>21</v>
      </c>
      <c r="N474" s="7" t="s">
        <v>18</v>
      </c>
      <c r="O474" s="23" t="s">
        <v>3611</v>
      </c>
      <c r="R474" s="23" t="s">
        <v>3612</v>
      </c>
      <c r="S474" s="2" t="s">
        <v>3613</v>
      </c>
      <c r="T474" s="2" t="s">
        <v>3614</v>
      </c>
      <c r="U474" s="2" t="s">
        <v>3615</v>
      </c>
      <c r="V474" s="23" t="s">
        <v>3616</v>
      </c>
      <c r="W474" s="24" t="s">
        <v>3617</v>
      </c>
      <c r="X474" s="23" t="s">
        <v>3618</v>
      </c>
      <c r="Y474" s="23" t="s">
        <v>3619</v>
      </c>
      <c r="Z474" s="23" t="s">
        <v>3620</v>
      </c>
      <c r="AA474" s="23" t="s">
        <v>3621</v>
      </c>
    </row>
    <row r="475" spans="1:30" ht="15.75" customHeight="1">
      <c r="A475" s="4" t="s">
        <v>132</v>
      </c>
      <c r="B475" s="5">
        <v>2402</v>
      </c>
      <c r="C475" s="6" t="s">
        <v>158</v>
      </c>
      <c r="D475" s="7">
        <v>2022006582</v>
      </c>
      <c r="E475" s="7">
        <v>2201010354</v>
      </c>
      <c r="F475" s="7" t="s">
        <v>1809</v>
      </c>
      <c r="G475" s="7" t="s">
        <v>13</v>
      </c>
      <c r="H475" s="6" t="s">
        <v>159</v>
      </c>
      <c r="I475" s="6" t="s">
        <v>2758</v>
      </c>
      <c r="J475" s="6" t="s">
        <v>2759</v>
      </c>
      <c r="K475" s="6" t="s">
        <v>15</v>
      </c>
      <c r="L475" s="6" t="s">
        <v>21</v>
      </c>
      <c r="M475" s="6" t="s">
        <v>16</v>
      </c>
      <c r="N475" s="7" t="s">
        <v>18</v>
      </c>
      <c r="O475" s="23" t="s">
        <v>3611</v>
      </c>
      <c r="R475" s="23" t="s">
        <v>3612</v>
      </c>
      <c r="S475" s="2" t="s">
        <v>3613</v>
      </c>
      <c r="T475" s="2" t="s">
        <v>3614</v>
      </c>
      <c r="U475" s="2" t="s">
        <v>3615</v>
      </c>
      <c r="V475" s="23" t="s">
        <v>3616</v>
      </c>
      <c r="W475" s="24" t="s">
        <v>3617</v>
      </c>
      <c r="X475" s="23" t="s">
        <v>3618</v>
      </c>
      <c r="Y475" s="23" t="s">
        <v>3619</v>
      </c>
      <c r="Z475" s="23" t="s">
        <v>3620</v>
      </c>
      <c r="AA475" s="23" t="s">
        <v>3621</v>
      </c>
    </row>
    <row r="476" spans="1:30" ht="15.75" customHeight="1">
      <c r="A476" s="4" t="s">
        <v>132</v>
      </c>
      <c r="B476" s="5">
        <v>2402</v>
      </c>
      <c r="C476" s="6" t="s">
        <v>247</v>
      </c>
      <c r="D476" s="7">
        <v>2022831935</v>
      </c>
      <c r="E476" s="7">
        <v>2201010404</v>
      </c>
      <c r="F476" s="7" t="s">
        <v>1809</v>
      </c>
      <c r="G476" s="7" t="s">
        <v>13</v>
      </c>
      <c r="H476" s="6" t="s">
        <v>248</v>
      </c>
      <c r="I476" s="6" t="s">
        <v>2760</v>
      </c>
      <c r="J476" s="6" t="s">
        <v>2761</v>
      </c>
      <c r="K476" s="6" t="s">
        <v>15</v>
      </c>
      <c r="L476" s="6" t="s">
        <v>21</v>
      </c>
      <c r="M476" s="6" t="s">
        <v>16</v>
      </c>
      <c r="N476" s="7" t="s">
        <v>18</v>
      </c>
      <c r="O476" s="23" t="s">
        <v>3611</v>
      </c>
      <c r="R476" s="23" t="s">
        <v>3612</v>
      </c>
      <c r="S476" s="2" t="s">
        <v>3613</v>
      </c>
      <c r="T476" s="2" t="s">
        <v>3614</v>
      </c>
      <c r="U476" s="2" t="s">
        <v>3615</v>
      </c>
      <c r="V476" s="23" t="s">
        <v>3616</v>
      </c>
      <c r="W476" s="24" t="s">
        <v>3617</v>
      </c>
      <c r="X476" s="23" t="s">
        <v>3618</v>
      </c>
      <c r="Y476" s="23" t="s">
        <v>3619</v>
      </c>
      <c r="Z476" s="23" t="s">
        <v>3620</v>
      </c>
      <c r="AA476" s="23" t="s">
        <v>3621</v>
      </c>
    </row>
    <row r="477" spans="1:30" ht="15.75" customHeight="1">
      <c r="A477" s="4" t="s">
        <v>132</v>
      </c>
      <c r="B477" s="5">
        <v>2402</v>
      </c>
      <c r="C477" s="6" t="s">
        <v>249</v>
      </c>
      <c r="D477" s="7">
        <v>2022832635</v>
      </c>
      <c r="E477" s="7">
        <v>2201010406</v>
      </c>
      <c r="F477" s="7" t="s">
        <v>1809</v>
      </c>
      <c r="G477" s="7" t="s">
        <v>13</v>
      </c>
      <c r="H477" s="6" t="s">
        <v>250</v>
      </c>
      <c r="I477" s="6" t="s">
        <v>2762</v>
      </c>
      <c r="J477" s="6" t="s">
        <v>2763</v>
      </c>
      <c r="K477" s="6" t="s">
        <v>15</v>
      </c>
      <c r="L477" s="6" t="s">
        <v>21</v>
      </c>
      <c r="M477" s="6" t="s">
        <v>49</v>
      </c>
      <c r="N477" s="7" t="s">
        <v>18</v>
      </c>
      <c r="O477" s="23" t="s">
        <v>3611</v>
      </c>
      <c r="R477" s="23" t="s">
        <v>3612</v>
      </c>
      <c r="S477" s="2" t="s">
        <v>3613</v>
      </c>
      <c r="T477" s="2" t="s">
        <v>3614</v>
      </c>
      <c r="U477" s="2" t="s">
        <v>3615</v>
      </c>
      <c r="V477" s="23" t="s">
        <v>3616</v>
      </c>
      <c r="W477" s="24" t="s">
        <v>3617</v>
      </c>
      <c r="X477" s="23" t="s">
        <v>3618</v>
      </c>
      <c r="Y477" s="23" t="s">
        <v>3619</v>
      </c>
      <c r="Z477" s="23" t="s">
        <v>3620</v>
      </c>
      <c r="AA477" s="23" t="s">
        <v>3621</v>
      </c>
      <c r="AB477" s="9"/>
      <c r="AC477" s="9"/>
      <c r="AD477" s="9"/>
    </row>
    <row r="478" spans="1:30" ht="15.75" customHeight="1">
      <c r="A478" s="4" t="s">
        <v>132</v>
      </c>
      <c r="B478" s="5">
        <v>2402</v>
      </c>
      <c r="C478" s="6" t="s">
        <v>251</v>
      </c>
      <c r="D478" s="7">
        <v>2022834464</v>
      </c>
      <c r="E478" s="7">
        <v>2201010437</v>
      </c>
      <c r="F478" s="7" t="s">
        <v>1809</v>
      </c>
      <c r="G478" s="7" t="s">
        <v>13</v>
      </c>
      <c r="H478" s="6" t="s">
        <v>252</v>
      </c>
      <c r="I478" s="6" t="s">
        <v>2764</v>
      </c>
      <c r="J478" s="6" t="s">
        <v>2765</v>
      </c>
      <c r="K478" s="6" t="s">
        <v>15</v>
      </c>
      <c r="L478" s="6" t="s">
        <v>16</v>
      </c>
      <c r="M478" s="6" t="s">
        <v>26</v>
      </c>
      <c r="N478" s="7" t="s">
        <v>18</v>
      </c>
      <c r="O478" s="23" t="s">
        <v>3611</v>
      </c>
      <c r="R478" s="23" t="s">
        <v>3612</v>
      </c>
      <c r="S478" s="2" t="s">
        <v>3613</v>
      </c>
      <c r="T478" s="2" t="s">
        <v>3614</v>
      </c>
      <c r="U478" s="2" t="s">
        <v>3615</v>
      </c>
      <c r="V478" s="23" t="s">
        <v>3616</v>
      </c>
      <c r="W478" s="24" t="s">
        <v>3617</v>
      </c>
      <c r="X478" s="23" t="s">
        <v>3618</v>
      </c>
      <c r="Y478" s="23" t="s">
        <v>3619</v>
      </c>
      <c r="Z478" s="23" t="s">
        <v>3620</v>
      </c>
      <c r="AA478" s="23" t="s">
        <v>3621</v>
      </c>
      <c r="AB478" s="9"/>
      <c r="AC478" s="9"/>
      <c r="AD478" s="9"/>
    </row>
    <row r="479" spans="1:30" ht="15.75" customHeight="1">
      <c r="A479" s="4" t="s">
        <v>132</v>
      </c>
      <c r="B479" s="5">
        <v>2402</v>
      </c>
      <c r="C479" s="6" t="s">
        <v>253</v>
      </c>
      <c r="D479" s="7">
        <v>2022834589</v>
      </c>
      <c r="E479" s="7">
        <v>2201010444</v>
      </c>
      <c r="F479" s="7" t="s">
        <v>1809</v>
      </c>
      <c r="G479" s="7" t="s">
        <v>13</v>
      </c>
      <c r="H479" s="6" t="s">
        <v>254</v>
      </c>
      <c r="I479" s="6" t="s">
        <v>2766</v>
      </c>
      <c r="J479" s="6" t="s">
        <v>2767</v>
      </c>
      <c r="K479" s="6" t="s">
        <v>15</v>
      </c>
      <c r="L479" s="6" t="s">
        <v>21</v>
      </c>
      <c r="M479" s="6" t="s">
        <v>16</v>
      </c>
      <c r="N479" s="7" t="s">
        <v>18</v>
      </c>
      <c r="O479" s="23" t="s">
        <v>3611</v>
      </c>
      <c r="R479" s="23" t="s">
        <v>3612</v>
      </c>
      <c r="S479" s="2" t="s">
        <v>3613</v>
      </c>
      <c r="T479" s="2" t="s">
        <v>3614</v>
      </c>
      <c r="U479" s="2" t="s">
        <v>3615</v>
      </c>
      <c r="V479" s="23" t="s">
        <v>3616</v>
      </c>
      <c r="W479" s="24" t="s">
        <v>3617</v>
      </c>
      <c r="X479" s="23" t="s">
        <v>3618</v>
      </c>
      <c r="Y479" s="23" t="s">
        <v>3619</v>
      </c>
      <c r="Z479" s="23" t="s">
        <v>3620</v>
      </c>
      <c r="AA479" s="23" t="s">
        <v>3621</v>
      </c>
      <c r="AB479" s="9"/>
      <c r="AC479" s="9"/>
      <c r="AD479" s="9"/>
    </row>
    <row r="480" spans="1:30" ht="15.75" customHeight="1">
      <c r="A480" s="4" t="s">
        <v>132</v>
      </c>
      <c r="B480" s="5">
        <v>2402</v>
      </c>
      <c r="C480" s="6" t="s">
        <v>193</v>
      </c>
      <c r="D480" s="7">
        <v>2022443535</v>
      </c>
      <c r="E480" s="7">
        <v>2201010451</v>
      </c>
      <c r="F480" s="7" t="s">
        <v>1809</v>
      </c>
      <c r="G480" s="7" t="s">
        <v>13</v>
      </c>
      <c r="H480" s="6" t="s">
        <v>194</v>
      </c>
      <c r="I480" s="6" t="s">
        <v>2768</v>
      </c>
      <c r="J480" s="6" t="s">
        <v>2769</v>
      </c>
      <c r="K480" s="6" t="s">
        <v>15</v>
      </c>
      <c r="L480" s="6" t="s">
        <v>16</v>
      </c>
      <c r="M480" s="6" t="s">
        <v>49</v>
      </c>
      <c r="N480" s="7" t="s">
        <v>18</v>
      </c>
      <c r="O480" s="23" t="s">
        <v>3611</v>
      </c>
      <c r="R480" s="23" t="s">
        <v>3612</v>
      </c>
      <c r="S480" s="2" t="s">
        <v>3613</v>
      </c>
      <c r="T480" s="2" t="s">
        <v>3614</v>
      </c>
      <c r="U480" s="2" t="s">
        <v>3615</v>
      </c>
      <c r="V480" s="23" t="s">
        <v>3616</v>
      </c>
      <c r="W480" s="24" t="s">
        <v>3617</v>
      </c>
      <c r="X480" s="23" t="s">
        <v>3618</v>
      </c>
      <c r="Y480" s="23" t="s">
        <v>3619</v>
      </c>
      <c r="Z480" s="23" t="s">
        <v>3620</v>
      </c>
      <c r="AA480" s="23" t="s">
        <v>3621</v>
      </c>
      <c r="AB480" s="9"/>
      <c r="AC480" s="9"/>
      <c r="AD480" s="9"/>
    </row>
    <row r="481" spans="1:30" ht="15.75" customHeight="1">
      <c r="A481" s="4" t="s">
        <v>132</v>
      </c>
      <c r="B481" s="5">
        <v>2402</v>
      </c>
      <c r="C481" s="6" t="s">
        <v>209</v>
      </c>
      <c r="D481" s="7">
        <v>2022503208</v>
      </c>
      <c r="E481" s="7">
        <v>2201010453</v>
      </c>
      <c r="F481" s="7" t="s">
        <v>1809</v>
      </c>
      <c r="G481" s="7" t="s">
        <v>13</v>
      </c>
      <c r="H481" s="6" t="s">
        <v>210</v>
      </c>
      <c r="I481" s="6" t="s">
        <v>2770</v>
      </c>
      <c r="J481" s="6" t="s">
        <v>2771</v>
      </c>
      <c r="K481" s="6" t="s">
        <v>15</v>
      </c>
      <c r="L481" s="6" t="s">
        <v>16</v>
      </c>
      <c r="M481" s="6" t="s">
        <v>49</v>
      </c>
      <c r="N481" s="7" t="s">
        <v>18</v>
      </c>
      <c r="O481" s="23" t="s">
        <v>3611</v>
      </c>
      <c r="R481" s="23" t="s">
        <v>3612</v>
      </c>
      <c r="S481" s="2" t="s">
        <v>3613</v>
      </c>
      <c r="T481" s="2" t="s">
        <v>3614</v>
      </c>
      <c r="U481" s="2" t="s">
        <v>3615</v>
      </c>
      <c r="V481" s="23" t="s">
        <v>3616</v>
      </c>
      <c r="W481" s="24" t="s">
        <v>3617</v>
      </c>
      <c r="X481" s="23" t="s">
        <v>3618</v>
      </c>
      <c r="Y481" s="23" t="s">
        <v>3619</v>
      </c>
      <c r="Z481" s="23" t="s">
        <v>3620</v>
      </c>
      <c r="AA481" s="23" t="s">
        <v>3621</v>
      </c>
      <c r="AB481" s="9"/>
      <c r="AC481" s="9"/>
      <c r="AD481" s="9"/>
    </row>
    <row r="482" spans="1:30" ht="15.75" customHeight="1">
      <c r="A482" s="4" t="s">
        <v>132</v>
      </c>
      <c r="B482" s="5">
        <v>2402</v>
      </c>
      <c r="C482" s="6" t="s">
        <v>164</v>
      </c>
      <c r="D482" s="7">
        <v>2022006799</v>
      </c>
      <c r="E482" s="7">
        <v>2201010456</v>
      </c>
      <c r="F482" s="7" t="s">
        <v>1809</v>
      </c>
      <c r="G482" s="7" t="s">
        <v>13</v>
      </c>
      <c r="H482" s="6" t="s">
        <v>165</v>
      </c>
      <c r="I482" s="6" t="s">
        <v>2772</v>
      </c>
      <c r="J482" s="6" t="s">
        <v>2773</v>
      </c>
      <c r="K482" s="6" t="s">
        <v>15</v>
      </c>
      <c r="L482" s="6" t="s">
        <v>16</v>
      </c>
      <c r="M482" s="6" t="s">
        <v>49</v>
      </c>
      <c r="N482" s="7" t="s">
        <v>18</v>
      </c>
      <c r="O482" s="23" t="s">
        <v>3611</v>
      </c>
      <c r="R482" s="23" t="s">
        <v>3612</v>
      </c>
      <c r="S482" s="2" t="s">
        <v>3613</v>
      </c>
      <c r="T482" s="2" t="s">
        <v>3614</v>
      </c>
      <c r="U482" s="2" t="s">
        <v>3615</v>
      </c>
      <c r="V482" s="23" t="s">
        <v>3616</v>
      </c>
      <c r="W482" s="24" t="s">
        <v>3617</v>
      </c>
      <c r="X482" s="23" t="s">
        <v>3618</v>
      </c>
      <c r="Y482" s="23" t="s">
        <v>3619</v>
      </c>
      <c r="Z482" s="23" t="s">
        <v>3620</v>
      </c>
      <c r="AA482" s="23" t="s">
        <v>3621</v>
      </c>
      <c r="AB482" s="9"/>
      <c r="AC482" s="9"/>
      <c r="AD482" s="9"/>
    </row>
    <row r="483" spans="1:30" ht="15.75" customHeight="1">
      <c r="A483" s="4" t="s">
        <v>132</v>
      </c>
      <c r="B483" s="5">
        <v>2402</v>
      </c>
      <c r="C483" s="6" t="s">
        <v>179</v>
      </c>
      <c r="D483" s="7">
        <v>2022303213</v>
      </c>
      <c r="E483" s="7">
        <v>2201010472</v>
      </c>
      <c r="F483" s="7" t="s">
        <v>1809</v>
      </c>
      <c r="G483" s="7" t="s">
        <v>13</v>
      </c>
      <c r="H483" s="6" t="s">
        <v>180</v>
      </c>
      <c r="I483" s="6" t="s">
        <v>2774</v>
      </c>
      <c r="J483" s="6" t="s">
        <v>2775</v>
      </c>
      <c r="K483" s="6" t="s">
        <v>15</v>
      </c>
      <c r="L483" s="6" t="s">
        <v>21</v>
      </c>
      <c r="M483" s="6" t="s">
        <v>16</v>
      </c>
      <c r="N483" s="7" t="s">
        <v>18</v>
      </c>
      <c r="O483" s="23" t="s">
        <v>3611</v>
      </c>
      <c r="R483" s="23" t="s">
        <v>3612</v>
      </c>
      <c r="S483" s="2" t="s">
        <v>3613</v>
      </c>
      <c r="T483" s="2" t="s">
        <v>3614</v>
      </c>
      <c r="U483" s="2" t="s">
        <v>3615</v>
      </c>
      <c r="V483" s="23" t="s">
        <v>3616</v>
      </c>
      <c r="W483" s="24" t="s">
        <v>3617</v>
      </c>
      <c r="X483" s="23" t="s">
        <v>3618</v>
      </c>
      <c r="Y483" s="23" t="s">
        <v>3619</v>
      </c>
      <c r="Z483" s="23" t="s">
        <v>3620</v>
      </c>
      <c r="AA483" s="23" t="s">
        <v>3621</v>
      </c>
      <c r="AB483" s="9"/>
      <c r="AC483" s="9"/>
      <c r="AD483" s="9"/>
    </row>
    <row r="484" spans="1:30" ht="15.75" customHeight="1">
      <c r="A484" s="4" t="s">
        <v>132</v>
      </c>
      <c r="B484" s="5">
        <v>2402</v>
      </c>
      <c r="C484" s="6" t="s">
        <v>145</v>
      </c>
      <c r="D484" s="7">
        <v>2022559563</v>
      </c>
      <c r="E484" s="7">
        <v>2201010495</v>
      </c>
      <c r="F484" s="7" t="s">
        <v>1809</v>
      </c>
      <c r="G484" s="7" t="s">
        <v>13</v>
      </c>
      <c r="H484" s="6" t="s">
        <v>146</v>
      </c>
      <c r="I484" s="6" t="s">
        <v>2776</v>
      </c>
      <c r="J484" s="6" t="s">
        <v>2777</v>
      </c>
      <c r="K484" s="6" t="s">
        <v>15</v>
      </c>
      <c r="L484" s="6" t="s">
        <v>21</v>
      </c>
      <c r="M484" s="6" t="s">
        <v>16</v>
      </c>
      <c r="N484" s="7" t="s">
        <v>18</v>
      </c>
      <c r="O484" s="23" t="s">
        <v>3611</v>
      </c>
      <c r="R484" s="23" t="s">
        <v>3612</v>
      </c>
      <c r="S484" s="2" t="s">
        <v>3613</v>
      </c>
      <c r="T484" s="2" t="s">
        <v>3614</v>
      </c>
      <c r="U484" s="2" t="s">
        <v>3615</v>
      </c>
      <c r="V484" s="23" t="s">
        <v>3616</v>
      </c>
      <c r="W484" s="24" t="s">
        <v>3617</v>
      </c>
      <c r="X484" s="23" t="s">
        <v>3618</v>
      </c>
      <c r="Y484" s="23" t="s">
        <v>3619</v>
      </c>
      <c r="Z484" s="23" t="s">
        <v>3620</v>
      </c>
      <c r="AA484" s="23" t="s">
        <v>3621</v>
      </c>
      <c r="AB484" s="9"/>
      <c r="AC484" s="9"/>
      <c r="AD484" s="9"/>
    </row>
    <row r="485" spans="1:30" ht="15.75" customHeight="1">
      <c r="A485" s="4" t="s">
        <v>132</v>
      </c>
      <c r="B485" s="5">
        <v>2402</v>
      </c>
      <c r="C485" s="6" t="s">
        <v>143</v>
      </c>
      <c r="D485" s="7">
        <v>2022559558</v>
      </c>
      <c r="E485" s="7">
        <v>2201010530</v>
      </c>
      <c r="F485" s="7" t="s">
        <v>1809</v>
      </c>
      <c r="G485" s="7" t="s">
        <v>13</v>
      </c>
      <c r="H485" s="6" t="s">
        <v>144</v>
      </c>
      <c r="I485" s="6" t="s">
        <v>2778</v>
      </c>
      <c r="J485" s="6" t="s">
        <v>2779</v>
      </c>
      <c r="K485" s="6" t="s">
        <v>15</v>
      </c>
      <c r="L485" s="6" t="s">
        <v>21</v>
      </c>
      <c r="M485" s="6" t="s">
        <v>16</v>
      </c>
      <c r="N485" s="7" t="s">
        <v>18</v>
      </c>
      <c r="O485" s="23" t="s">
        <v>3611</v>
      </c>
      <c r="R485" s="23" t="s">
        <v>3612</v>
      </c>
      <c r="S485" s="2" t="s">
        <v>3613</v>
      </c>
      <c r="T485" s="2" t="s">
        <v>3614</v>
      </c>
      <c r="U485" s="2" t="s">
        <v>3615</v>
      </c>
      <c r="V485" s="23" t="s">
        <v>3616</v>
      </c>
      <c r="W485" s="24" t="s">
        <v>3617</v>
      </c>
      <c r="X485" s="23" t="s">
        <v>3618</v>
      </c>
      <c r="Y485" s="23" t="s">
        <v>3619</v>
      </c>
      <c r="Z485" s="23" t="s">
        <v>3620</v>
      </c>
      <c r="AA485" s="23" t="s">
        <v>3621</v>
      </c>
      <c r="AB485" s="9"/>
      <c r="AC485" s="9"/>
      <c r="AD485" s="9"/>
    </row>
    <row r="486" spans="1:30" ht="15.75" customHeight="1">
      <c r="A486" s="4" t="s">
        <v>132</v>
      </c>
      <c r="B486" s="5">
        <v>2402</v>
      </c>
      <c r="C486" s="6" t="s">
        <v>181</v>
      </c>
      <c r="D486" s="7">
        <v>2022304804</v>
      </c>
      <c r="E486" s="7">
        <v>2201010534</v>
      </c>
      <c r="F486" s="7" t="s">
        <v>1809</v>
      </c>
      <c r="G486" s="7" t="s">
        <v>13</v>
      </c>
      <c r="H486" s="6" t="s">
        <v>182</v>
      </c>
      <c r="I486" s="6" t="s">
        <v>2780</v>
      </c>
      <c r="J486" s="6" t="s">
        <v>2781</v>
      </c>
      <c r="K486" s="6" t="s">
        <v>15</v>
      </c>
      <c r="L486" s="6" t="s">
        <v>16</v>
      </c>
      <c r="M486" s="6" t="s">
        <v>49</v>
      </c>
      <c r="N486" s="7" t="s">
        <v>18</v>
      </c>
      <c r="O486" s="23" t="s">
        <v>3611</v>
      </c>
      <c r="R486" s="23" t="s">
        <v>3612</v>
      </c>
      <c r="S486" s="2" t="s">
        <v>3613</v>
      </c>
      <c r="T486" s="2" t="s">
        <v>3614</v>
      </c>
      <c r="U486" s="2" t="s">
        <v>3615</v>
      </c>
      <c r="V486" s="23" t="s">
        <v>3616</v>
      </c>
      <c r="W486" s="24" t="s">
        <v>3617</v>
      </c>
      <c r="X486" s="23" t="s">
        <v>3618</v>
      </c>
      <c r="Y486" s="23" t="s">
        <v>3619</v>
      </c>
      <c r="Z486" s="23" t="s">
        <v>3620</v>
      </c>
      <c r="AA486" s="23" t="s">
        <v>3621</v>
      </c>
      <c r="AB486" s="9"/>
      <c r="AC486" s="9"/>
      <c r="AD486" s="9"/>
    </row>
    <row r="487" spans="1:30" ht="15.75" customHeight="1">
      <c r="A487" s="4" t="s">
        <v>132</v>
      </c>
      <c r="B487" s="5">
        <v>2402</v>
      </c>
      <c r="C487" s="6" t="s">
        <v>156</v>
      </c>
      <c r="D487" s="7">
        <v>2022006437</v>
      </c>
      <c r="E487" s="7">
        <v>2201010536</v>
      </c>
      <c r="F487" s="7" t="s">
        <v>1809</v>
      </c>
      <c r="G487" s="7" t="s">
        <v>13</v>
      </c>
      <c r="H487" s="6" t="s">
        <v>157</v>
      </c>
      <c r="I487" s="6" t="s">
        <v>2782</v>
      </c>
      <c r="J487" s="6" t="s">
        <v>2783</v>
      </c>
      <c r="K487" s="6" t="s">
        <v>15</v>
      </c>
      <c r="L487" s="6" t="s">
        <v>21</v>
      </c>
      <c r="M487" s="6" t="s">
        <v>16</v>
      </c>
      <c r="N487" s="7" t="s">
        <v>18</v>
      </c>
      <c r="O487" s="23" t="s">
        <v>3611</v>
      </c>
      <c r="R487" s="23" t="s">
        <v>3612</v>
      </c>
      <c r="S487" s="2" t="s">
        <v>3613</v>
      </c>
      <c r="T487" s="2" t="s">
        <v>3614</v>
      </c>
      <c r="U487" s="2" t="s">
        <v>3615</v>
      </c>
      <c r="V487" s="23" t="s">
        <v>3616</v>
      </c>
      <c r="W487" s="24" t="s">
        <v>3617</v>
      </c>
      <c r="X487" s="23" t="s">
        <v>3618</v>
      </c>
      <c r="Y487" s="23" t="s">
        <v>3619</v>
      </c>
      <c r="Z487" s="23" t="s">
        <v>3620</v>
      </c>
      <c r="AA487" s="23" t="s">
        <v>3621</v>
      </c>
    </row>
    <row r="488" spans="1:30" ht="15.75" customHeight="1">
      <c r="A488" s="4" t="s">
        <v>132</v>
      </c>
      <c r="B488" s="5">
        <v>2402</v>
      </c>
      <c r="C488" s="6" t="s">
        <v>205</v>
      </c>
      <c r="D488" s="7">
        <v>2022502123</v>
      </c>
      <c r="E488" s="7">
        <v>2201010541</v>
      </c>
      <c r="F488" s="7" t="s">
        <v>1809</v>
      </c>
      <c r="G488" s="7" t="s">
        <v>13</v>
      </c>
      <c r="H488" s="6" t="s">
        <v>206</v>
      </c>
      <c r="I488" s="6" t="s">
        <v>2784</v>
      </c>
      <c r="J488" s="6" t="s">
        <v>2785</v>
      </c>
      <c r="K488" s="6" t="s">
        <v>15</v>
      </c>
      <c r="L488" s="6" t="e">
        <v>#N/A</v>
      </c>
      <c r="M488" s="6" t="e">
        <v>#N/A</v>
      </c>
      <c r="N488" s="7" t="e">
        <v>#N/A</v>
      </c>
      <c r="O488" s="23" t="s">
        <v>3611</v>
      </c>
      <c r="R488" s="23" t="s">
        <v>3612</v>
      </c>
      <c r="S488" s="2" t="s">
        <v>3613</v>
      </c>
      <c r="T488" s="2" t="s">
        <v>3614</v>
      </c>
      <c r="U488" s="2" t="s">
        <v>3615</v>
      </c>
      <c r="V488" s="23" t="s">
        <v>3616</v>
      </c>
      <c r="W488" s="24" t="s">
        <v>3617</v>
      </c>
      <c r="X488" s="23" t="s">
        <v>3618</v>
      </c>
      <c r="Y488" s="23" t="s">
        <v>3619</v>
      </c>
      <c r="Z488" s="23" t="s">
        <v>3620</v>
      </c>
      <c r="AA488" s="23" t="s">
        <v>3621</v>
      </c>
    </row>
    <row r="489" spans="1:30" ht="15.75" customHeight="1">
      <c r="A489" s="4" t="s">
        <v>132</v>
      </c>
      <c r="B489" s="5">
        <v>2402</v>
      </c>
      <c r="C489" s="6" t="s">
        <v>215</v>
      </c>
      <c r="D489" s="7">
        <v>2022554897</v>
      </c>
      <c r="E489" s="7">
        <v>2201010562</v>
      </c>
      <c r="F489" s="7" t="s">
        <v>1809</v>
      </c>
      <c r="G489" s="7" t="s">
        <v>13</v>
      </c>
      <c r="H489" s="6" t="s">
        <v>216</v>
      </c>
      <c r="I489" s="6" t="s">
        <v>2786</v>
      </c>
      <c r="J489" s="6" t="s">
        <v>2787</v>
      </c>
      <c r="K489" s="6" t="s">
        <v>15</v>
      </c>
      <c r="L489" s="6" t="s">
        <v>21</v>
      </c>
      <c r="M489" s="6" t="s">
        <v>16</v>
      </c>
      <c r="N489" s="7" t="s">
        <v>18</v>
      </c>
      <c r="O489" s="23" t="s">
        <v>3611</v>
      </c>
      <c r="R489" s="23" t="s">
        <v>3612</v>
      </c>
      <c r="S489" s="2" t="s">
        <v>3613</v>
      </c>
      <c r="T489" s="2" t="s">
        <v>3614</v>
      </c>
      <c r="U489" s="2" t="s">
        <v>3615</v>
      </c>
      <c r="V489" s="23" t="s">
        <v>3616</v>
      </c>
      <c r="W489" s="24" t="s">
        <v>3617</v>
      </c>
      <c r="X489" s="23" t="s">
        <v>3618</v>
      </c>
      <c r="Y489" s="23" t="s">
        <v>3619</v>
      </c>
      <c r="Z489" s="23" t="s">
        <v>3620</v>
      </c>
      <c r="AA489" s="23" t="s">
        <v>3621</v>
      </c>
    </row>
    <row r="490" spans="1:30" ht="15.75" customHeight="1">
      <c r="A490" s="4" t="s">
        <v>132</v>
      </c>
      <c r="B490" s="5">
        <v>2402</v>
      </c>
      <c r="C490" s="6" t="s">
        <v>133</v>
      </c>
      <c r="D490" s="7">
        <v>2022006859</v>
      </c>
      <c r="E490" s="7">
        <v>2201010563</v>
      </c>
      <c r="F490" s="7" t="s">
        <v>1809</v>
      </c>
      <c r="G490" s="7" t="s">
        <v>13</v>
      </c>
      <c r="H490" s="6" t="s">
        <v>134</v>
      </c>
      <c r="I490" s="6" t="s">
        <v>2788</v>
      </c>
      <c r="J490" s="6" t="s">
        <v>2789</v>
      </c>
      <c r="K490" s="6" t="s">
        <v>15</v>
      </c>
      <c r="L490" s="6" t="s">
        <v>16</v>
      </c>
      <c r="M490" s="6" t="s">
        <v>21</v>
      </c>
      <c r="N490" s="7" t="s">
        <v>18</v>
      </c>
      <c r="O490" s="23" t="s">
        <v>3611</v>
      </c>
      <c r="R490" s="23" t="s">
        <v>3612</v>
      </c>
      <c r="S490" s="2" t="s">
        <v>3613</v>
      </c>
      <c r="T490" s="2" t="s">
        <v>3614</v>
      </c>
      <c r="U490" s="2" t="s">
        <v>3615</v>
      </c>
      <c r="V490" s="23" t="s">
        <v>3616</v>
      </c>
      <c r="W490" s="24" t="s">
        <v>3617</v>
      </c>
      <c r="X490" s="23" t="s">
        <v>3618</v>
      </c>
      <c r="Y490" s="23" t="s">
        <v>3619</v>
      </c>
      <c r="Z490" s="23" t="s">
        <v>3620</v>
      </c>
      <c r="AA490" s="23" t="s">
        <v>3621</v>
      </c>
    </row>
    <row r="491" spans="1:30" ht="15.75" customHeight="1">
      <c r="A491" s="4" t="s">
        <v>132</v>
      </c>
      <c r="B491" s="5">
        <v>2402</v>
      </c>
      <c r="C491" s="6" t="s">
        <v>195</v>
      </c>
      <c r="D491" s="7">
        <v>2022446209</v>
      </c>
      <c r="E491" s="7">
        <v>2201010565</v>
      </c>
      <c r="F491" s="7" t="s">
        <v>1809</v>
      </c>
      <c r="G491" s="7" t="s">
        <v>13</v>
      </c>
      <c r="H491" s="6" t="s">
        <v>196</v>
      </c>
      <c r="I491" s="6" t="s">
        <v>2790</v>
      </c>
      <c r="J491" s="6" t="s">
        <v>2791</v>
      </c>
      <c r="K491" s="6" t="s">
        <v>15</v>
      </c>
      <c r="L491" s="6" t="s">
        <v>16</v>
      </c>
      <c r="M491" s="6" t="s">
        <v>104</v>
      </c>
      <c r="N491" s="7" t="s">
        <v>18</v>
      </c>
      <c r="O491" s="23" t="s">
        <v>3611</v>
      </c>
      <c r="R491" s="23" t="s">
        <v>3612</v>
      </c>
      <c r="S491" s="2" t="s">
        <v>3613</v>
      </c>
      <c r="T491" s="2" t="s">
        <v>3614</v>
      </c>
      <c r="U491" s="2" t="s">
        <v>3615</v>
      </c>
      <c r="V491" s="23" t="s">
        <v>3616</v>
      </c>
      <c r="W491" s="24" t="s">
        <v>3617</v>
      </c>
      <c r="X491" s="23" t="s">
        <v>3618</v>
      </c>
      <c r="Y491" s="23" t="s">
        <v>3619</v>
      </c>
      <c r="Z491" s="23" t="s">
        <v>3620</v>
      </c>
      <c r="AA491" s="23" t="s">
        <v>3621</v>
      </c>
      <c r="AB491" s="9"/>
      <c r="AC491" s="9"/>
      <c r="AD491" s="9"/>
    </row>
    <row r="492" spans="1:30" ht="15.75" customHeight="1">
      <c r="A492" s="4" t="s">
        <v>132</v>
      </c>
      <c r="B492" s="5">
        <v>2402</v>
      </c>
      <c r="C492" s="6" t="s">
        <v>245</v>
      </c>
      <c r="D492" s="7">
        <v>2022829568</v>
      </c>
      <c r="E492" s="7">
        <v>2201010568</v>
      </c>
      <c r="F492" s="7" t="s">
        <v>1809</v>
      </c>
      <c r="G492" s="7" t="s">
        <v>13</v>
      </c>
      <c r="H492" s="6" t="s">
        <v>246</v>
      </c>
      <c r="I492" s="6" t="s">
        <v>2792</v>
      </c>
      <c r="J492" s="6" t="s">
        <v>2793</v>
      </c>
      <c r="K492" s="6" t="s">
        <v>15</v>
      </c>
      <c r="L492" s="6" t="s">
        <v>16</v>
      </c>
      <c r="M492" s="6" t="s">
        <v>49</v>
      </c>
      <c r="N492" s="7" t="s">
        <v>18</v>
      </c>
      <c r="O492" s="23" t="s">
        <v>3611</v>
      </c>
      <c r="R492" s="23" t="s">
        <v>3612</v>
      </c>
      <c r="S492" s="2" t="s">
        <v>3613</v>
      </c>
      <c r="T492" s="2" t="s">
        <v>3614</v>
      </c>
      <c r="U492" s="2" t="s">
        <v>3615</v>
      </c>
      <c r="V492" s="23" t="s">
        <v>3616</v>
      </c>
      <c r="W492" s="24" t="s">
        <v>3617</v>
      </c>
      <c r="X492" s="23" t="s">
        <v>3618</v>
      </c>
      <c r="Y492" s="23" t="s">
        <v>3619</v>
      </c>
      <c r="Z492" s="23" t="s">
        <v>3620</v>
      </c>
      <c r="AA492" s="23" t="s">
        <v>3621</v>
      </c>
      <c r="AB492" s="9"/>
      <c r="AC492" s="9"/>
      <c r="AD492" s="9"/>
    </row>
    <row r="493" spans="1:30" ht="15.75" customHeight="1">
      <c r="A493" s="4" t="s">
        <v>132</v>
      </c>
      <c r="B493" s="5">
        <v>2402</v>
      </c>
      <c r="C493" s="6" t="s">
        <v>183</v>
      </c>
      <c r="D493" s="7">
        <v>2022317952</v>
      </c>
      <c r="E493" s="7">
        <v>2201010587</v>
      </c>
      <c r="F493" s="7" t="s">
        <v>1809</v>
      </c>
      <c r="G493" s="7" t="s">
        <v>13</v>
      </c>
      <c r="H493" s="6" t="s">
        <v>184</v>
      </c>
      <c r="I493" s="6" t="s">
        <v>2794</v>
      </c>
      <c r="J493" s="6" t="s">
        <v>2795</v>
      </c>
      <c r="K493" s="6" t="s">
        <v>15</v>
      </c>
      <c r="L493" s="6" t="s">
        <v>16</v>
      </c>
      <c r="M493" s="6" t="s">
        <v>49</v>
      </c>
      <c r="N493" s="7" t="s">
        <v>18</v>
      </c>
      <c r="O493" s="23" t="s">
        <v>3611</v>
      </c>
      <c r="R493" s="23" t="s">
        <v>3612</v>
      </c>
      <c r="S493" s="2" t="s">
        <v>3613</v>
      </c>
      <c r="T493" s="2" t="s">
        <v>3614</v>
      </c>
      <c r="U493" s="2" t="s">
        <v>3615</v>
      </c>
      <c r="V493" s="23" t="s">
        <v>3616</v>
      </c>
      <c r="W493" s="24" t="s">
        <v>3617</v>
      </c>
      <c r="X493" s="23" t="s">
        <v>3618</v>
      </c>
      <c r="Y493" s="23" t="s">
        <v>3619</v>
      </c>
      <c r="Z493" s="23" t="s">
        <v>3620</v>
      </c>
      <c r="AA493" s="23" t="s">
        <v>3621</v>
      </c>
    </row>
    <row r="494" spans="1:30" ht="15.75" customHeight="1">
      <c r="A494" s="4" t="s">
        <v>132</v>
      </c>
      <c r="B494" s="5">
        <v>2402</v>
      </c>
      <c r="C494" s="6" t="s">
        <v>199</v>
      </c>
      <c r="D494" s="7">
        <v>2022483390</v>
      </c>
      <c r="E494" s="7">
        <v>2201010595</v>
      </c>
      <c r="F494" s="7" t="s">
        <v>1809</v>
      </c>
      <c r="G494" s="7" t="s">
        <v>13</v>
      </c>
      <c r="H494" s="6" t="s">
        <v>200</v>
      </c>
      <c r="I494" s="6" t="s">
        <v>2796</v>
      </c>
      <c r="J494" s="6" t="s">
        <v>2797</v>
      </c>
      <c r="K494" s="6" t="s">
        <v>15</v>
      </c>
      <c r="L494" s="6" t="s">
        <v>21</v>
      </c>
      <c r="M494" s="6" t="s">
        <v>16</v>
      </c>
      <c r="N494" s="7" t="s">
        <v>18</v>
      </c>
      <c r="O494" s="23" t="s">
        <v>3611</v>
      </c>
      <c r="R494" s="23" t="s">
        <v>3612</v>
      </c>
      <c r="S494" s="2" t="s">
        <v>3613</v>
      </c>
      <c r="T494" s="2" t="s">
        <v>3614</v>
      </c>
      <c r="U494" s="2" t="s">
        <v>3615</v>
      </c>
      <c r="V494" s="23" t="s">
        <v>3616</v>
      </c>
      <c r="W494" s="24" t="s">
        <v>3617</v>
      </c>
      <c r="X494" s="23" t="s">
        <v>3618</v>
      </c>
      <c r="Y494" s="23" t="s">
        <v>3619</v>
      </c>
      <c r="Z494" s="23" t="s">
        <v>3620</v>
      </c>
      <c r="AA494" s="23" t="s">
        <v>3621</v>
      </c>
    </row>
    <row r="495" spans="1:30" ht="15.75" customHeight="1">
      <c r="A495" s="4" t="s">
        <v>132</v>
      </c>
      <c r="B495" s="5">
        <v>2402</v>
      </c>
      <c r="C495" s="6" t="s">
        <v>239</v>
      </c>
      <c r="D495" s="7">
        <v>2022818891</v>
      </c>
      <c r="E495" s="7">
        <v>2201010617</v>
      </c>
      <c r="F495" s="7" t="s">
        <v>1809</v>
      </c>
      <c r="G495" s="7" t="s">
        <v>13</v>
      </c>
      <c r="H495" s="6" t="s">
        <v>240</v>
      </c>
      <c r="I495" s="6" t="s">
        <v>2798</v>
      </c>
      <c r="J495" s="6" t="s">
        <v>2799</v>
      </c>
      <c r="K495" s="6" t="s">
        <v>15</v>
      </c>
      <c r="L495" s="6" t="s">
        <v>16</v>
      </c>
      <c r="M495" s="6" t="s">
        <v>21</v>
      </c>
      <c r="N495" s="7" t="s">
        <v>18</v>
      </c>
      <c r="O495" s="23" t="s">
        <v>3611</v>
      </c>
      <c r="R495" s="23" t="s">
        <v>3612</v>
      </c>
      <c r="S495" s="2" t="s">
        <v>3613</v>
      </c>
      <c r="T495" s="2" t="s">
        <v>3614</v>
      </c>
      <c r="U495" s="2" t="s">
        <v>3615</v>
      </c>
      <c r="V495" s="23" t="s">
        <v>3616</v>
      </c>
      <c r="W495" s="24" t="s">
        <v>3617</v>
      </c>
      <c r="X495" s="23" t="s">
        <v>3618</v>
      </c>
      <c r="Y495" s="23" t="s">
        <v>3619</v>
      </c>
      <c r="Z495" s="23" t="s">
        <v>3620</v>
      </c>
      <c r="AA495" s="23" t="s">
        <v>3621</v>
      </c>
    </row>
    <row r="496" spans="1:30" ht="15.75" customHeight="1">
      <c r="A496" s="4" t="s">
        <v>132</v>
      </c>
      <c r="B496" s="5">
        <v>2402</v>
      </c>
      <c r="C496" s="6" t="s">
        <v>221</v>
      </c>
      <c r="D496" s="7">
        <v>2022558819</v>
      </c>
      <c r="E496" s="7">
        <v>2201010621</v>
      </c>
      <c r="F496" s="7" t="s">
        <v>1809</v>
      </c>
      <c r="G496" s="7" t="s">
        <v>13</v>
      </c>
      <c r="H496" s="6" t="s">
        <v>222</v>
      </c>
      <c r="I496" s="6" t="s">
        <v>2800</v>
      </c>
      <c r="J496" s="6" t="s">
        <v>2801</v>
      </c>
      <c r="K496" s="6" t="s">
        <v>15</v>
      </c>
      <c r="L496" s="6" t="s">
        <v>16</v>
      </c>
      <c r="M496" s="6" t="s">
        <v>49</v>
      </c>
      <c r="N496" s="7" t="s">
        <v>18</v>
      </c>
      <c r="O496" s="23" t="s">
        <v>3611</v>
      </c>
      <c r="R496" s="23" t="s">
        <v>3612</v>
      </c>
      <c r="S496" s="2" t="s">
        <v>3613</v>
      </c>
      <c r="T496" s="2" t="s">
        <v>3614</v>
      </c>
      <c r="U496" s="2" t="s">
        <v>3615</v>
      </c>
      <c r="V496" s="23" t="s">
        <v>3616</v>
      </c>
      <c r="W496" s="24" t="s">
        <v>3617</v>
      </c>
      <c r="X496" s="23" t="s">
        <v>3618</v>
      </c>
      <c r="Y496" s="23" t="s">
        <v>3619</v>
      </c>
      <c r="Z496" s="23" t="s">
        <v>3620</v>
      </c>
      <c r="AA496" s="23" t="s">
        <v>3621</v>
      </c>
    </row>
    <row r="497" spans="1:27" ht="15.75" customHeight="1">
      <c r="A497" s="4" t="s">
        <v>132</v>
      </c>
      <c r="B497" s="5">
        <v>2402</v>
      </c>
      <c r="C497" s="6" t="s">
        <v>207</v>
      </c>
      <c r="D497" s="7">
        <v>2022502747</v>
      </c>
      <c r="E497" s="7">
        <v>2201010642</v>
      </c>
      <c r="F497" s="7" t="s">
        <v>1809</v>
      </c>
      <c r="G497" s="7" t="s">
        <v>13</v>
      </c>
      <c r="H497" s="6" t="s">
        <v>208</v>
      </c>
      <c r="I497" s="6" t="s">
        <v>2802</v>
      </c>
      <c r="J497" s="6" t="s">
        <v>2803</v>
      </c>
      <c r="K497" s="6" t="s">
        <v>15</v>
      </c>
      <c r="L497" s="6" t="s">
        <v>16</v>
      </c>
      <c r="M497" s="6" t="s">
        <v>21</v>
      </c>
      <c r="N497" s="7" t="s">
        <v>18</v>
      </c>
      <c r="O497" s="23" t="s">
        <v>3611</v>
      </c>
      <c r="R497" s="23" t="s">
        <v>3612</v>
      </c>
      <c r="S497" s="2" t="s">
        <v>3613</v>
      </c>
      <c r="T497" s="2" t="s">
        <v>3614</v>
      </c>
      <c r="U497" s="2" t="s">
        <v>3615</v>
      </c>
      <c r="V497" s="23" t="s">
        <v>3616</v>
      </c>
      <c r="W497" s="24" t="s">
        <v>3617</v>
      </c>
      <c r="X497" s="23" t="s">
        <v>3618</v>
      </c>
      <c r="Y497" s="23" t="s">
        <v>3619</v>
      </c>
      <c r="Z497" s="23" t="s">
        <v>3620</v>
      </c>
      <c r="AA497" s="23" t="s">
        <v>3621</v>
      </c>
    </row>
    <row r="498" spans="1:27" ht="15.75" customHeight="1">
      <c r="A498" s="4" t="s">
        <v>132</v>
      </c>
      <c r="B498" s="5">
        <v>2402</v>
      </c>
      <c r="C498" s="6" t="s">
        <v>243</v>
      </c>
      <c r="D498" s="7">
        <v>2022820996</v>
      </c>
      <c r="E498" s="7">
        <v>2201010647</v>
      </c>
      <c r="F498" s="7" t="s">
        <v>1809</v>
      </c>
      <c r="G498" s="7" t="s">
        <v>13</v>
      </c>
      <c r="H498" s="6" t="s">
        <v>244</v>
      </c>
      <c r="I498" s="6" t="s">
        <v>2804</v>
      </c>
      <c r="J498" s="6" t="s">
        <v>2805</v>
      </c>
      <c r="K498" s="6" t="s">
        <v>15</v>
      </c>
      <c r="L498" s="6" t="s">
        <v>16</v>
      </c>
      <c r="M498" s="6" t="s">
        <v>49</v>
      </c>
      <c r="N498" s="7" t="s">
        <v>18</v>
      </c>
      <c r="O498" s="23" t="s">
        <v>3611</v>
      </c>
      <c r="R498" s="23" t="s">
        <v>3612</v>
      </c>
      <c r="S498" s="2" t="s">
        <v>3613</v>
      </c>
      <c r="T498" s="2" t="s">
        <v>3614</v>
      </c>
      <c r="U498" s="2" t="s">
        <v>3615</v>
      </c>
      <c r="V498" s="23" t="s">
        <v>3616</v>
      </c>
      <c r="W498" s="24" t="s">
        <v>3617</v>
      </c>
      <c r="X498" s="23" t="s">
        <v>3618</v>
      </c>
      <c r="Y498" s="23" t="s">
        <v>3619</v>
      </c>
      <c r="Z498" s="23" t="s">
        <v>3620</v>
      </c>
      <c r="AA498" s="23" t="s">
        <v>3621</v>
      </c>
    </row>
    <row r="499" spans="1:27" ht="15.75" customHeight="1">
      <c r="A499" s="4" t="s">
        <v>132</v>
      </c>
      <c r="B499" s="5">
        <v>2402</v>
      </c>
      <c r="C499" s="6" t="s">
        <v>162</v>
      </c>
      <c r="D499" s="7">
        <v>2022006694</v>
      </c>
      <c r="E499" s="7">
        <v>2201010660</v>
      </c>
      <c r="F499" s="7" t="s">
        <v>1809</v>
      </c>
      <c r="G499" s="7" t="s">
        <v>13</v>
      </c>
      <c r="H499" s="6" t="s">
        <v>163</v>
      </c>
      <c r="I499" s="6" t="s">
        <v>2806</v>
      </c>
      <c r="J499" s="6" t="s">
        <v>2807</v>
      </c>
      <c r="K499" s="6" t="s">
        <v>15</v>
      </c>
      <c r="L499" s="6" t="s">
        <v>16</v>
      </c>
      <c r="M499" s="6" t="s">
        <v>21</v>
      </c>
      <c r="N499" s="7" t="s">
        <v>18</v>
      </c>
      <c r="O499" s="23" t="s">
        <v>3611</v>
      </c>
      <c r="R499" s="23" t="s">
        <v>3612</v>
      </c>
      <c r="S499" s="2" t="s">
        <v>3613</v>
      </c>
      <c r="T499" s="2" t="s">
        <v>3614</v>
      </c>
      <c r="U499" s="2" t="s">
        <v>3615</v>
      </c>
      <c r="V499" s="23" t="s">
        <v>3616</v>
      </c>
      <c r="W499" s="24" t="s">
        <v>3617</v>
      </c>
      <c r="X499" s="23" t="s">
        <v>3618</v>
      </c>
      <c r="Y499" s="23" t="s">
        <v>3619</v>
      </c>
      <c r="Z499" s="23" t="s">
        <v>3620</v>
      </c>
      <c r="AA499" s="23" t="s">
        <v>3621</v>
      </c>
    </row>
    <row r="500" spans="1:27" ht="15.75" customHeight="1">
      <c r="A500" s="4" t="s">
        <v>132</v>
      </c>
      <c r="B500" s="5">
        <v>2402</v>
      </c>
      <c r="C500" s="6" t="s">
        <v>259</v>
      </c>
      <c r="D500" s="7">
        <v>2022468330</v>
      </c>
      <c r="E500" s="7">
        <v>2201010670</v>
      </c>
      <c r="F500" s="7" t="s">
        <v>1809</v>
      </c>
      <c r="G500" s="7" t="s">
        <v>13</v>
      </c>
      <c r="H500" s="6" t="s">
        <v>260</v>
      </c>
      <c r="I500" s="6" t="s">
        <v>2808</v>
      </c>
      <c r="J500" s="6" t="s">
        <v>2809</v>
      </c>
      <c r="K500" s="6" t="s">
        <v>15</v>
      </c>
      <c r="L500" s="6" t="s">
        <v>117</v>
      </c>
      <c r="M500" s="6" t="s">
        <v>26</v>
      </c>
      <c r="N500" s="7" t="s">
        <v>18</v>
      </c>
      <c r="O500" s="23" t="s">
        <v>3611</v>
      </c>
      <c r="R500" s="23" t="s">
        <v>3612</v>
      </c>
      <c r="S500" s="2" t="s">
        <v>3613</v>
      </c>
      <c r="T500" s="2" t="s">
        <v>3614</v>
      </c>
      <c r="U500" s="2" t="s">
        <v>3615</v>
      </c>
      <c r="V500" s="23" t="s">
        <v>3616</v>
      </c>
      <c r="W500" s="24" t="s">
        <v>3617</v>
      </c>
      <c r="X500" s="23" t="s">
        <v>3618</v>
      </c>
      <c r="Y500" s="23" t="s">
        <v>3619</v>
      </c>
      <c r="Z500" s="23" t="s">
        <v>3620</v>
      </c>
      <c r="AA500" s="23" t="s">
        <v>3621</v>
      </c>
    </row>
    <row r="501" spans="1:27" ht="15.75" customHeight="1">
      <c r="A501" s="4" t="s">
        <v>132</v>
      </c>
      <c r="B501" s="5">
        <v>2402</v>
      </c>
      <c r="C501" s="6" t="s">
        <v>166</v>
      </c>
      <c r="D501" s="7">
        <v>2022006868</v>
      </c>
      <c r="E501" s="7">
        <v>2201010673</v>
      </c>
      <c r="F501" s="7" t="s">
        <v>1809</v>
      </c>
      <c r="G501" s="7" t="s">
        <v>13</v>
      </c>
      <c r="H501" s="6" t="s">
        <v>167</v>
      </c>
      <c r="I501" s="6" t="s">
        <v>2810</v>
      </c>
      <c r="J501" s="6" t="s">
        <v>2811</v>
      </c>
      <c r="K501" s="6" t="s">
        <v>15</v>
      </c>
      <c r="L501" s="6" t="s">
        <v>21</v>
      </c>
      <c r="M501" s="6" t="s">
        <v>16</v>
      </c>
      <c r="N501" s="7" t="s">
        <v>18</v>
      </c>
      <c r="O501" s="23" t="s">
        <v>3611</v>
      </c>
      <c r="R501" s="23" t="s">
        <v>3612</v>
      </c>
      <c r="S501" s="2" t="s">
        <v>3613</v>
      </c>
      <c r="T501" s="2" t="s">
        <v>3614</v>
      </c>
      <c r="U501" s="2" t="s">
        <v>3615</v>
      </c>
      <c r="V501" s="23" t="s">
        <v>3616</v>
      </c>
      <c r="W501" s="24" t="s">
        <v>3617</v>
      </c>
      <c r="X501" s="23" t="s">
        <v>3618</v>
      </c>
      <c r="Y501" s="23" t="s">
        <v>3619</v>
      </c>
      <c r="Z501" s="23" t="s">
        <v>3620</v>
      </c>
      <c r="AA501" s="23" t="s">
        <v>3621</v>
      </c>
    </row>
    <row r="502" spans="1:27" ht="15.75" customHeight="1">
      <c r="A502" s="4" t="s">
        <v>132</v>
      </c>
      <c r="B502" s="5">
        <v>2402</v>
      </c>
      <c r="C502" s="6" t="s">
        <v>168</v>
      </c>
      <c r="D502" s="7">
        <v>2022006890</v>
      </c>
      <c r="E502" s="7">
        <v>2201010686</v>
      </c>
      <c r="F502" s="7" t="s">
        <v>1809</v>
      </c>
      <c r="G502" s="7" t="s">
        <v>13</v>
      </c>
      <c r="H502" s="6" t="s">
        <v>169</v>
      </c>
      <c r="I502" s="6" t="s">
        <v>2812</v>
      </c>
      <c r="J502" s="6" t="s">
        <v>2813</v>
      </c>
      <c r="K502" s="6" t="s">
        <v>15</v>
      </c>
      <c r="L502" s="6" t="s">
        <v>21</v>
      </c>
      <c r="M502" s="6" t="s">
        <v>16</v>
      </c>
      <c r="N502" s="7" t="s">
        <v>18</v>
      </c>
      <c r="O502" s="23" t="s">
        <v>3611</v>
      </c>
      <c r="R502" s="23" t="s">
        <v>3612</v>
      </c>
      <c r="S502" s="2" t="s">
        <v>3613</v>
      </c>
      <c r="T502" s="2" t="s">
        <v>3614</v>
      </c>
      <c r="U502" s="2" t="s">
        <v>3615</v>
      </c>
      <c r="V502" s="23" t="s">
        <v>3616</v>
      </c>
      <c r="W502" s="24" t="s">
        <v>3617</v>
      </c>
      <c r="X502" s="23" t="s">
        <v>3618</v>
      </c>
      <c r="Y502" s="23" t="s">
        <v>3619</v>
      </c>
      <c r="Z502" s="23" t="s">
        <v>3620</v>
      </c>
      <c r="AA502" s="23" t="s">
        <v>3621</v>
      </c>
    </row>
    <row r="503" spans="1:27" ht="15.75" customHeight="1">
      <c r="A503" s="4" t="s">
        <v>132</v>
      </c>
      <c r="B503" s="5">
        <v>2402</v>
      </c>
      <c r="C503" s="6" t="s">
        <v>223</v>
      </c>
      <c r="D503" s="7">
        <v>2022559432</v>
      </c>
      <c r="E503" s="7">
        <v>2201010689</v>
      </c>
      <c r="F503" s="7" t="s">
        <v>1809</v>
      </c>
      <c r="G503" s="7" t="s">
        <v>13</v>
      </c>
      <c r="H503" s="6" t="s">
        <v>224</v>
      </c>
      <c r="I503" s="6" t="s">
        <v>2814</v>
      </c>
      <c r="J503" s="6" t="s">
        <v>2815</v>
      </c>
      <c r="K503" s="6" t="s">
        <v>15</v>
      </c>
      <c r="L503" s="6" t="s">
        <v>21</v>
      </c>
      <c r="M503" s="6" t="s">
        <v>16</v>
      </c>
      <c r="N503" s="7" t="s">
        <v>18</v>
      </c>
      <c r="O503" s="23" t="s">
        <v>3611</v>
      </c>
      <c r="R503" s="23" t="s">
        <v>3612</v>
      </c>
      <c r="S503" s="2" t="s">
        <v>3613</v>
      </c>
      <c r="T503" s="2" t="s">
        <v>3614</v>
      </c>
      <c r="U503" s="2" t="s">
        <v>3615</v>
      </c>
      <c r="V503" s="23" t="s">
        <v>3616</v>
      </c>
      <c r="W503" s="24" t="s">
        <v>3617</v>
      </c>
      <c r="X503" s="23" t="s">
        <v>3618</v>
      </c>
      <c r="Y503" s="23" t="s">
        <v>3619</v>
      </c>
      <c r="Z503" s="23" t="s">
        <v>3620</v>
      </c>
      <c r="AA503" s="23" t="s">
        <v>3621</v>
      </c>
    </row>
    <row r="504" spans="1:27" ht="15.75" customHeight="1">
      <c r="A504" s="4" t="s">
        <v>132</v>
      </c>
      <c r="B504" s="5">
        <v>2402</v>
      </c>
      <c r="C504" s="6" t="s">
        <v>135</v>
      </c>
      <c r="D504" s="7">
        <v>2022338616</v>
      </c>
      <c r="E504" s="7">
        <v>2201010695</v>
      </c>
      <c r="F504" s="7" t="s">
        <v>1809</v>
      </c>
      <c r="G504" s="7" t="s">
        <v>13</v>
      </c>
      <c r="H504" s="6" t="s">
        <v>136</v>
      </c>
      <c r="I504" s="6" t="s">
        <v>2816</v>
      </c>
      <c r="J504" s="6" t="s">
        <v>2817</v>
      </c>
      <c r="K504" s="6" t="s">
        <v>15</v>
      </c>
      <c r="L504" s="6" t="s">
        <v>21</v>
      </c>
      <c r="M504" s="6" t="s">
        <v>16</v>
      </c>
      <c r="N504" s="7" t="s">
        <v>18</v>
      </c>
      <c r="O504" s="23" t="s">
        <v>3611</v>
      </c>
      <c r="R504" s="23" t="s">
        <v>3612</v>
      </c>
      <c r="S504" s="2" t="s">
        <v>3613</v>
      </c>
      <c r="T504" s="2" t="s">
        <v>3614</v>
      </c>
      <c r="U504" s="2" t="s">
        <v>3615</v>
      </c>
      <c r="V504" s="23" t="s">
        <v>3616</v>
      </c>
      <c r="W504" s="24" t="s">
        <v>3617</v>
      </c>
      <c r="X504" s="23" t="s">
        <v>3618</v>
      </c>
      <c r="Y504" s="23" t="s">
        <v>3619</v>
      </c>
      <c r="Z504" s="23" t="s">
        <v>3620</v>
      </c>
      <c r="AA504" s="23" t="s">
        <v>3621</v>
      </c>
    </row>
    <row r="505" spans="1:27" ht="15.75" customHeight="1">
      <c r="A505" s="4" t="s">
        <v>132</v>
      </c>
      <c r="B505" s="5">
        <v>2402</v>
      </c>
      <c r="C505" s="6" t="s">
        <v>213</v>
      </c>
      <c r="D505" s="7">
        <v>2022508695</v>
      </c>
      <c r="E505" s="7">
        <v>2201010720</v>
      </c>
      <c r="F505" s="7" t="s">
        <v>1809</v>
      </c>
      <c r="G505" s="7" t="s">
        <v>13</v>
      </c>
      <c r="H505" s="6" t="s">
        <v>214</v>
      </c>
      <c r="I505" s="6" t="s">
        <v>2818</v>
      </c>
      <c r="J505" s="6" t="s">
        <v>2819</v>
      </c>
      <c r="K505" s="6" t="s">
        <v>15</v>
      </c>
      <c r="L505" s="6" t="s">
        <v>21</v>
      </c>
      <c r="M505" s="6" t="s">
        <v>21</v>
      </c>
      <c r="N505" s="7" t="s">
        <v>18</v>
      </c>
      <c r="O505" s="23" t="s">
        <v>3611</v>
      </c>
      <c r="R505" s="23" t="s">
        <v>3612</v>
      </c>
      <c r="S505" s="2" t="s">
        <v>3613</v>
      </c>
      <c r="T505" s="2" t="s">
        <v>3614</v>
      </c>
      <c r="U505" s="2" t="s">
        <v>3615</v>
      </c>
      <c r="V505" s="23" t="s">
        <v>3616</v>
      </c>
      <c r="W505" s="24" t="s">
        <v>3617</v>
      </c>
      <c r="X505" s="23" t="s">
        <v>3618</v>
      </c>
      <c r="Y505" s="23" t="s">
        <v>3619</v>
      </c>
      <c r="Z505" s="23" t="s">
        <v>3620</v>
      </c>
      <c r="AA505" s="23" t="s">
        <v>3621</v>
      </c>
    </row>
    <row r="506" spans="1:27" ht="15.75" customHeight="1">
      <c r="A506" s="4" t="s">
        <v>132</v>
      </c>
      <c r="B506" s="5">
        <v>2402</v>
      </c>
      <c r="C506" s="6" t="s">
        <v>187</v>
      </c>
      <c r="D506" s="7">
        <v>2022403475</v>
      </c>
      <c r="E506" s="7">
        <v>2201010726</v>
      </c>
      <c r="F506" s="7" t="s">
        <v>1809</v>
      </c>
      <c r="G506" s="7" t="s">
        <v>13</v>
      </c>
      <c r="H506" s="6" t="s">
        <v>188</v>
      </c>
      <c r="I506" s="6" t="s">
        <v>2820</v>
      </c>
      <c r="J506" s="6" t="s">
        <v>2821</v>
      </c>
      <c r="K506" s="6" t="s">
        <v>15</v>
      </c>
      <c r="L506" s="6" t="s">
        <v>16</v>
      </c>
      <c r="M506" s="6" t="s">
        <v>21</v>
      </c>
      <c r="N506" s="7" t="s">
        <v>18</v>
      </c>
      <c r="O506" s="23" t="s">
        <v>3611</v>
      </c>
      <c r="R506" s="23" t="s">
        <v>3612</v>
      </c>
      <c r="S506" s="2" t="s">
        <v>3613</v>
      </c>
      <c r="T506" s="2" t="s">
        <v>3614</v>
      </c>
      <c r="U506" s="2" t="s">
        <v>3615</v>
      </c>
      <c r="V506" s="23" t="s">
        <v>3616</v>
      </c>
      <c r="W506" s="24" t="s">
        <v>3617</v>
      </c>
      <c r="X506" s="23" t="s">
        <v>3618</v>
      </c>
      <c r="Y506" s="23" t="s">
        <v>3619</v>
      </c>
      <c r="Z506" s="23" t="s">
        <v>3620</v>
      </c>
      <c r="AA506" s="23" t="s">
        <v>3621</v>
      </c>
    </row>
    <row r="507" spans="1:27" ht="15.75" customHeight="1">
      <c r="A507" s="4" t="s">
        <v>132</v>
      </c>
      <c r="B507" s="5">
        <v>2402</v>
      </c>
      <c r="C507" s="6" t="s">
        <v>225</v>
      </c>
      <c r="D507" s="7">
        <v>2022561225</v>
      </c>
      <c r="E507" s="7">
        <v>2201010750</v>
      </c>
      <c r="F507" s="7" t="s">
        <v>1809</v>
      </c>
      <c r="G507" s="7" t="s">
        <v>13</v>
      </c>
      <c r="H507" s="6" t="s">
        <v>226</v>
      </c>
      <c r="I507" s="6" t="s">
        <v>2822</v>
      </c>
      <c r="J507" s="6" t="s">
        <v>2823</v>
      </c>
      <c r="K507" s="6" t="s">
        <v>15</v>
      </c>
      <c r="L507" s="6" t="s">
        <v>16</v>
      </c>
      <c r="M507" s="6" t="s">
        <v>21</v>
      </c>
      <c r="N507" s="7" t="s">
        <v>18</v>
      </c>
      <c r="O507" s="23" t="s">
        <v>3611</v>
      </c>
      <c r="R507" s="23" t="s">
        <v>3612</v>
      </c>
      <c r="S507" s="2" t="s">
        <v>3613</v>
      </c>
      <c r="T507" s="2" t="s">
        <v>3614</v>
      </c>
      <c r="U507" s="2" t="s">
        <v>3615</v>
      </c>
      <c r="V507" s="23" t="s">
        <v>3616</v>
      </c>
      <c r="W507" s="24" t="s">
        <v>3617</v>
      </c>
      <c r="X507" s="23" t="s">
        <v>3618</v>
      </c>
      <c r="Y507" s="23" t="s">
        <v>3619</v>
      </c>
      <c r="Z507" s="23" t="s">
        <v>3620</v>
      </c>
      <c r="AA507" s="23" t="s">
        <v>3621</v>
      </c>
    </row>
    <row r="508" spans="1:27" ht="15.75" customHeight="1">
      <c r="A508" s="4" t="s">
        <v>132</v>
      </c>
      <c r="B508" s="5">
        <v>2402</v>
      </c>
      <c r="C508" s="6" t="s">
        <v>147</v>
      </c>
      <c r="D508" s="7">
        <v>2022003841</v>
      </c>
      <c r="E508" s="7">
        <v>2201010798</v>
      </c>
      <c r="F508" s="7" t="s">
        <v>1809</v>
      </c>
      <c r="G508" s="7" t="s">
        <v>13</v>
      </c>
      <c r="H508" s="6" t="s">
        <v>148</v>
      </c>
      <c r="I508" s="6" t="s">
        <v>2824</v>
      </c>
      <c r="J508" s="6" t="s">
        <v>2825</v>
      </c>
      <c r="K508" s="6" t="s">
        <v>15</v>
      </c>
      <c r="L508" s="6" t="s">
        <v>16</v>
      </c>
      <c r="M508" s="6" t="s">
        <v>149</v>
      </c>
      <c r="N508" s="7" t="s">
        <v>18</v>
      </c>
      <c r="O508" s="23" t="s">
        <v>3611</v>
      </c>
      <c r="R508" s="23" t="s">
        <v>3612</v>
      </c>
      <c r="S508" s="2" t="s">
        <v>3613</v>
      </c>
      <c r="T508" s="2" t="s">
        <v>3614</v>
      </c>
      <c r="U508" s="2" t="s">
        <v>3615</v>
      </c>
      <c r="V508" s="23" t="s">
        <v>3616</v>
      </c>
      <c r="W508" s="24" t="s">
        <v>3617</v>
      </c>
      <c r="X508" s="23" t="s">
        <v>3618</v>
      </c>
      <c r="Y508" s="23" t="s">
        <v>3619</v>
      </c>
      <c r="Z508" s="23" t="s">
        <v>3620</v>
      </c>
      <c r="AA508" s="23" t="s">
        <v>3621</v>
      </c>
    </row>
    <row r="509" spans="1:27" ht="15.75" customHeight="1">
      <c r="A509" s="4" t="s">
        <v>132</v>
      </c>
      <c r="B509" s="5">
        <v>2402</v>
      </c>
      <c r="C509" s="6" t="s">
        <v>170</v>
      </c>
      <c r="D509" s="7">
        <v>2022007179</v>
      </c>
      <c r="E509" s="7">
        <v>2201010836</v>
      </c>
      <c r="F509" s="7" t="s">
        <v>1809</v>
      </c>
      <c r="G509" s="7" t="s">
        <v>13</v>
      </c>
      <c r="H509" s="6" t="s">
        <v>171</v>
      </c>
      <c r="I509" s="6" t="s">
        <v>2826</v>
      </c>
      <c r="J509" s="6" t="s">
        <v>2827</v>
      </c>
      <c r="K509" s="6" t="s">
        <v>15</v>
      </c>
      <c r="L509" s="6" t="s">
        <v>149</v>
      </c>
      <c r="M509" s="6" t="s">
        <v>21</v>
      </c>
      <c r="N509" s="7" t="s">
        <v>18</v>
      </c>
      <c r="O509" s="23" t="s">
        <v>3611</v>
      </c>
      <c r="R509" s="23" t="s">
        <v>3612</v>
      </c>
      <c r="S509" s="2" t="s">
        <v>3613</v>
      </c>
      <c r="T509" s="2" t="s">
        <v>3614</v>
      </c>
      <c r="U509" s="2" t="s">
        <v>3615</v>
      </c>
      <c r="V509" s="23" t="s">
        <v>3616</v>
      </c>
      <c r="W509" s="24" t="s">
        <v>3617</v>
      </c>
      <c r="X509" s="23" t="s">
        <v>3618</v>
      </c>
      <c r="Y509" s="23" t="s">
        <v>3619</v>
      </c>
      <c r="Z509" s="23" t="s">
        <v>3620</v>
      </c>
      <c r="AA509" s="23" t="s">
        <v>3621</v>
      </c>
    </row>
    <row r="510" spans="1:27" ht="15.75" customHeight="1">
      <c r="A510" s="4" t="s">
        <v>132</v>
      </c>
      <c r="B510" s="5">
        <v>2402</v>
      </c>
      <c r="C510" s="6" t="s">
        <v>172</v>
      </c>
      <c r="D510" s="7">
        <v>2022007342</v>
      </c>
      <c r="E510" s="7">
        <v>2201010845</v>
      </c>
      <c r="F510" s="7" t="s">
        <v>1809</v>
      </c>
      <c r="G510" s="7" t="s">
        <v>13</v>
      </c>
      <c r="H510" s="6" t="s">
        <v>173</v>
      </c>
      <c r="I510" s="6" t="s">
        <v>2828</v>
      </c>
      <c r="J510" s="6" t="s">
        <v>2829</v>
      </c>
      <c r="K510" s="6" t="s">
        <v>15</v>
      </c>
      <c r="L510" s="6" t="s">
        <v>21</v>
      </c>
      <c r="M510" s="6" t="s">
        <v>16</v>
      </c>
      <c r="N510" s="7" t="s">
        <v>174</v>
      </c>
      <c r="O510" s="23" t="s">
        <v>3611</v>
      </c>
      <c r="R510" s="23" t="s">
        <v>3612</v>
      </c>
      <c r="S510" s="2" t="s">
        <v>3613</v>
      </c>
      <c r="T510" s="2" t="s">
        <v>3614</v>
      </c>
      <c r="U510" s="2" t="s">
        <v>3615</v>
      </c>
      <c r="V510" s="23" t="s">
        <v>3616</v>
      </c>
      <c r="W510" s="24" t="s">
        <v>3617</v>
      </c>
      <c r="X510" s="23" t="s">
        <v>3618</v>
      </c>
      <c r="Y510" s="23" t="s">
        <v>3619</v>
      </c>
      <c r="Z510" s="23" t="s">
        <v>3620</v>
      </c>
      <c r="AA510" s="23" t="s">
        <v>3621</v>
      </c>
    </row>
    <row r="511" spans="1:27" ht="15.75" customHeight="1">
      <c r="A511" s="4" t="s">
        <v>132</v>
      </c>
      <c r="B511" s="5">
        <v>2402</v>
      </c>
      <c r="C511" s="6" t="s">
        <v>175</v>
      </c>
      <c r="D511" s="7">
        <v>2022007381</v>
      </c>
      <c r="E511" s="7">
        <v>2201010846</v>
      </c>
      <c r="F511" s="7" t="s">
        <v>1809</v>
      </c>
      <c r="G511" s="7" t="s">
        <v>13</v>
      </c>
      <c r="H511" s="6" t="s">
        <v>176</v>
      </c>
      <c r="I511" s="6" t="s">
        <v>2830</v>
      </c>
      <c r="J511" s="6" t="s">
        <v>2831</v>
      </c>
      <c r="K511" s="6" t="s">
        <v>15</v>
      </c>
      <c r="L511" s="6" t="s">
        <v>16</v>
      </c>
      <c r="M511" s="6" t="s">
        <v>21</v>
      </c>
      <c r="N511" s="7" t="s">
        <v>18</v>
      </c>
      <c r="O511" s="23" t="s">
        <v>3611</v>
      </c>
      <c r="R511" s="23" t="s">
        <v>3612</v>
      </c>
      <c r="S511" s="2" t="s">
        <v>3613</v>
      </c>
      <c r="T511" s="2" t="s">
        <v>3614</v>
      </c>
      <c r="U511" s="2" t="s">
        <v>3615</v>
      </c>
      <c r="V511" s="23" t="s">
        <v>3616</v>
      </c>
      <c r="W511" s="24" t="s">
        <v>3617</v>
      </c>
      <c r="X511" s="23" t="s">
        <v>3618</v>
      </c>
      <c r="Y511" s="23" t="s">
        <v>3619</v>
      </c>
      <c r="Z511" s="23" t="s">
        <v>3620</v>
      </c>
      <c r="AA511" s="23" t="s">
        <v>3621</v>
      </c>
    </row>
    <row r="512" spans="1:27" ht="15.75" customHeight="1">
      <c r="A512" s="4" t="s">
        <v>132</v>
      </c>
      <c r="B512" s="5">
        <v>2402</v>
      </c>
      <c r="C512" s="6" t="s">
        <v>177</v>
      </c>
      <c r="D512" s="7">
        <v>2022007635</v>
      </c>
      <c r="E512" s="7">
        <v>2201010854</v>
      </c>
      <c r="F512" s="7" t="s">
        <v>1809</v>
      </c>
      <c r="G512" s="7" t="s">
        <v>13</v>
      </c>
      <c r="H512" s="6" t="s">
        <v>178</v>
      </c>
      <c r="I512" s="6" t="s">
        <v>2832</v>
      </c>
      <c r="J512" s="6">
        <v>0</v>
      </c>
      <c r="K512" s="6" t="s">
        <v>15</v>
      </c>
      <c r="L512" s="6" t="s">
        <v>21</v>
      </c>
      <c r="M512" s="6" t="s">
        <v>16</v>
      </c>
      <c r="N512" s="7" t="s">
        <v>18</v>
      </c>
      <c r="O512" s="23" t="s">
        <v>3611</v>
      </c>
      <c r="R512" s="23" t="s">
        <v>3612</v>
      </c>
      <c r="S512" s="2" t="s">
        <v>3613</v>
      </c>
      <c r="T512" s="2" t="s">
        <v>3614</v>
      </c>
      <c r="U512" s="2" t="s">
        <v>3615</v>
      </c>
      <c r="V512" s="23" t="s">
        <v>3616</v>
      </c>
      <c r="W512" s="24" t="s">
        <v>3617</v>
      </c>
      <c r="X512" s="23" t="s">
        <v>3618</v>
      </c>
      <c r="Y512" s="23" t="s">
        <v>3619</v>
      </c>
      <c r="Z512" s="23" t="s">
        <v>3620</v>
      </c>
      <c r="AA512" s="23" t="s">
        <v>3621</v>
      </c>
    </row>
    <row r="513" spans="1:30" ht="15.75" customHeight="1">
      <c r="A513" s="4" t="s">
        <v>132</v>
      </c>
      <c r="B513" s="5">
        <v>2402</v>
      </c>
      <c r="C513" s="6" t="s">
        <v>203</v>
      </c>
      <c r="D513" s="7">
        <v>2022485674</v>
      </c>
      <c r="E513" s="7">
        <v>2201010872</v>
      </c>
      <c r="F513" s="7" t="s">
        <v>1809</v>
      </c>
      <c r="G513" s="7" t="s">
        <v>13</v>
      </c>
      <c r="H513" s="6" t="s">
        <v>204</v>
      </c>
      <c r="I513" s="6" t="s">
        <v>2833</v>
      </c>
      <c r="J513" s="6" t="s">
        <v>2834</v>
      </c>
      <c r="K513" s="6" t="s">
        <v>15</v>
      </c>
      <c r="L513" s="6" t="s">
        <v>21</v>
      </c>
      <c r="M513" s="6" t="s">
        <v>16</v>
      </c>
      <c r="N513" s="7" t="s">
        <v>18</v>
      </c>
      <c r="O513" s="23" t="s">
        <v>3611</v>
      </c>
      <c r="R513" s="23" t="s">
        <v>3612</v>
      </c>
      <c r="S513" s="2" t="s">
        <v>3613</v>
      </c>
      <c r="T513" s="2" t="s">
        <v>3614</v>
      </c>
      <c r="U513" s="2" t="s">
        <v>3615</v>
      </c>
      <c r="V513" s="23" t="s">
        <v>3616</v>
      </c>
      <c r="W513" s="24" t="s">
        <v>3617</v>
      </c>
      <c r="X513" s="23" t="s">
        <v>3618</v>
      </c>
      <c r="Y513" s="23" t="s">
        <v>3619</v>
      </c>
      <c r="Z513" s="23" t="s">
        <v>3620</v>
      </c>
      <c r="AA513" s="23" t="s">
        <v>3621</v>
      </c>
    </row>
    <row r="514" spans="1:30" ht="15.75" customHeight="1">
      <c r="A514" s="4" t="s">
        <v>132</v>
      </c>
      <c r="B514" s="5">
        <v>2402</v>
      </c>
      <c r="C514" s="6" t="s">
        <v>217</v>
      </c>
      <c r="D514" s="7">
        <v>2022558410</v>
      </c>
      <c r="E514" s="7">
        <v>2201010882</v>
      </c>
      <c r="F514" s="7" t="s">
        <v>1809</v>
      </c>
      <c r="G514" s="7" t="s">
        <v>13</v>
      </c>
      <c r="H514" s="6" t="s">
        <v>218</v>
      </c>
      <c r="I514" s="6" t="s">
        <v>2835</v>
      </c>
      <c r="J514" s="6" t="s">
        <v>2836</v>
      </c>
      <c r="K514" s="6" t="s">
        <v>15</v>
      </c>
      <c r="L514" s="6" t="s">
        <v>21</v>
      </c>
      <c r="M514" s="6" t="s">
        <v>16</v>
      </c>
      <c r="N514" s="7" t="s">
        <v>18</v>
      </c>
      <c r="O514" s="23" t="s">
        <v>3611</v>
      </c>
      <c r="R514" s="23" t="s">
        <v>3612</v>
      </c>
      <c r="S514" s="2" t="s">
        <v>3613</v>
      </c>
      <c r="T514" s="2" t="s">
        <v>3614</v>
      </c>
      <c r="U514" s="2" t="s">
        <v>3615</v>
      </c>
      <c r="V514" s="23" t="s">
        <v>3616</v>
      </c>
      <c r="W514" s="24" t="s">
        <v>3617</v>
      </c>
      <c r="X514" s="23" t="s">
        <v>3618</v>
      </c>
      <c r="Y514" s="23" t="s">
        <v>3619</v>
      </c>
      <c r="Z514" s="23" t="s">
        <v>3620</v>
      </c>
      <c r="AA514" s="23" t="s">
        <v>3621</v>
      </c>
      <c r="AB514" s="8"/>
      <c r="AC514" s="8"/>
      <c r="AD514" s="8"/>
    </row>
    <row r="515" spans="1:30" ht="15.75" customHeight="1">
      <c r="A515" s="4" t="s">
        <v>132</v>
      </c>
      <c r="B515" s="5">
        <v>2402</v>
      </c>
      <c r="C515" s="6" t="s">
        <v>257</v>
      </c>
      <c r="D515" s="7">
        <v>2022593768</v>
      </c>
      <c r="E515" s="7">
        <v>2201010891</v>
      </c>
      <c r="F515" s="7" t="s">
        <v>1809</v>
      </c>
      <c r="G515" s="7" t="s">
        <v>13</v>
      </c>
      <c r="H515" s="6" t="s">
        <v>258</v>
      </c>
      <c r="I515" s="6" t="s">
        <v>2837</v>
      </c>
      <c r="J515" s="6" t="s">
        <v>2838</v>
      </c>
      <c r="K515" s="6" t="s">
        <v>15</v>
      </c>
      <c r="L515" s="6" t="e">
        <v>#N/A</v>
      </c>
      <c r="M515" s="6" t="e">
        <v>#N/A</v>
      </c>
      <c r="N515" s="7" t="e">
        <v>#N/A</v>
      </c>
      <c r="O515" s="23" t="s">
        <v>3611</v>
      </c>
      <c r="R515" s="23" t="s">
        <v>3612</v>
      </c>
      <c r="S515" s="2" t="s">
        <v>3613</v>
      </c>
      <c r="T515" s="2" t="s">
        <v>3614</v>
      </c>
      <c r="U515" s="2" t="s">
        <v>3615</v>
      </c>
      <c r="V515" s="23" t="s">
        <v>3616</v>
      </c>
      <c r="W515" s="24" t="s">
        <v>3617</v>
      </c>
      <c r="X515" s="23" t="s">
        <v>3618</v>
      </c>
      <c r="Y515" s="23" t="s">
        <v>3619</v>
      </c>
      <c r="Z515" s="23" t="s">
        <v>3620</v>
      </c>
      <c r="AA515" s="23" t="s">
        <v>3621</v>
      </c>
      <c r="AB515" s="8"/>
      <c r="AC515" s="8"/>
      <c r="AD515" s="8"/>
    </row>
    <row r="516" spans="1:30" ht="15.5">
      <c r="A516" s="4" t="s">
        <v>132</v>
      </c>
      <c r="B516" s="5">
        <v>2402</v>
      </c>
      <c r="C516" s="6" t="s">
        <v>235</v>
      </c>
      <c r="D516" s="7">
        <v>2022621767</v>
      </c>
      <c r="E516" s="7">
        <v>2201010905</v>
      </c>
      <c r="F516" s="7" t="s">
        <v>1809</v>
      </c>
      <c r="G516" s="7" t="s">
        <v>13</v>
      </c>
      <c r="H516" s="6" t="s">
        <v>236</v>
      </c>
      <c r="I516" s="6" t="s">
        <v>2839</v>
      </c>
      <c r="J516" s="6" t="s">
        <v>2840</v>
      </c>
      <c r="K516" s="6" t="s">
        <v>15</v>
      </c>
      <c r="L516" s="6" t="s">
        <v>16</v>
      </c>
      <c r="M516" s="6" t="s">
        <v>21</v>
      </c>
      <c r="N516" s="7" t="s">
        <v>18</v>
      </c>
      <c r="O516" s="23" t="s">
        <v>3611</v>
      </c>
      <c r="R516" s="23" t="s">
        <v>3612</v>
      </c>
      <c r="S516" s="2" t="s">
        <v>3613</v>
      </c>
      <c r="T516" s="2" t="s">
        <v>3614</v>
      </c>
      <c r="U516" s="2" t="s">
        <v>3615</v>
      </c>
      <c r="V516" s="23" t="s">
        <v>3616</v>
      </c>
      <c r="W516" s="24" t="s">
        <v>3617</v>
      </c>
      <c r="X516" s="23" t="s">
        <v>3618</v>
      </c>
      <c r="Y516" s="23" t="s">
        <v>3619</v>
      </c>
      <c r="Z516" s="23" t="s">
        <v>3620</v>
      </c>
      <c r="AA516" s="23" t="s">
        <v>3621</v>
      </c>
    </row>
    <row r="517" spans="1:30" ht="15.5">
      <c r="A517" s="4" t="s">
        <v>132</v>
      </c>
      <c r="B517" s="5">
        <v>2402</v>
      </c>
      <c r="C517" s="6" t="s">
        <v>237</v>
      </c>
      <c r="D517" s="7">
        <v>2022624445</v>
      </c>
      <c r="E517" s="7">
        <v>2201010906</v>
      </c>
      <c r="F517" s="7" t="s">
        <v>1809</v>
      </c>
      <c r="G517" s="7" t="s">
        <v>13</v>
      </c>
      <c r="H517" s="6" t="s">
        <v>238</v>
      </c>
      <c r="I517" s="6" t="s">
        <v>2841</v>
      </c>
      <c r="J517" s="6" t="s">
        <v>2842</v>
      </c>
      <c r="K517" s="6" t="s">
        <v>15</v>
      </c>
      <c r="L517" s="6" t="s">
        <v>21</v>
      </c>
      <c r="M517" s="6" t="s">
        <v>16</v>
      </c>
      <c r="N517" s="7" t="s">
        <v>18</v>
      </c>
      <c r="O517" s="23" t="s">
        <v>3611</v>
      </c>
      <c r="R517" s="23" t="s">
        <v>3612</v>
      </c>
      <c r="S517" s="2" t="s">
        <v>3613</v>
      </c>
      <c r="T517" s="2" t="s">
        <v>3614</v>
      </c>
      <c r="U517" s="2" t="s">
        <v>3615</v>
      </c>
      <c r="V517" s="23" t="s">
        <v>3616</v>
      </c>
      <c r="W517" s="24" t="s">
        <v>3617</v>
      </c>
      <c r="X517" s="23" t="s">
        <v>3618</v>
      </c>
      <c r="Y517" s="23" t="s">
        <v>3619</v>
      </c>
      <c r="Z517" s="23" t="s">
        <v>3620</v>
      </c>
      <c r="AA517" s="23" t="s">
        <v>3621</v>
      </c>
    </row>
    <row r="518" spans="1:30" ht="15.5">
      <c r="A518" s="4" t="s">
        <v>132</v>
      </c>
      <c r="B518" s="5">
        <v>2402</v>
      </c>
      <c r="C518" s="6" t="s">
        <v>255</v>
      </c>
      <c r="D518" s="7">
        <v>2023521223</v>
      </c>
      <c r="E518" s="7">
        <v>2301017014</v>
      </c>
      <c r="F518" s="7" t="s">
        <v>1809</v>
      </c>
      <c r="G518" s="7" t="s">
        <v>13</v>
      </c>
      <c r="H518" s="6" t="s">
        <v>256</v>
      </c>
      <c r="I518" s="6" t="s">
        <v>2843</v>
      </c>
      <c r="J518" s="6" t="s">
        <v>2844</v>
      </c>
      <c r="K518" s="6" t="s">
        <v>15</v>
      </c>
      <c r="L518" s="6" t="s">
        <v>21</v>
      </c>
      <c r="M518" s="6" t="s">
        <v>16</v>
      </c>
      <c r="N518" s="7" t="s">
        <v>18</v>
      </c>
      <c r="O518" s="23" t="s">
        <v>3611</v>
      </c>
      <c r="R518" s="23" t="s">
        <v>3612</v>
      </c>
      <c r="S518" s="2" t="s">
        <v>3613</v>
      </c>
      <c r="T518" s="2" t="s">
        <v>3614</v>
      </c>
      <c r="U518" s="2" t="s">
        <v>3615</v>
      </c>
      <c r="V518" s="23" t="s">
        <v>3616</v>
      </c>
      <c r="W518" s="24" t="s">
        <v>3617</v>
      </c>
      <c r="X518" s="23" t="s">
        <v>3618</v>
      </c>
      <c r="Y518" s="23" t="s">
        <v>3619</v>
      </c>
      <c r="Z518" s="23" t="s">
        <v>3620</v>
      </c>
      <c r="AA518" s="23" t="s">
        <v>3621</v>
      </c>
    </row>
    <row r="519" spans="1:30" ht="15.75" customHeight="1">
      <c r="A519" s="4" t="s">
        <v>1128</v>
      </c>
      <c r="B519" s="5">
        <v>2402</v>
      </c>
      <c r="C519" s="6" t="s">
        <v>1134</v>
      </c>
      <c r="D519" s="7">
        <v>2022003160</v>
      </c>
      <c r="E519" s="7">
        <v>2201010002</v>
      </c>
      <c r="F519" s="7" t="s">
        <v>1811</v>
      </c>
      <c r="G519" s="7" t="s">
        <v>13</v>
      </c>
      <c r="H519" s="6" t="s">
        <v>1135</v>
      </c>
      <c r="I519" s="6" t="s">
        <v>2845</v>
      </c>
      <c r="J519" s="6" t="s">
        <v>2846</v>
      </c>
      <c r="K519" s="6" t="s">
        <v>532</v>
      </c>
      <c r="L519" s="6" t="s">
        <v>26</v>
      </c>
      <c r="M519" s="6" t="s">
        <v>104</v>
      </c>
      <c r="N519" s="7" t="s">
        <v>18</v>
      </c>
      <c r="O519" s="23" t="s">
        <v>3622</v>
      </c>
      <c r="P519" s="23" t="s">
        <v>3623</v>
      </c>
      <c r="Q519" s="23" t="s">
        <v>3624</v>
      </c>
      <c r="R519" s="23" t="s">
        <v>3612</v>
      </c>
      <c r="S519" s="2" t="s">
        <v>3613</v>
      </c>
      <c r="T519" s="2" t="s">
        <v>3614</v>
      </c>
      <c r="U519" s="2" t="s">
        <v>3615</v>
      </c>
      <c r="V519" s="23" t="s">
        <v>3616</v>
      </c>
      <c r="W519" s="24" t="s">
        <v>3617</v>
      </c>
      <c r="X519" s="23" t="s">
        <v>3618</v>
      </c>
      <c r="Y519" s="23" t="s">
        <v>3620</v>
      </c>
      <c r="Z519" s="23" t="s">
        <v>3621</v>
      </c>
      <c r="AA519" s="23" t="s">
        <v>3625</v>
      </c>
      <c r="AB519" s="8"/>
      <c r="AC519" s="8"/>
      <c r="AD519" s="8"/>
    </row>
    <row r="520" spans="1:30" ht="15.75" customHeight="1">
      <c r="A520" s="4" t="s">
        <v>1128</v>
      </c>
      <c r="B520" s="5">
        <v>2402</v>
      </c>
      <c r="C520" s="6" t="s">
        <v>1205</v>
      </c>
      <c r="D520" s="7">
        <v>2022486764</v>
      </c>
      <c r="E520" s="7">
        <v>2201010004</v>
      </c>
      <c r="F520" s="7" t="s">
        <v>1811</v>
      </c>
      <c r="G520" s="7" t="s">
        <v>13</v>
      </c>
      <c r="H520" s="6" t="s">
        <v>1206</v>
      </c>
      <c r="I520" s="6" t="s">
        <v>2847</v>
      </c>
      <c r="J520" s="6" t="s">
        <v>2848</v>
      </c>
      <c r="K520" s="6" t="s">
        <v>532</v>
      </c>
      <c r="L520" s="6" t="s">
        <v>26</v>
      </c>
      <c r="M520" s="6" t="s">
        <v>104</v>
      </c>
      <c r="N520" s="7" t="s">
        <v>18</v>
      </c>
      <c r="O520" s="23" t="s">
        <v>3622</v>
      </c>
      <c r="P520" s="23" t="s">
        <v>3623</v>
      </c>
      <c r="Q520" s="23" t="s">
        <v>3624</v>
      </c>
      <c r="R520" s="23" t="s">
        <v>3612</v>
      </c>
      <c r="S520" s="2" t="s">
        <v>3613</v>
      </c>
      <c r="T520" s="2" t="s">
        <v>3614</v>
      </c>
      <c r="U520" s="2" t="s">
        <v>3615</v>
      </c>
      <c r="V520" s="23" t="s">
        <v>3616</v>
      </c>
      <c r="W520" s="24" t="s">
        <v>3617</v>
      </c>
      <c r="X520" s="23" t="s">
        <v>3618</v>
      </c>
      <c r="Y520" s="23" t="s">
        <v>3620</v>
      </c>
      <c r="Z520" s="23" t="s">
        <v>3621</v>
      </c>
      <c r="AA520" s="23" t="s">
        <v>3625</v>
      </c>
      <c r="AB520" s="8"/>
      <c r="AC520" s="8"/>
      <c r="AD520" s="8"/>
    </row>
    <row r="521" spans="1:30" ht="15.75" customHeight="1">
      <c r="A521" s="4" t="s">
        <v>1128</v>
      </c>
      <c r="B521" s="5">
        <v>2402</v>
      </c>
      <c r="C521" s="6" t="s">
        <v>1245</v>
      </c>
      <c r="D521" s="7">
        <v>2022380686</v>
      </c>
      <c r="E521" s="7">
        <v>2201010011</v>
      </c>
      <c r="F521" s="7" t="s">
        <v>1811</v>
      </c>
      <c r="G521" s="7" t="s">
        <v>13</v>
      </c>
      <c r="H521" s="6" t="s">
        <v>1246</v>
      </c>
      <c r="I521" s="6" t="s">
        <v>2849</v>
      </c>
      <c r="J521" s="6" t="s">
        <v>2850</v>
      </c>
      <c r="K521" s="6" t="s">
        <v>532</v>
      </c>
      <c r="L521" s="6" t="s">
        <v>21</v>
      </c>
      <c r="M521" s="6" t="s">
        <v>26</v>
      </c>
      <c r="N521" s="7" t="s">
        <v>18</v>
      </c>
      <c r="O521" s="23" t="s">
        <v>3622</v>
      </c>
      <c r="P521" s="23" t="s">
        <v>3623</v>
      </c>
      <c r="Q521" s="23" t="s">
        <v>3624</v>
      </c>
      <c r="R521" s="23" t="s">
        <v>3612</v>
      </c>
      <c r="S521" s="2" t="s">
        <v>3613</v>
      </c>
      <c r="T521" s="2" t="s">
        <v>3614</v>
      </c>
      <c r="U521" s="2" t="s">
        <v>3615</v>
      </c>
      <c r="V521" s="23" t="s">
        <v>3616</v>
      </c>
      <c r="W521" s="24" t="s">
        <v>3617</v>
      </c>
      <c r="X521" s="23" t="s">
        <v>3618</v>
      </c>
      <c r="Y521" s="23" t="s">
        <v>3620</v>
      </c>
      <c r="Z521" s="23" t="s">
        <v>3621</v>
      </c>
      <c r="AA521" s="23" t="s">
        <v>3625</v>
      </c>
      <c r="AB521" s="8"/>
      <c r="AC521" s="8"/>
      <c r="AD521" s="8"/>
    </row>
    <row r="522" spans="1:30" ht="15.75" customHeight="1">
      <c r="A522" s="4" t="s">
        <v>1128</v>
      </c>
      <c r="B522" s="5">
        <v>2402</v>
      </c>
      <c r="C522" s="6" t="s">
        <v>1221</v>
      </c>
      <c r="D522" s="7">
        <v>2022516040</v>
      </c>
      <c r="E522" s="7">
        <v>2201010020</v>
      </c>
      <c r="F522" s="7" t="s">
        <v>1811</v>
      </c>
      <c r="G522" s="7" t="s">
        <v>13</v>
      </c>
      <c r="H522" s="6" t="s">
        <v>1222</v>
      </c>
      <c r="I522" s="6" t="s">
        <v>2851</v>
      </c>
      <c r="J522" s="6" t="s">
        <v>2852</v>
      </c>
      <c r="K522" s="6" t="s">
        <v>532</v>
      </c>
      <c r="L522" s="6" t="s">
        <v>21</v>
      </c>
      <c r="M522" s="6" t="s">
        <v>26</v>
      </c>
      <c r="N522" s="7" t="s">
        <v>18</v>
      </c>
      <c r="O522" s="23" t="s">
        <v>3622</v>
      </c>
      <c r="P522" s="23" t="s">
        <v>3623</v>
      </c>
      <c r="Q522" s="23" t="s">
        <v>3624</v>
      </c>
      <c r="R522" s="23" t="s">
        <v>3612</v>
      </c>
      <c r="S522" s="2" t="s">
        <v>3613</v>
      </c>
      <c r="T522" s="2" t="s">
        <v>3614</v>
      </c>
      <c r="U522" s="2" t="s">
        <v>3615</v>
      </c>
      <c r="V522" s="23" t="s">
        <v>3616</v>
      </c>
      <c r="W522" s="24" t="s">
        <v>3617</v>
      </c>
      <c r="X522" s="23" t="s">
        <v>3618</v>
      </c>
      <c r="Y522" s="23" t="s">
        <v>3620</v>
      </c>
      <c r="Z522" s="23" t="s">
        <v>3621</v>
      </c>
      <c r="AA522" s="23" t="s">
        <v>3625</v>
      </c>
      <c r="AB522" s="8"/>
      <c r="AC522" s="8"/>
      <c r="AD522" s="8"/>
    </row>
    <row r="523" spans="1:30" ht="15.75" customHeight="1">
      <c r="A523" s="4" t="s">
        <v>1128</v>
      </c>
      <c r="B523" s="5">
        <v>2402</v>
      </c>
      <c r="C523" s="6" t="s">
        <v>1167</v>
      </c>
      <c r="D523" s="7">
        <v>2022354445</v>
      </c>
      <c r="E523" s="7">
        <v>2201010021</v>
      </c>
      <c r="F523" s="7" t="s">
        <v>1811</v>
      </c>
      <c r="G523" s="7" t="s">
        <v>13</v>
      </c>
      <c r="H523" s="6" t="s">
        <v>1168</v>
      </c>
      <c r="I523" s="6" t="s">
        <v>2853</v>
      </c>
      <c r="J523" s="6" t="s">
        <v>2854</v>
      </c>
      <c r="K523" s="6" t="s">
        <v>532</v>
      </c>
      <c r="L523" s="6" t="s">
        <v>26</v>
      </c>
      <c r="M523" s="6" t="s">
        <v>104</v>
      </c>
      <c r="N523" s="7" t="s">
        <v>18</v>
      </c>
      <c r="O523" s="23" t="s">
        <v>3622</v>
      </c>
      <c r="P523" s="23" t="s">
        <v>3623</v>
      </c>
      <c r="Q523" s="23" t="s">
        <v>3624</v>
      </c>
      <c r="R523" s="23" t="s">
        <v>3612</v>
      </c>
      <c r="S523" s="2" t="s">
        <v>3613</v>
      </c>
      <c r="T523" s="2" t="s">
        <v>3614</v>
      </c>
      <c r="U523" s="2" t="s">
        <v>3615</v>
      </c>
      <c r="V523" s="23" t="s">
        <v>3616</v>
      </c>
      <c r="W523" s="24" t="s">
        <v>3617</v>
      </c>
      <c r="X523" s="23" t="s">
        <v>3618</v>
      </c>
      <c r="Y523" s="23" t="s">
        <v>3620</v>
      </c>
      <c r="Z523" s="23" t="s">
        <v>3621</v>
      </c>
      <c r="AA523" s="23" t="s">
        <v>3625</v>
      </c>
      <c r="AB523" s="8"/>
      <c r="AC523" s="8"/>
      <c r="AD523" s="8"/>
    </row>
    <row r="524" spans="1:30" ht="15.75" customHeight="1">
      <c r="A524" s="4" t="s">
        <v>1128</v>
      </c>
      <c r="B524" s="5">
        <v>2402</v>
      </c>
      <c r="C524" s="6" t="s">
        <v>1197</v>
      </c>
      <c r="D524" s="7">
        <v>2022460612</v>
      </c>
      <c r="E524" s="7">
        <v>2201010026</v>
      </c>
      <c r="F524" s="7" t="s">
        <v>1811</v>
      </c>
      <c r="G524" s="7" t="s">
        <v>13</v>
      </c>
      <c r="H524" s="6" t="s">
        <v>1198</v>
      </c>
      <c r="I524" s="6" t="s">
        <v>2855</v>
      </c>
      <c r="J524" s="6" t="s">
        <v>2856</v>
      </c>
      <c r="K524" s="6" t="s">
        <v>532</v>
      </c>
      <c r="L524" s="6" t="e">
        <v>#N/A</v>
      </c>
      <c r="M524" s="6" t="e">
        <v>#N/A</v>
      </c>
      <c r="N524" s="7" t="e">
        <v>#N/A</v>
      </c>
      <c r="O524" s="23" t="s">
        <v>3622</v>
      </c>
      <c r="P524" s="23" t="s">
        <v>3623</v>
      </c>
      <c r="Q524" s="23" t="s">
        <v>3624</v>
      </c>
      <c r="R524" s="23" t="s">
        <v>3612</v>
      </c>
      <c r="S524" s="2" t="s">
        <v>3613</v>
      </c>
      <c r="T524" s="2" t="s">
        <v>3614</v>
      </c>
      <c r="U524" s="2" t="s">
        <v>3615</v>
      </c>
      <c r="V524" s="23" t="s">
        <v>3616</v>
      </c>
      <c r="W524" s="24" t="s">
        <v>3617</v>
      </c>
      <c r="X524" s="23" t="s">
        <v>3618</v>
      </c>
      <c r="Y524" s="23" t="s">
        <v>3620</v>
      </c>
      <c r="Z524" s="23" t="s">
        <v>3621</v>
      </c>
      <c r="AA524" s="23" t="s">
        <v>3625</v>
      </c>
      <c r="AB524" s="8"/>
      <c r="AC524" s="8"/>
      <c r="AD524" s="8"/>
    </row>
    <row r="525" spans="1:30" ht="15.75" customHeight="1">
      <c r="A525" s="4" t="s">
        <v>1128</v>
      </c>
      <c r="B525" s="5">
        <v>2402</v>
      </c>
      <c r="C525" s="6" t="s">
        <v>1189</v>
      </c>
      <c r="D525" s="7">
        <v>2022445444</v>
      </c>
      <c r="E525" s="7">
        <v>2201010028</v>
      </c>
      <c r="F525" s="7" t="s">
        <v>1811</v>
      </c>
      <c r="G525" s="7" t="s">
        <v>13</v>
      </c>
      <c r="H525" s="6" t="s">
        <v>1190</v>
      </c>
      <c r="I525" s="6" t="s">
        <v>2857</v>
      </c>
      <c r="J525" s="6" t="s">
        <v>2858</v>
      </c>
      <c r="K525" s="6" t="s">
        <v>532</v>
      </c>
      <c r="L525" s="6" t="s">
        <v>26</v>
      </c>
      <c r="M525" s="6" t="s">
        <v>117</v>
      </c>
      <c r="N525" s="7" t="s">
        <v>18</v>
      </c>
      <c r="O525" s="23" t="s">
        <v>3622</v>
      </c>
      <c r="P525" s="23" t="s">
        <v>3623</v>
      </c>
      <c r="Q525" s="23" t="s">
        <v>3624</v>
      </c>
      <c r="R525" s="23" t="s">
        <v>3612</v>
      </c>
      <c r="S525" s="2" t="s">
        <v>3613</v>
      </c>
      <c r="T525" s="2" t="s">
        <v>3614</v>
      </c>
      <c r="U525" s="2" t="s">
        <v>3615</v>
      </c>
      <c r="V525" s="23" t="s">
        <v>3616</v>
      </c>
      <c r="W525" s="24" t="s">
        <v>3617</v>
      </c>
      <c r="X525" s="23" t="s">
        <v>3618</v>
      </c>
      <c r="Y525" s="23" t="s">
        <v>3620</v>
      </c>
      <c r="Z525" s="23" t="s">
        <v>3621</v>
      </c>
      <c r="AA525" s="23" t="s">
        <v>3625</v>
      </c>
      <c r="AB525" s="8"/>
      <c r="AC525" s="8"/>
      <c r="AD525" s="8"/>
    </row>
    <row r="526" spans="1:30" ht="15.75" customHeight="1">
      <c r="A526" s="4" t="s">
        <v>1128</v>
      </c>
      <c r="B526" s="5">
        <v>2402</v>
      </c>
      <c r="C526" s="6" t="s">
        <v>1209</v>
      </c>
      <c r="D526" s="7">
        <v>2022489115</v>
      </c>
      <c r="E526" s="7">
        <v>2201010036</v>
      </c>
      <c r="F526" s="7" t="s">
        <v>1811</v>
      </c>
      <c r="G526" s="7" t="s">
        <v>13</v>
      </c>
      <c r="H526" s="6" t="s">
        <v>1210</v>
      </c>
      <c r="I526" s="6" t="s">
        <v>2859</v>
      </c>
      <c r="J526" s="6" t="s">
        <v>2860</v>
      </c>
      <c r="K526" s="6" t="s">
        <v>532</v>
      </c>
      <c r="L526" s="6" t="s">
        <v>26</v>
      </c>
      <c r="M526" s="6" t="s">
        <v>17</v>
      </c>
      <c r="N526" s="7" t="s">
        <v>18</v>
      </c>
      <c r="O526" s="23" t="s">
        <v>3622</v>
      </c>
      <c r="P526" s="23" t="s">
        <v>3623</v>
      </c>
      <c r="Q526" s="23" t="s">
        <v>3624</v>
      </c>
      <c r="R526" s="23" t="s">
        <v>3612</v>
      </c>
      <c r="S526" s="2" t="s">
        <v>3613</v>
      </c>
      <c r="T526" s="2" t="s">
        <v>3614</v>
      </c>
      <c r="U526" s="2" t="s">
        <v>3615</v>
      </c>
      <c r="V526" s="23" t="s">
        <v>3616</v>
      </c>
      <c r="W526" s="24" t="s">
        <v>3617</v>
      </c>
      <c r="X526" s="23" t="s">
        <v>3618</v>
      </c>
      <c r="Y526" s="23" t="s">
        <v>3620</v>
      </c>
      <c r="Z526" s="23" t="s">
        <v>3621</v>
      </c>
      <c r="AA526" s="23" t="s">
        <v>3625</v>
      </c>
      <c r="AB526" s="8"/>
      <c r="AC526" s="8"/>
      <c r="AD526" s="8"/>
    </row>
    <row r="527" spans="1:30" ht="15.75" customHeight="1">
      <c r="A527" s="4" t="s">
        <v>1128</v>
      </c>
      <c r="B527" s="5">
        <v>2402</v>
      </c>
      <c r="C527" s="6" t="s">
        <v>1249</v>
      </c>
      <c r="D527" s="7">
        <v>2022508637</v>
      </c>
      <c r="E527" s="7">
        <v>2201010060</v>
      </c>
      <c r="F527" s="7" t="s">
        <v>1811</v>
      </c>
      <c r="G527" s="7" t="s">
        <v>13</v>
      </c>
      <c r="H527" s="6" t="s">
        <v>1250</v>
      </c>
      <c r="I527" s="6" t="s">
        <v>2861</v>
      </c>
      <c r="J527" s="6" t="s">
        <v>2862</v>
      </c>
      <c r="K527" s="6" t="s">
        <v>532</v>
      </c>
      <c r="L527" s="6" t="s">
        <v>21</v>
      </c>
      <c r="M527" s="6" t="s">
        <v>26</v>
      </c>
      <c r="N527" s="7" t="s">
        <v>18</v>
      </c>
      <c r="O527" s="23" t="s">
        <v>3622</v>
      </c>
      <c r="P527" s="23" t="s">
        <v>3623</v>
      </c>
      <c r="Q527" s="23" t="s">
        <v>3624</v>
      </c>
      <c r="R527" s="23" t="s">
        <v>3612</v>
      </c>
      <c r="S527" s="2" t="s">
        <v>3613</v>
      </c>
      <c r="T527" s="2" t="s">
        <v>3614</v>
      </c>
      <c r="U527" s="2" t="s">
        <v>3615</v>
      </c>
      <c r="V527" s="23" t="s">
        <v>3616</v>
      </c>
      <c r="W527" s="24" t="s">
        <v>3617</v>
      </c>
      <c r="X527" s="23" t="s">
        <v>3618</v>
      </c>
      <c r="Y527" s="23" t="s">
        <v>3620</v>
      </c>
      <c r="Z527" s="23" t="s">
        <v>3621</v>
      </c>
      <c r="AA527" s="23" t="s">
        <v>3625</v>
      </c>
      <c r="AB527" s="8"/>
      <c r="AC527" s="8"/>
      <c r="AD527" s="8"/>
    </row>
    <row r="528" spans="1:30" ht="15.75" customHeight="1">
      <c r="A528" s="4" t="s">
        <v>1128</v>
      </c>
      <c r="B528" s="5">
        <v>2402</v>
      </c>
      <c r="C528" s="6" t="s">
        <v>1132</v>
      </c>
      <c r="D528" s="7">
        <v>2022002974</v>
      </c>
      <c r="E528" s="7">
        <v>2201010074</v>
      </c>
      <c r="F528" s="7" t="s">
        <v>1811</v>
      </c>
      <c r="G528" s="7" t="s">
        <v>13</v>
      </c>
      <c r="H528" s="6" t="s">
        <v>1133</v>
      </c>
      <c r="I528" s="6" t="s">
        <v>2863</v>
      </c>
      <c r="J528" s="6" t="s">
        <v>2864</v>
      </c>
      <c r="K528" s="6" t="s">
        <v>532</v>
      </c>
      <c r="L528" s="6" t="s">
        <v>26</v>
      </c>
      <c r="M528" s="6" t="s">
        <v>21</v>
      </c>
      <c r="N528" s="7" t="s">
        <v>18</v>
      </c>
      <c r="O528" s="23" t="s">
        <v>3622</v>
      </c>
      <c r="P528" s="23" t="s">
        <v>3623</v>
      </c>
      <c r="Q528" s="23" t="s">
        <v>3624</v>
      </c>
      <c r="R528" s="23" t="s">
        <v>3612</v>
      </c>
      <c r="S528" s="2" t="s">
        <v>3613</v>
      </c>
      <c r="T528" s="2" t="s">
        <v>3614</v>
      </c>
      <c r="U528" s="2" t="s">
        <v>3615</v>
      </c>
      <c r="V528" s="23" t="s">
        <v>3616</v>
      </c>
      <c r="W528" s="24" t="s">
        <v>3617</v>
      </c>
      <c r="X528" s="23" t="s">
        <v>3618</v>
      </c>
      <c r="Y528" s="23" t="s">
        <v>3620</v>
      </c>
      <c r="Z528" s="23" t="s">
        <v>3621</v>
      </c>
      <c r="AA528" s="23" t="s">
        <v>3625</v>
      </c>
    </row>
    <row r="529" spans="1:27" ht="15.75" customHeight="1">
      <c r="A529" s="4" t="s">
        <v>1128</v>
      </c>
      <c r="B529" s="5">
        <v>2402</v>
      </c>
      <c r="C529" s="6" t="s">
        <v>1177</v>
      </c>
      <c r="D529" s="7">
        <v>2022405043</v>
      </c>
      <c r="E529" s="7">
        <v>2201010112</v>
      </c>
      <c r="F529" s="7" t="s">
        <v>1811</v>
      </c>
      <c r="G529" s="7" t="s">
        <v>13</v>
      </c>
      <c r="H529" s="6" t="s">
        <v>1178</v>
      </c>
      <c r="I529" s="6" t="s">
        <v>2865</v>
      </c>
      <c r="J529" s="6" t="s">
        <v>2866</v>
      </c>
      <c r="K529" s="6" t="s">
        <v>532</v>
      </c>
      <c r="L529" s="6" t="s">
        <v>17</v>
      </c>
      <c r="M529" s="6" t="s">
        <v>26</v>
      </c>
      <c r="N529" s="7" t="s">
        <v>18</v>
      </c>
      <c r="O529" s="23" t="s">
        <v>3622</v>
      </c>
      <c r="P529" s="23" t="s">
        <v>3623</v>
      </c>
      <c r="Q529" s="23" t="s">
        <v>3624</v>
      </c>
      <c r="R529" s="23" t="s">
        <v>3612</v>
      </c>
      <c r="S529" s="2" t="s">
        <v>3613</v>
      </c>
      <c r="T529" s="2" t="s">
        <v>3614</v>
      </c>
      <c r="U529" s="2" t="s">
        <v>3615</v>
      </c>
      <c r="V529" s="23" t="s">
        <v>3616</v>
      </c>
      <c r="W529" s="24" t="s">
        <v>3617</v>
      </c>
      <c r="X529" s="23" t="s">
        <v>3618</v>
      </c>
      <c r="Y529" s="23" t="s">
        <v>3620</v>
      </c>
      <c r="Z529" s="23" t="s">
        <v>3621</v>
      </c>
      <c r="AA529" s="23" t="s">
        <v>3625</v>
      </c>
    </row>
    <row r="530" spans="1:27" ht="15.75" customHeight="1">
      <c r="A530" s="4" t="s">
        <v>1128</v>
      </c>
      <c r="B530" s="5">
        <v>2402</v>
      </c>
      <c r="C530" s="6" t="s">
        <v>1191</v>
      </c>
      <c r="D530" s="7">
        <v>2022445607</v>
      </c>
      <c r="E530" s="7">
        <v>2201010136</v>
      </c>
      <c r="F530" s="7" t="s">
        <v>1811</v>
      </c>
      <c r="G530" s="7" t="s">
        <v>13</v>
      </c>
      <c r="H530" s="6" t="s">
        <v>1192</v>
      </c>
      <c r="I530" s="6" t="s">
        <v>2867</v>
      </c>
      <c r="J530" s="6" t="s">
        <v>2868</v>
      </c>
      <c r="K530" s="6" t="s">
        <v>532</v>
      </c>
      <c r="L530" s="6" t="s">
        <v>104</v>
      </c>
      <c r="M530" s="6" t="s">
        <v>21</v>
      </c>
      <c r="N530" s="7" t="s">
        <v>18</v>
      </c>
      <c r="O530" s="23" t="s">
        <v>3622</v>
      </c>
      <c r="P530" s="23" t="s">
        <v>3623</v>
      </c>
      <c r="Q530" s="23" t="s">
        <v>3624</v>
      </c>
      <c r="R530" s="23" t="s">
        <v>3612</v>
      </c>
      <c r="S530" s="2" t="s">
        <v>3613</v>
      </c>
      <c r="T530" s="2" t="s">
        <v>3614</v>
      </c>
      <c r="U530" s="2" t="s">
        <v>3615</v>
      </c>
      <c r="V530" s="23" t="s">
        <v>3616</v>
      </c>
      <c r="W530" s="24" t="s">
        <v>3617</v>
      </c>
      <c r="X530" s="23" t="s">
        <v>3618</v>
      </c>
      <c r="Y530" s="23" t="s">
        <v>3620</v>
      </c>
      <c r="Z530" s="23" t="s">
        <v>3621</v>
      </c>
      <c r="AA530" s="23" t="s">
        <v>3625</v>
      </c>
    </row>
    <row r="531" spans="1:27" ht="15.75" customHeight="1">
      <c r="A531" s="4" t="s">
        <v>1128</v>
      </c>
      <c r="B531" s="5">
        <v>2402</v>
      </c>
      <c r="C531" s="6" t="s">
        <v>1144</v>
      </c>
      <c r="D531" s="7">
        <v>2022005224</v>
      </c>
      <c r="E531" s="7">
        <v>2201010158</v>
      </c>
      <c r="F531" s="7" t="s">
        <v>1811</v>
      </c>
      <c r="G531" s="7" t="s">
        <v>13</v>
      </c>
      <c r="H531" s="6" t="s">
        <v>1145</v>
      </c>
      <c r="I531" s="6" t="s">
        <v>2869</v>
      </c>
      <c r="J531" s="6" t="s">
        <v>2870</v>
      </c>
      <c r="K531" s="6" t="s">
        <v>532</v>
      </c>
      <c r="L531" s="6" t="s">
        <v>26</v>
      </c>
      <c r="M531" s="6" t="s">
        <v>104</v>
      </c>
      <c r="N531" s="7" t="s">
        <v>18</v>
      </c>
      <c r="O531" s="23" t="s">
        <v>3622</v>
      </c>
      <c r="P531" s="23" t="s">
        <v>3623</v>
      </c>
      <c r="Q531" s="23" t="s">
        <v>3624</v>
      </c>
      <c r="R531" s="23" t="s">
        <v>3612</v>
      </c>
      <c r="S531" s="2" t="s">
        <v>3613</v>
      </c>
      <c r="T531" s="2" t="s">
        <v>3614</v>
      </c>
      <c r="U531" s="2" t="s">
        <v>3615</v>
      </c>
      <c r="V531" s="23" t="s">
        <v>3616</v>
      </c>
      <c r="W531" s="24" t="s">
        <v>3617</v>
      </c>
      <c r="X531" s="23" t="s">
        <v>3618</v>
      </c>
      <c r="Y531" s="23" t="s">
        <v>3620</v>
      </c>
      <c r="Z531" s="23" t="s">
        <v>3621</v>
      </c>
      <c r="AA531" s="23" t="s">
        <v>3625</v>
      </c>
    </row>
    <row r="532" spans="1:27" ht="15.75" customHeight="1">
      <c r="A532" s="4" t="s">
        <v>1128</v>
      </c>
      <c r="B532" s="5">
        <v>2402</v>
      </c>
      <c r="C532" s="6" t="s">
        <v>1243</v>
      </c>
      <c r="D532" s="7">
        <v>2022002716</v>
      </c>
      <c r="E532" s="7">
        <v>2201010165</v>
      </c>
      <c r="F532" s="7" t="s">
        <v>1811</v>
      </c>
      <c r="G532" s="7" t="s">
        <v>13</v>
      </c>
      <c r="H532" s="6" t="s">
        <v>1244</v>
      </c>
      <c r="I532" s="6" t="s">
        <v>2871</v>
      </c>
      <c r="J532" s="6" t="s">
        <v>2872</v>
      </c>
      <c r="K532" s="6" t="s">
        <v>532</v>
      </c>
      <c r="L532" s="6" t="s">
        <v>21</v>
      </c>
      <c r="M532" s="6" t="s">
        <v>104</v>
      </c>
      <c r="N532" s="7" t="s">
        <v>18</v>
      </c>
      <c r="O532" s="23" t="s">
        <v>3622</v>
      </c>
      <c r="P532" s="23" t="s">
        <v>3623</v>
      </c>
      <c r="Q532" s="23" t="s">
        <v>3624</v>
      </c>
      <c r="R532" s="23" t="s">
        <v>3612</v>
      </c>
      <c r="S532" s="2" t="s">
        <v>3613</v>
      </c>
      <c r="T532" s="2" t="s">
        <v>3614</v>
      </c>
      <c r="U532" s="2" t="s">
        <v>3615</v>
      </c>
      <c r="V532" s="23" t="s">
        <v>3616</v>
      </c>
      <c r="W532" s="24" t="s">
        <v>3617</v>
      </c>
      <c r="X532" s="23" t="s">
        <v>3618</v>
      </c>
      <c r="Y532" s="23" t="s">
        <v>3620</v>
      </c>
      <c r="Z532" s="23" t="s">
        <v>3621</v>
      </c>
      <c r="AA532" s="23" t="s">
        <v>3625</v>
      </c>
    </row>
    <row r="533" spans="1:27" ht="15.75" customHeight="1">
      <c r="A533" s="4" t="s">
        <v>1128</v>
      </c>
      <c r="B533" s="5">
        <v>2402</v>
      </c>
      <c r="C533" s="6" t="s">
        <v>1156</v>
      </c>
      <c r="D533" s="7">
        <v>2022305160</v>
      </c>
      <c r="E533" s="7">
        <v>2201010168</v>
      </c>
      <c r="F533" s="7" t="s">
        <v>1811</v>
      </c>
      <c r="G533" s="7" t="s">
        <v>13</v>
      </c>
      <c r="H533" s="6" t="s">
        <v>1157</v>
      </c>
      <c r="I533" s="6" t="s">
        <v>2873</v>
      </c>
      <c r="J533" s="6" t="s">
        <v>2874</v>
      </c>
      <c r="K533" s="6" t="s">
        <v>532</v>
      </c>
      <c r="L533" s="6" t="s">
        <v>21</v>
      </c>
      <c r="M533" s="6" t="s">
        <v>26</v>
      </c>
      <c r="N533" s="7" t="s">
        <v>18</v>
      </c>
      <c r="O533" s="23" t="s">
        <v>3622</v>
      </c>
      <c r="P533" s="23" t="s">
        <v>3623</v>
      </c>
      <c r="Q533" s="23" t="s">
        <v>3624</v>
      </c>
      <c r="R533" s="23" t="s">
        <v>3612</v>
      </c>
      <c r="S533" s="2" t="s">
        <v>3613</v>
      </c>
      <c r="T533" s="2" t="s">
        <v>3614</v>
      </c>
      <c r="U533" s="2" t="s">
        <v>3615</v>
      </c>
      <c r="V533" s="23" t="s">
        <v>3616</v>
      </c>
      <c r="W533" s="24" t="s">
        <v>3617</v>
      </c>
      <c r="X533" s="23" t="s">
        <v>3618</v>
      </c>
      <c r="Y533" s="23" t="s">
        <v>3620</v>
      </c>
      <c r="Z533" s="23" t="s">
        <v>3621</v>
      </c>
      <c r="AA533" s="23" t="s">
        <v>3625</v>
      </c>
    </row>
    <row r="534" spans="1:27" ht="15.75" customHeight="1">
      <c r="A534" s="4" t="s">
        <v>1128</v>
      </c>
      <c r="B534" s="5">
        <v>2402</v>
      </c>
      <c r="C534" s="6" t="s">
        <v>1179</v>
      </c>
      <c r="D534" s="7">
        <v>2022408489</v>
      </c>
      <c r="E534" s="7">
        <v>2201010180</v>
      </c>
      <c r="F534" s="7" t="s">
        <v>1811</v>
      </c>
      <c r="G534" s="7" t="s">
        <v>13</v>
      </c>
      <c r="H534" s="6" t="s">
        <v>1180</v>
      </c>
      <c r="I534" s="6" t="s">
        <v>2875</v>
      </c>
      <c r="J534" s="6" t="s">
        <v>2876</v>
      </c>
      <c r="K534" s="6" t="s">
        <v>532</v>
      </c>
      <c r="L534" s="6" t="s">
        <v>26</v>
      </c>
      <c r="M534" s="6" t="s">
        <v>21</v>
      </c>
      <c r="N534" s="7" t="s">
        <v>18</v>
      </c>
      <c r="O534" s="23" t="s">
        <v>3622</v>
      </c>
      <c r="P534" s="23" t="s">
        <v>3623</v>
      </c>
      <c r="Q534" s="23" t="s">
        <v>3624</v>
      </c>
      <c r="R534" s="23" t="s">
        <v>3612</v>
      </c>
      <c r="S534" s="2" t="s">
        <v>3613</v>
      </c>
      <c r="T534" s="2" t="s">
        <v>3614</v>
      </c>
      <c r="U534" s="2" t="s">
        <v>3615</v>
      </c>
      <c r="V534" s="23" t="s">
        <v>3616</v>
      </c>
      <c r="W534" s="24" t="s">
        <v>3617</v>
      </c>
      <c r="X534" s="23" t="s">
        <v>3618</v>
      </c>
      <c r="Y534" s="23" t="s">
        <v>3620</v>
      </c>
      <c r="Z534" s="23" t="s">
        <v>3621</v>
      </c>
      <c r="AA534" s="23" t="s">
        <v>3625</v>
      </c>
    </row>
    <row r="535" spans="1:27" ht="15.75" customHeight="1">
      <c r="A535" s="4" t="s">
        <v>1128</v>
      </c>
      <c r="B535" s="5">
        <v>2402</v>
      </c>
      <c r="C535" s="6" t="s">
        <v>1171</v>
      </c>
      <c r="D535" s="7">
        <v>2022360947</v>
      </c>
      <c r="E535" s="7">
        <v>2201010200</v>
      </c>
      <c r="F535" s="7" t="s">
        <v>1811</v>
      </c>
      <c r="G535" s="7" t="s">
        <v>13</v>
      </c>
      <c r="H535" s="6" t="s">
        <v>1172</v>
      </c>
      <c r="I535" s="6" t="s">
        <v>2877</v>
      </c>
      <c r="J535" s="6" t="s">
        <v>2878</v>
      </c>
      <c r="K535" s="6" t="s">
        <v>532</v>
      </c>
      <c r="L535" s="6" t="s">
        <v>26</v>
      </c>
      <c r="M535" s="6" t="s">
        <v>17</v>
      </c>
      <c r="N535" s="7" t="s">
        <v>18</v>
      </c>
      <c r="O535" s="23" t="s">
        <v>3622</v>
      </c>
      <c r="P535" s="23" t="s">
        <v>3623</v>
      </c>
      <c r="Q535" s="23" t="s">
        <v>3624</v>
      </c>
      <c r="R535" s="23" t="s">
        <v>3612</v>
      </c>
      <c r="S535" s="2" t="s">
        <v>3613</v>
      </c>
      <c r="T535" s="2" t="s">
        <v>3614</v>
      </c>
      <c r="U535" s="2" t="s">
        <v>3615</v>
      </c>
      <c r="V535" s="23" t="s">
        <v>3616</v>
      </c>
      <c r="W535" s="24" t="s">
        <v>3617</v>
      </c>
      <c r="X535" s="23" t="s">
        <v>3618</v>
      </c>
      <c r="Y535" s="23" t="s">
        <v>3620</v>
      </c>
      <c r="Z535" s="23" t="s">
        <v>3621</v>
      </c>
      <c r="AA535" s="23" t="s">
        <v>3625</v>
      </c>
    </row>
    <row r="536" spans="1:27" ht="15.75" customHeight="1">
      <c r="A536" s="4" t="s">
        <v>1128</v>
      </c>
      <c r="B536" s="5">
        <v>2402</v>
      </c>
      <c r="C536" s="6" t="s">
        <v>1223</v>
      </c>
      <c r="D536" s="7">
        <v>2022520080</v>
      </c>
      <c r="E536" s="7">
        <v>2201010206</v>
      </c>
      <c r="F536" s="7" t="s">
        <v>1811</v>
      </c>
      <c r="G536" s="7" t="s">
        <v>13</v>
      </c>
      <c r="H536" s="6" t="s">
        <v>1224</v>
      </c>
      <c r="I536" s="6" t="s">
        <v>2879</v>
      </c>
      <c r="J536" s="6" t="s">
        <v>2880</v>
      </c>
      <c r="K536" s="6" t="s">
        <v>532</v>
      </c>
      <c r="L536" s="6" t="s">
        <v>21</v>
      </c>
      <c r="M536" s="6" t="s">
        <v>16</v>
      </c>
      <c r="N536" s="7" t="s">
        <v>18</v>
      </c>
      <c r="O536" s="23" t="s">
        <v>3622</v>
      </c>
      <c r="P536" s="23" t="s">
        <v>3623</v>
      </c>
      <c r="Q536" s="23" t="s">
        <v>3624</v>
      </c>
      <c r="R536" s="23" t="s">
        <v>3612</v>
      </c>
      <c r="S536" s="2" t="s">
        <v>3613</v>
      </c>
      <c r="T536" s="2" t="s">
        <v>3614</v>
      </c>
      <c r="U536" s="2" t="s">
        <v>3615</v>
      </c>
      <c r="V536" s="23" t="s">
        <v>3616</v>
      </c>
      <c r="W536" s="24" t="s">
        <v>3617</v>
      </c>
      <c r="X536" s="23" t="s">
        <v>3618</v>
      </c>
      <c r="Y536" s="23" t="s">
        <v>3620</v>
      </c>
      <c r="Z536" s="23" t="s">
        <v>3621</v>
      </c>
      <c r="AA536" s="23" t="s">
        <v>3625</v>
      </c>
    </row>
    <row r="537" spans="1:27" ht="15.75" customHeight="1">
      <c r="A537" s="4" t="s">
        <v>1128</v>
      </c>
      <c r="B537" s="5">
        <v>2402</v>
      </c>
      <c r="C537" s="6" t="s">
        <v>1207</v>
      </c>
      <c r="D537" s="7">
        <v>2022487026</v>
      </c>
      <c r="E537" s="7">
        <v>2201010216</v>
      </c>
      <c r="F537" s="7" t="s">
        <v>1811</v>
      </c>
      <c r="G537" s="7" t="s">
        <v>13</v>
      </c>
      <c r="H537" s="6" t="s">
        <v>1208</v>
      </c>
      <c r="I537" s="6" t="s">
        <v>2881</v>
      </c>
      <c r="J537" s="6" t="s">
        <v>2882</v>
      </c>
      <c r="K537" s="6" t="s">
        <v>532</v>
      </c>
      <c r="L537" s="6" t="s">
        <v>104</v>
      </c>
      <c r="M537" s="6" t="s">
        <v>104</v>
      </c>
      <c r="N537" s="7" t="s">
        <v>18</v>
      </c>
      <c r="O537" s="23" t="s">
        <v>3622</v>
      </c>
      <c r="P537" s="23" t="s">
        <v>3623</v>
      </c>
      <c r="Q537" s="23" t="s">
        <v>3624</v>
      </c>
      <c r="R537" s="23" t="s">
        <v>3612</v>
      </c>
      <c r="S537" s="2" t="s">
        <v>3613</v>
      </c>
      <c r="T537" s="2" t="s">
        <v>3614</v>
      </c>
      <c r="U537" s="2" t="s">
        <v>3615</v>
      </c>
      <c r="V537" s="23" t="s">
        <v>3616</v>
      </c>
      <c r="W537" s="24" t="s">
        <v>3617</v>
      </c>
      <c r="X537" s="23" t="s">
        <v>3618</v>
      </c>
      <c r="Y537" s="23" t="s">
        <v>3620</v>
      </c>
      <c r="Z537" s="23" t="s">
        <v>3621</v>
      </c>
      <c r="AA537" s="23" t="s">
        <v>3625</v>
      </c>
    </row>
    <row r="538" spans="1:27" ht="15.75" customHeight="1">
      <c r="A538" s="4" t="s">
        <v>1128</v>
      </c>
      <c r="B538" s="5">
        <v>2402</v>
      </c>
      <c r="C538" s="6" t="s">
        <v>1165</v>
      </c>
      <c r="D538" s="7">
        <v>2022345074</v>
      </c>
      <c r="E538" s="7">
        <v>2201010223</v>
      </c>
      <c r="F538" s="7" t="s">
        <v>1811</v>
      </c>
      <c r="G538" s="7" t="s">
        <v>13</v>
      </c>
      <c r="H538" s="6" t="s">
        <v>1166</v>
      </c>
      <c r="I538" s="6" t="s">
        <v>2883</v>
      </c>
      <c r="J538" s="6" t="s">
        <v>2884</v>
      </c>
      <c r="K538" s="6" t="s">
        <v>532</v>
      </c>
      <c r="L538" s="6" t="s">
        <v>26</v>
      </c>
      <c r="M538" s="6" t="s">
        <v>21</v>
      </c>
      <c r="N538" s="7" t="s">
        <v>18</v>
      </c>
      <c r="O538" s="23" t="s">
        <v>3622</v>
      </c>
      <c r="P538" s="23" t="s">
        <v>3623</v>
      </c>
      <c r="Q538" s="23" t="s">
        <v>3624</v>
      </c>
      <c r="R538" s="23" t="s">
        <v>3612</v>
      </c>
      <c r="S538" s="2" t="s">
        <v>3613</v>
      </c>
      <c r="T538" s="2" t="s">
        <v>3614</v>
      </c>
      <c r="U538" s="2" t="s">
        <v>3615</v>
      </c>
      <c r="V538" s="23" t="s">
        <v>3616</v>
      </c>
      <c r="W538" s="24" t="s">
        <v>3617</v>
      </c>
      <c r="X538" s="23" t="s">
        <v>3618</v>
      </c>
      <c r="Y538" s="23" t="s">
        <v>3620</v>
      </c>
      <c r="Z538" s="23" t="s">
        <v>3621</v>
      </c>
      <c r="AA538" s="23" t="s">
        <v>3625</v>
      </c>
    </row>
    <row r="539" spans="1:27" ht="15.75" customHeight="1">
      <c r="A539" s="4" t="s">
        <v>1128</v>
      </c>
      <c r="B539" s="5">
        <v>2402</v>
      </c>
      <c r="C539" s="6" t="s">
        <v>1148</v>
      </c>
      <c r="D539" s="7">
        <v>2022005900</v>
      </c>
      <c r="E539" s="7">
        <v>2201010265</v>
      </c>
      <c r="F539" s="7" t="s">
        <v>1811</v>
      </c>
      <c r="G539" s="7" t="s">
        <v>13</v>
      </c>
      <c r="H539" s="6" t="s">
        <v>1149</v>
      </c>
      <c r="I539" s="6" t="s">
        <v>2885</v>
      </c>
      <c r="J539" s="6" t="s">
        <v>2886</v>
      </c>
      <c r="K539" s="6" t="s">
        <v>532</v>
      </c>
      <c r="L539" s="6" t="s">
        <v>149</v>
      </c>
      <c r="M539" s="6" t="s">
        <v>26</v>
      </c>
      <c r="N539" s="7" t="s">
        <v>18</v>
      </c>
      <c r="O539" s="23" t="s">
        <v>3622</v>
      </c>
      <c r="P539" s="23" t="s">
        <v>3623</v>
      </c>
      <c r="Q539" s="23" t="s">
        <v>3624</v>
      </c>
      <c r="R539" s="23" t="s">
        <v>3612</v>
      </c>
      <c r="S539" s="2" t="s">
        <v>3613</v>
      </c>
      <c r="T539" s="2" t="s">
        <v>3614</v>
      </c>
      <c r="U539" s="2" t="s">
        <v>3615</v>
      </c>
      <c r="V539" s="23" t="s">
        <v>3616</v>
      </c>
      <c r="W539" s="24" t="s">
        <v>3617</v>
      </c>
      <c r="X539" s="23" t="s">
        <v>3618</v>
      </c>
      <c r="Y539" s="23" t="s">
        <v>3620</v>
      </c>
      <c r="Z539" s="23" t="s">
        <v>3621</v>
      </c>
      <c r="AA539" s="23" t="s">
        <v>3625</v>
      </c>
    </row>
    <row r="540" spans="1:27" ht="15.75" customHeight="1">
      <c r="A540" s="4" t="s">
        <v>1128</v>
      </c>
      <c r="B540" s="5">
        <v>2402</v>
      </c>
      <c r="C540" s="6" t="s">
        <v>1140</v>
      </c>
      <c r="D540" s="7">
        <v>2022004383</v>
      </c>
      <c r="E540" s="7">
        <v>2201010277</v>
      </c>
      <c r="F540" s="7" t="s">
        <v>1811</v>
      </c>
      <c r="G540" s="7" t="s">
        <v>13</v>
      </c>
      <c r="H540" s="6" t="s">
        <v>1141</v>
      </c>
      <c r="I540" s="6" t="s">
        <v>2887</v>
      </c>
      <c r="J540" s="6" t="s">
        <v>2888</v>
      </c>
      <c r="K540" s="6" t="s">
        <v>532</v>
      </c>
      <c r="L540" s="6" t="s">
        <v>26</v>
      </c>
      <c r="M540" s="6" t="s">
        <v>149</v>
      </c>
      <c r="N540" s="7" t="s">
        <v>18</v>
      </c>
      <c r="O540" s="23" t="s">
        <v>3622</v>
      </c>
      <c r="P540" s="23" t="s">
        <v>3623</v>
      </c>
      <c r="Q540" s="23" t="s">
        <v>3624</v>
      </c>
      <c r="R540" s="23" t="s">
        <v>3612</v>
      </c>
      <c r="S540" s="2" t="s">
        <v>3613</v>
      </c>
      <c r="T540" s="2" t="s">
        <v>3614</v>
      </c>
      <c r="U540" s="2" t="s">
        <v>3615</v>
      </c>
      <c r="V540" s="23" t="s">
        <v>3616</v>
      </c>
      <c r="W540" s="24" t="s">
        <v>3617</v>
      </c>
      <c r="X540" s="23" t="s">
        <v>3618</v>
      </c>
      <c r="Y540" s="23" t="s">
        <v>3620</v>
      </c>
      <c r="Z540" s="23" t="s">
        <v>3621</v>
      </c>
      <c r="AA540" s="23" t="s">
        <v>3625</v>
      </c>
    </row>
    <row r="541" spans="1:27" ht="15.75" customHeight="1">
      <c r="A541" s="4" t="s">
        <v>1128</v>
      </c>
      <c r="B541" s="5">
        <v>2402</v>
      </c>
      <c r="C541" s="6" t="s">
        <v>1201</v>
      </c>
      <c r="D541" s="7">
        <v>2022477650</v>
      </c>
      <c r="E541" s="7">
        <v>2201010287</v>
      </c>
      <c r="F541" s="7" t="s">
        <v>1811</v>
      </c>
      <c r="G541" s="7" t="s">
        <v>13</v>
      </c>
      <c r="H541" s="6" t="s">
        <v>1202</v>
      </c>
      <c r="I541" s="6" t="s">
        <v>2889</v>
      </c>
      <c r="J541" s="6" t="s">
        <v>2890</v>
      </c>
      <c r="K541" s="6" t="s">
        <v>532</v>
      </c>
      <c r="L541" s="6" t="s">
        <v>149</v>
      </c>
      <c r="M541" s="6" t="s">
        <v>21</v>
      </c>
      <c r="N541" s="7" t="s">
        <v>18</v>
      </c>
      <c r="O541" s="23" t="s">
        <v>3622</v>
      </c>
      <c r="P541" s="23" t="s">
        <v>3623</v>
      </c>
      <c r="Q541" s="23" t="s">
        <v>3624</v>
      </c>
      <c r="R541" s="23" t="s">
        <v>3612</v>
      </c>
      <c r="S541" s="2" t="s">
        <v>3613</v>
      </c>
      <c r="T541" s="2" t="s">
        <v>3614</v>
      </c>
      <c r="U541" s="2" t="s">
        <v>3615</v>
      </c>
      <c r="V541" s="23" t="s">
        <v>3616</v>
      </c>
      <c r="W541" s="24" t="s">
        <v>3617</v>
      </c>
      <c r="X541" s="23" t="s">
        <v>3618</v>
      </c>
      <c r="Y541" s="23" t="s">
        <v>3620</v>
      </c>
      <c r="Z541" s="23" t="s">
        <v>3621</v>
      </c>
      <c r="AA541" s="23" t="s">
        <v>3625</v>
      </c>
    </row>
    <row r="542" spans="1:27" ht="15.75" customHeight="1">
      <c r="A542" s="4" t="s">
        <v>1128</v>
      </c>
      <c r="B542" s="5">
        <v>2402</v>
      </c>
      <c r="C542" s="6" t="s">
        <v>1195</v>
      </c>
      <c r="D542" s="7">
        <v>2022451567</v>
      </c>
      <c r="E542" s="7">
        <v>2201010291</v>
      </c>
      <c r="F542" s="7" t="s">
        <v>1811</v>
      </c>
      <c r="G542" s="7" t="s">
        <v>13</v>
      </c>
      <c r="H542" s="6" t="s">
        <v>1196</v>
      </c>
      <c r="I542" s="6" t="s">
        <v>2891</v>
      </c>
      <c r="J542" s="6" t="s">
        <v>2892</v>
      </c>
      <c r="K542" s="6" t="s">
        <v>532</v>
      </c>
      <c r="L542" s="6" t="s">
        <v>21</v>
      </c>
      <c r="M542" s="6" t="s">
        <v>149</v>
      </c>
      <c r="N542" s="7" t="s">
        <v>18</v>
      </c>
      <c r="O542" s="23" t="s">
        <v>3622</v>
      </c>
      <c r="P542" s="23" t="s">
        <v>3623</v>
      </c>
      <c r="Q542" s="23" t="s">
        <v>3624</v>
      </c>
      <c r="R542" s="23" t="s">
        <v>3612</v>
      </c>
      <c r="S542" s="2" t="s">
        <v>3613</v>
      </c>
      <c r="T542" s="2" t="s">
        <v>3614</v>
      </c>
      <c r="U542" s="2" t="s">
        <v>3615</v>
      </c>
      <c r="V542" s="23" t="s">
        <v>3616</v>
      </c>
      <c r="W542" s="24" t="s">
        <v>3617</v>
      </c>
      <c r="X542" s="23" t="s">
        <v>3618</v>
      </c>
      <c r="Y542" s="23" t="s">
        <v>3620</v>
      </c>
      <c r="Z542" s="23" t="s">
        <v>3621</v>
      </c>
      <c r="AA542" s="23" t="s">
        <v>3625</v>
      </c>
    </row>
    <row r="543" spans="1:27" ht="15.75" customHeight="1">
      <c r="A543" s="4" t="s">
        <v>1128</v>
      </c>
      <c r="B543" s="5">
        <v>2402</v>
      </c>
      <c r="C543" s="6" t="s">
        <v>1136</v>
      </c>
      <c r="D543" s="7">
        <v>2022003541</v>
      </c>
      <c r="E543" s="7">
        <v>2201010309</v>
      </c>
      <c r="F543" s="7" t="s">
        <v>1811</v>
      </c>
      <c r="G543" s="7" t="s">
        <v>13</v>
      </c>
      <c r="H543" s="6" t="s">
        <v>1137</v>
      </c>
      <c r="I543" s="6" t="s">
        <v>2893</v>
      </c>
      <c r="J543" s="6" t="s">
        <v>2894</v>
      </c>
      <c r="K543" s="6" t="s">
        <v>532</v>
      </c>
      <c r="L543" s="6" t="s">
        <v>26</v>
      </c>
      <c r="M543" s="6" t="s">
        <v>104</v>
      </c>
      <c r="N543" s="7" t="s">
        <v>18</v>
      </c>
      <c r="O543" s="23" t="s">
        <v>3622</v>
      </c>
      <c r="P543" s="23" t="s">
        <v>3623</v>
      </c>
      <c r="Q543" s="23" t="s">
        <v>3624</v>
      </c>
      <c r="R543" s="23" t="s">
        <v>3612</v>
      </c>
      <c r="S543" s="2" t="s">
        <v>3613</v>
      </c>
      <c r="T543" s="2" t="s">
        <v>3614</v>
      </c>
      <c r="U543" s="2" t="s">
        <v>3615</v>
      </c>
      <c r="V543" s="23" t="s">
        <v>3616</v>
      </c>
      <c r="W543" s="24" t="s">
        <v>3617</v>
      </c>
      <c r="X543" s="23" t="s">
        <v>3618</v>
      </c>
      <c r="Y543" s="23" t="s">
        <v>3620</v>
      </c>
      <c r="Z543" s="23" t="s">
        <v>3621</v>
      </c>
      <c r="AA543" s="23" t="s">
        <v>3625</v>
      </c>
    </row>
    <row r="544" spans="1:27" ht="15.75" customHeight="1">
      <c r="A544" s="4" t="s">
        <v>1128</v>
      </c>
      <c r="B544" s="5">
        <v>2402</v>
      </c>
      <c r="C544" s="6" t="s">
        <v>1227</v>
      </c>
      <c r="D544" s="7">
        <v>2022543048</v>
      </c>
      <c r="E544" s="7">
        <v>2201010315</v>
      </c>
      <c r="F544" s="7" t="s">
        <v>1811</v>
      </c>
      <c r="G544" s="7" t="s">
        <v>13</v>
      </c>
      <c r="H544" s="6" t="s">
        <v>1228</v>
      </c>
      <c r="I544" s="6" t="s">
        <v>2895</v>
      </c>
      <c r="J544" s="6" t="s">
        <v>2896</v>
      </c>
      <c r="K544" s="6" t="s">
        <v>532</v>
      </c>
      <c r="L544" s="6" t="e">
        <v>#N/A</v>
      </c>
      <c r="M544" s="6" t="e">
        <v>#N/A</v>
      </c>
      <c r="N544" s="7" t="e">
        <v>#N/A</v>
      </c>
      <c r="O544" s="23" t="s">
        <v>3622</v>
      </c>
      <c r="P544" s="23" t="s">
        <v>3623</v>
      </c>
      <c r="Q544" s="23" t="s">
        <v>3624</v>
      </c>
      <c r="R544" s="23" t="s">
        <v>3612</v>
      </c>
      <c r="S544" s="2" t="s">
        <v>3613</v>
      </c>
      <c r="T544" s="2" t="s">
        <v>3614</v>
      </c>
      <c r="U544" s="2" t="s">
        <v>3615</v>
      </c>
      <c r="V544" s="23" t="s">
        <v>3616</v>
      </c>
      <c r="W544" s="24" t="s">
        <v>3617</v>
      </c>
      <c r="X544" s="23" t="s">
        <v>3618</v>
      </c>
      <c r="Y544" s="23" t="s">
        <v>3620</v>
      </c>
      <c r="Z544" s="23" t="s">
        <v>3621</v>
      </c>
      <c r="AA544" s="23" t="s">
        <v>3625</v>
      </c>
    </row>
    <row r="545" spans="1:27" ht="15.75" customHeight="1">
      <c r="A545" s="4" t="s">
        <v>1128</v>
      </c>
      <c r="B545" s="5">
        <v>2402</v>
      </c>
      <c r="C545" s="6" t="s">
        <v>1215</v>
      </c>
      <c r="D545" s="7">
        <v>2022501831</v>
      </c>
      <c r="E545" s="7">
        <v>2201010320</v>
      </c>
      <c r="F545" s="7" t="s">
        <v>1811</v>
      </c>
      <c r="G545" s="7" t="s">
        <v>13</v>
      </c>
      <c r="H545" s="6" t="s">
        <v>1216</v>
      </c>
      <c r="I545" s="6" t="s">
        <v>2897</v>
      </c>
      <c r="J545" s="6" t="s">
        <v>2898</v>
      </c>
      <c r="K545" s="6" t="s">
        <v>532</v>
      </c>
      <c r="L545" s="6" t="e">
        <v>#N/A</v>
      </c>
      <c r="M545" s="6" t="e">
        <v>#N/A</v>
      </c>
      <c r="N545" s="7" t="e">
        <v>#N/A</v>
      </c>
      <c r="O545" s="23" t="s">
        <v>3622</v>
      </c>
      <c r="P545" s="23" t="s">
        <v>3623</v>
      </c>
      <c r="Q545" s="23" t="s">
        <v>3624</v>
      </c>
      <c r="R545" s="23" t="s">
        <v>3612</v>
      </c>
      <c r="S545" s="2" t="s">
        <v>3613</v>
      </c>
      <c r="T545" s="2" t="s">
        <v>3614</v>
      </c>
      <c r="U545" s="2" t="s">
        <v>3615</v>
      </c>
      <c r="V545" s="23" t="s">
        <v>3616</v>
      </c>
      <c r="W545" s="24" t="s">
        <v>3617</v>
      </c>
      <c r="X545" s="23" t="s">
        <v>3618</v>
      </c>
      <c r="Y545" s="23" t="s">
        <v>3620</v>
      </c>
      <c r="Z545" s="23" t="s">
        <v>3621</v>
      </c>
      <c r="AA545" s="23" t="s">
        <v>3625</v>
      </c>
    </row>
    <row r="546" spans="1:27" ht="15.75" customHeight="1">
      <c r="A546" s="4" t="s">
        <v>1128</v>
      </c>
      <c r="B546" s="5">
        <v>2402</v>
      </c>
      <c r="C546" s="6" t="s">
        <v>1160</v>
      </c>
      <c r="D546" s="7">
        <v>2022321571</v>
      </c>
      <c r="E546" s="7">
        <v>2201010336</v>
      </c>
      <c r="F546" s="7" t="s">
        <v>1811</v>
      </c>
      <c r="G546" s="7" t="s">
        <v>13</v>
      </c>
      <c r="H546" s="6" t="s">
        <v>1161</v>
      </c>
      <c r="I546" s="6" t="s">
        <v>2899</v>
      </c>
      <c r="J546" s="6" t="s">
        <v>2900</v>
      </c>
      <c r="K546" s="6" t="s">
        <v>532</v>
      </c>
      <c r="L546" s="6" t="s">
        <v>26</v>
      </c>
      <c r="M546" s="6" t="s">
        <v>17</v>
      </c>
      <c r="N546" s="7" t="s">
        <v>18</v>
      </c>
      <c r="O546" s="23" t="s">
        <v>3622</v>
      </c>
      <c r="P546" s="23" t="s">
        <v>3623</v>
      </c>
      <c r="Q546" s="23" t="s">
        <v>3624</v>
      </c>
      <c r="R546" s="23" t="s">
        <v>3612</v>
      </c>
      <c r="S546" s="2" t="s">
        <v>3613</v>
      </c>
      <c r="T546" s="2" t="s">
        <v>3614</v>
      </c>
      <c r="U546" s="2" t="s">
        <v>3615</v>
      </c>
      <c r="V546" s="23" t="s">
        <v>3616</v>
      </c>
      <c r="W546" s="24" t="s">
        <v>3617</v>
      </c>
      <c r="X546" s="23" t="s">
        <v>3618</v>
      </c>
      <c r="Y546" s="23" t="s">
        <v>3620</v>
      </c>
      <c r="Z546" s="23" t="s">
        <v>3621</v>
      </c>
      <c r="AA546" s="23" t="s">
        <v>3625</v>
      </c>
    </row>
    <row r="547" spans="1:27" ht="15.75" customHeight="1">
      <c r="A547" s="4" t="s">
        <v>1128</v>
      </c>
      <c r="B547" s="5">
        <v>2402</v>
      </c>
      <c r="C547" s="6" t="s">
        <v>1152</v>
      </c>
      <c r="D547" s="7">
        <v>2022006436</v>
      </c>
      <c r="E547" s="7">
        <v>2201010338</v>
      </c>
      <c r="F547" s="7" t="s">
        <v>1811</v>
      </c>
      <c r="G547" s="7" t="s">
        <v>13</v>
      </c>
      <c r="H547" s="6" t="s">
        <v>1153</v>
      </c>
      <c r="I547" s="6" t="s">
        <v>2901</v>
      </c>
      <c r="J547" s="6" t="s">
        <v>2902</v>
      </c>
      <c r="K547" s="6" t="s">
        <v>532</v>
      </c>
      <c r="L547" s="6" t="s">
        <v>149</v>
      </c>
      <c r="M547" s="6" t="s">
        <v>21</v>
      </c>
      <c r="N547" s="7" t="s">
        <v>18</v>
      </c>
      <c r="O547" s="23" t="s">
        <v>3622</v>
      </c>
      <c r="P547" s="23" t="s">
        <v>3623</v>
      </c>
      <c r="Q547" s="23" t="s">
        <v>3624</v>
      </c>
      <c r="R547" s="23" t="s">
        <v>3612</v>
      </c>
      <c r="S547" s="2" t="s">
        <v>3613</v>
      </c>
      <c r="T547" s="2" t="s">
        <v>3614</v>
      </c>
      <c r="U547" s="2" t="s">
        <v>3615</v>
      </c>
      <c r="V547" s="23" t="s">
        <v>3616</v>
      </c>
      <c r="W547" s="24" t="s">
        <v>3617</v>
      </c>
      <c r="X547" s="23" t="s">
        <v>3618</v>
      </c>
      <c r="Y547" s="23" t="s">
        <v>3620</v>
      </c>
      <c r="Z547" s="23" t="s">
        <v>3621</v>
      </c>
      <c r="AA547" s="23" t="s">
        <v>3625</v>
      </c>
    </row>
    <row r="548" spans="1:27" ht="15.75" customHeight="1">
      <c r="A548" s="4" t="s">
        <v>1128</v>
      </c>
      <c r="B548" s="5">
        <v>2402</v>
      </c>
      <c r="C548" s="6" t="s">
        <v>1146</v>
      </c>
      <c r="D548" s="7">
        <v>2022005401</v>
      </c>
      <c r="E548" s="7">
        <v>2201010341</v>
      </c>
      <c r="F548" s="7" t="s">
        <v>1811</v>
      </c>
      <c r="G548" s="7" t="s">
        <v>13</v>
      </c>
      <c r="H548" s="6" t="s">
        <v>1147</v>
      </c>
      <c r="I548" s="6" t="s">
        <v>2903</v>
      </c>
      <c r="J548" s="6" t="s">
        <v>2904</v>
      </c>
      <c r="K548" s="6" t="s">
        <v>532</v>
      </c>
      <c r="L548" s="6" t="s">
        <v>26</v>
      </c>
      <c r="M548" s="6" t="s">
        <v>17</v>
      </c>
      <c r="N548" s="7" t="s">
        <v>18</v>
      </c>
      <c r="O548" s="23" t="s">
        <v>3622</v>
      </c>
      <c r="P548" s="23" t="s">
        <v>3623</v>
      </c>
      <c r="Q548" s="23" t="s">
        <v>3624</v>
      </c>
      <c r="R548" s="23" t="s">
        <v>3612</v>
      </c>
      <c r="S548" s="2" t="s">
        <v>3613</v>
      </c>
      <c r="T548" s="2" t="s">
        <v>3614</v>
      </c>
      <c r="U548" s="2" t="s">
        <v>3615</v>
      </c>
      <c r="V548" s="23" t="s">
        <v>3616</v>
      </c>
      <c r="W548" s="24" t="s">
        <v>3617</v>
      </c>
      <c r="X548" s="23" t="s">
        <v>3618</v>
      </c>
      <c r="Y548" s="23" t="s">
        <v>3620</v>
      </c>
      <c r="Z548" s="23" t="s">
        <v>3621</v>
      </c>
      <c r="AA548" s="23" t="s">
        <v>3625</v>
      </c>
    </row>
    <row r="549" spans="1:27" ht="15.75" customHeight="1">
      <c r="A549" s="4" t="s">
        <v>1128</v>
      </c>
      <c r="B549" s="5">
        <v>2402</v>
      </c>
      <c r="C549" s="6" t="s">
        <v>1247</v>
      </c>
      <c r="D549" s="7">
        <v>2022502804</v>
      </c>
      <c r="E549" s="7">
        <v>2201010342</v>
      </c>
      <c r="F549" s="7" t="s">
        <v>1811</v>
      </c>
      <c r="G549" s="7" t="s">
        <v>13</v>
      </c>
      <c r="H549" s="6" t="s">
        <v>1248</v>
      </c>
      <c r="I549" s="6" t="s">
        <v>2905</v>
      </c>
      <c r="J549" s="6" t="s">
        <v>2906</v>
      </c>
      <c r="K549" s="6" t="s">
        <v>532</v>
      </c>
      <c r="L549" s="6" t="s">
        <v>21</v>
      </c>
      <c r="M549" s="6" t="s">
        <v>117</v>
      </c>
      <c r="N549" s="7" t="s">
        <v>18</v>
      </c>
      <c r="O549" s="23" t="s">
        <v>3622</v>
      </c>
      <c r="P549" s="23" t="s">
        <v>3623</v>
      </c>
      <c r="Q549" s="23" t="s">
        <v>3624</v>
      </c>
      <c r="R549" s="23" t="s">
        <v>3612</v>
      </c>
      <c r="S549" s="2" t="s">
        <v>3613</v>
      </c>
      <c r="T549" s="2" t="s">
        <v>3614</v>
      </c>
      <c r="U549" s="2" t="s">
        <v>3615</v>
      </c>
      <c r="V549" s="23" t="s">
        <v>3616</v>
      </c>
      <c r="W549" s="24" t="s">
        <v>3617</v>
      </c>
      <c r="X549" s="23" t="s">
        <v>3618</v>
      </c>
      <c r="Y549" s="23" t="s">
        <v>3620</v>
      </c>
      <c r="Z549" s="23" t="s">
        <v>3621</v>
      </c>
      <c r="AA549" s="23" t="s">
        <v>3625</v>
      </c>
    </row>
    <row r="550" spans="1:27" ht="15.75" customHeight="1">
      <c r="A550" s="4" t="s">
        <v>1128</v>
      </c>
      <c r="B550" s="5">
        <v>2402</v>
      </c>
      <c r="C550" s="6" t="s">
        <v>911</v>
      </c>
      <c r="D550" s="7">
        <v>2022001992</v>
      </c>
      <c r="E550" s="7">
        <v>2201010371</v>
      </c>
      <c r="F550" s="7" t="s">
        <v>1811</v>
      </c>
      <c r="G550" s="7" t="s">
        <v>13</v>
      </c>
      <c r="H550" s="6" t="s">
        <v>1129</v>
      </c>
      <c r="I550" s="6" t="s">
        <v>2907</v>
      </c>
      <c r="J550" s="6" t="s">
        <v>2908</v>
      </c>
      <c r="K550" s="6" t="s">
        <v>532</v>
      </c>
      <c r="L550" s="6" t="s">
        <v>26</v>
      </c>
      <c r="M550" s="6" t="s">
        <v>104</v>
      </c>
      <c r="N550" s="7" t="s">
        <v>18</v>
      </c>
      <c r="O550" s="23" t="s">
        <v>3622</v>
      </c>
      <c r="P550" s="23" t="s">
        <v>3623</v>
      </c>
      <c r="Q550" s="23" t="s">
        <v>3624</v>
      </c>
      <c r="R550" s="23" t="s">
        <v>3612</v>
      </c>
      <c r="S550" s="2" t="s">
        <v>3613</v>
      </c>
      <c r="T550" s="2" t="s">
        <v>3614</v>
      </c>
      <c r="U550" s="2" t="s">
        <v>3615</v>
      </c>
      <c r="V550" s="23" t="s">
        <v>3616</v>
      </c>
      <c r="W550" s="24" t="s">
        <v>3617</v>
      </c>
      <c r="X550" s="23" t="s">
        <v>3618</v>
      </c>
      <c r="Y550" s="23" t="s">
        <v>3620</v>
      </c>
      <c r="Z550" s="23" t="s">
        <v>3621</v>
      </c>
      <c r="AA550" s="23" t="s">
        <v>3625</v>
      </c>
    </row>
    <row r="551" spans="1:27" ht="15.75" customHeight="1">
      <c r="A551" s="4" t="s">
        <v>1128</v>
      </c>
      <c r="B551" s="5">
        <v>2402</v>
      </c>
      <c r="C551" s="6" t="s">
        <v>1199</v>
      </c>
      <c r="D551" s="7">
        <v>2022464237</v>
      </c>
      <c r="E551" s="7">
        <v>2201010411</v>
      </c>
      <c r="F551" s="7" t="s">
        <v>1811</v>
      </c>
      <c r="G551" s="7" t="s">
        <v>13</v>
      </c>
      <c r="H551" s="6" t="s">
        <v>1200</v>
      </c>
      <c r="I551" s="6" t="s">
        <v>2909</v>
      </c>
      <c r="J551" s="6" t="s">
        <v>2910</v>
      </c>
      <c r="K551" s="6" t="s">
        <v>532</v>
      </c>
      <c r="L551" s="6" t="s">
        <v>26</v>
      </c>
      <c r="M551" s="6" t="s">
        <v>17</v>
      </c>
      <c r="N551" s="7" t="s">
        <v>18</v>
      </c>
      <c r="O551" s="23" t="s">
        <v>3622</v>
      </c>
      <c r="P551" s="23" t="s">
        <v>3623</v>
      </c>
      <c r="Q551" s="23" t="s">
        <v>3624</v>
      </c>
      <c r="R551" s="23" t="s">
        <v>3612</v>
      </c>
      <c r="S551" s="2" t="s">
        <v>3613</v>
      </c>
      <c r="T551" s="2" t="s">
        <v>3614</v>
      </c>
      <c r="U551" s="2" t="s">
        <v>3615</v>
      </c>
      <c r="V551" s="23" t="s">
        <v>3616</v>
      </c>
      <c r="W551" s="24" t="s">
        <v>3617</v>
      </c>
      <c r="X551" s="23" t="s">
        <v>3618</v>
      </c>
      <c r="Y551" s="23" t="s">
        <v>3620</v>
      </c>
      <c r="Z551" s="23" t="s">
        <v>3621</v>
      </c>
      <c r="AA551" s="23" t="s">
        <v>3625</v>
      </c>
    </row>
    <row r="552" spans="1:27" ht="15.75" customHeight="1">
      <c r="A552" s="4" t="s">
        <v>1128</v>
      </c>
      <c r="B552" s="5">
        <v>2402</v>
      </c>
      <c r="C552" s="6" t="s">
        <v>1183</v>
      </c>
      <c r="D552" s="7">
        <v>2022420368</v>
      </c>
      <c r="E552" s="7">
        <v>2201010423</v>
      </c>
      <c r="F552" s="7" t="s">
        <v>1811</v>
      </c>
      <c r="G552" s="7" t="s">
        <v>13</v>
      </c>
      <c r="H552" s="6" t="s">
        <v>1184</v>
      </c>
      <c r="I552" s="6" t="s">
        <v>2911</v>
      </c>
      <c r="J552" s="6" t="s">
        <v>2912</v>
      </c>
      <c r="K552" s="6" t="s">
        <v>532</v>
      </c>
      <c r="L552" s="6" t="s">
        <v>26</v>
      </c>
      <c r="M552" s="6" t="s">
        <v>21</v>
      </c>
      <c r="N552" s="7" t="s">
        <v>18</v>
      </c>
      <c r="O552" s="23" t="s">
        <v>3622</v>
      </c>
      <c r="P552" s="23" t="s">
        <v>3623</v>
      </c>
      <c r="Q552" s="23" t="s">
        <v>3624</v>
      </c>
      <c r="R552" s="23" t="s">
        <v>3612</v>
      </c>
      <c r="S552" s="2" t="s">
        <v>3613</v>
      </c>
      <c r="T552" s="2" t="s">
        <v>3614</v>
      </c>
      <c r="U552" s="2" t="s">
        <v>3615</v>
      </c>
      <c r="V552" s="23" t="s">
        <v>3616</v>
      </c>
      <c r="W552" s="24" t="s">
        <v>3617</v>
      </c>
      <c r="X552" s="23" t="s">
        <v>3618</v>
      </c>
      <c r="Y552" s="23" t="s">
        <v>3620</v>
      </c>
      <c r="Z552" s="23" t="s">
        <v>3621</v>
      </c>
      <c r="AA552" s="23" t="s">
        <v>3625</v>
      </c>
    </row>
    <row r="553" spans="1:27" ht="15.75" customHeight="1">
      <c r="A553" s="4" t="s">
        <v>1128</v>
      </c>
      <c r="B553" s="5">
        <v>2402</v>
      </c>
      <c r="C553" s="6" t="s">
        <v>1241</v>
      </c>
      <c r="D553" s="7">
        <v>2022834880</v>
      </c>
      <c r="E553" s="7">
        <v>2201010440</v>
      </c>
      <c r="F553" s="7" t="s">
        <v>1811</v>
      </c>
      <c r="G553" s="7" t="s">
        <v>13</v>
      </c>
      <c r="H553" s="6" t="s">
        <v>1242</v>
      </c>
      <c r="I553" s="6" t="s">
        <v>2913</v>
      </c>
      <c r="J553" s="6" t="s">
        <v>2914</v>
      </c>
      <c r="K553" s="6" t="s">
        <v>532</v>
      </c>
      <c r="L553" s="6" t="s">
        <v>26</v>
      </c>
      <c r="M553" s="6" t="s">
        <v>104</v>
      </c>
      <c r="N553" s="7" t="s">
        <v>18</v>
      </c>
      <c r="O553" s="23" t="s">
        <v>3622</v>
      </c>
      <c r="P553" s="23" t="s">
        <v>3623</v>
      </c>
      <c r="Q553" s="23" t="s">
        <v>3624</v>
      </c>
      <c r="R553" s="23" t="s">
        <v>3612</v>
      </c>
      <c r="S553" s="2" t="s">
        <v>3613</v>
      </c>
      <c r="T553" s="2" t="s">
        <v>3614</v>
      </c>
      <c r="U553" s="2" t="s">
        <v>3615</v>
      </c>
      <c r="V553" s="23" t="s">
        <v>3616</v>
      </c>
      <c r="W553" s="24" t="s">
        <v>3617</v>
      </c>
      <c r="X553" s="23" t="s">
        <v>3618</v>
      </c>
      <c r="Y553" s="23" t="s">
        <v>3620</v>
      </c>
      <c r="Z553" s="23" t="s">
        <v>3621</v>
      </c>
      <c r="AA553" s="23" t="s">
        <v>3625</v>
      </c>
    </row>
    <row r="554" spans="1:27" ht="15.75" customHeight="1">
      <c r="A554" s="4" t="s">
        <v>1128</v>
      </c>
      <c r="B554" s="5">
        <v>2402</v>
      </c>
      <c r="C554" s="6" t="s">
        <v>1219</v>
      </c>
      <c r="D554" s="7">
        <v>2022511920</v>
      </c>
      <c r="E554" s="7">
        <v>2201010446</v>
      </c>
      <c r="F554" s="7" t="s">
        <v>1811</v>
      </c>
      <c r="G554" s="7" t="s">
        <v>13</v>
      </c>
      <c r="H554" s="6" t="s">
        <v>1220</v>
      </c>
      <c r="I554" s="6" t="s">
        <v>2915</v>
      </c>
      <c r="J554" s="6" t="s">
        <v>2916</v>
      </c>
      <c r="K554" s="6" t="s">
        <v>532</v>
      </c>
      <c r="L554" s="6" t="s">
        <v>149</v>
      </c>
      <c r="M554" s="6" t="s">
        <v>26</v>
      </c>
      <c r="N554" s="7" t="s">
        <v>18</v>
      </c>
      <c r="O554" s="23" t="s">
        <v>3622</v>
      </c>
      <c r="P554" s="23" t="s">
        <v>3623</v>
      </c>
      <c r="Q554" s="23" t="s">
        <v>3624</v>
      </c>
      <c r="R554" s="23" t="s">
        <v>3612</v>
      </c>
      <c r="S554" s="2" t="s">
        <v>3613</v>
      </c>
      <c r="T554" s="2" t="s">
        <v>3614</v>
      </c>
      <c r="U554" s="2" t="s">
        <v>3615</v>
      </c>
      <c r="V554" s="23" t="s">
        <v>3616</v>
      </c>
      <c r="W554" s="24" t="s">
        <v>3617</v>
      </c>
      <c r="X554" s="23" t="s">
        <v>3618</v>
      </c>
      <c r="Y554" s="23" t="s">
        <v>3620</v>
      </c>
      <c r="Z554" s="23" t="s">
        <v>3621</v>
      </c>
      <c r="AA554" s="23" t="s">
        <v>3625</v>
      </c>
    </row>
    <row r="555" spans="1:27" ht="15.75" customHeight="1">
      <c r="A555" s="4" t="s">
        <v>1128</v>
      </c>
      <c r="B555" s="5">
        <v>2402</v>
      </c>
      <c r="C555" s="6" t="s">
        <v>1130</v>
      </c>
      <c r="D555" s="7">
        <v>2022002243</v>
      </c>
      <c r="E555" s="7">
        <v>2201010462</v>
      </c>
      <c r="F555" s="7" t="s">
        <v>1811</v>
      </c>
      <c r="G555" s="7" t="s">
        <v>13</v>
      </c>
      <c r="H555" s="6" t="s">
        <v>1131</v>
      </c>
      <c r="I555" s="6" t="s">
        <v>2917</v>
      </c>
      <c r="J555" s="6" t="s">
        <v>2918</v>
      </c>
      <c r="K555" s="6" t="s">
        <v>532</v>
      </c>
      <c r="L555" s="6" t="s">
        <v>26</v>
      </c>
      <c r="M555" s="6" t="s">
        <v>104</v>
      </c>
      <c r="N555" s="7" t="s">
        <v>18</v>
      </c>
      <c r="O555" s="23" t="s">
        <v>3622</v>
      </c>
      <c r="P555" s="23" t="s">
        <v>3623</v>
      </c>
      <c r="Q555" s="23" t="s">
        <v>3624</v>
      </c>
      <c r="R555" s="23" t="s">
        <v>3612</v>
      </c>
      <c r="S555" s="2" t="s">
        <v>3613</v>
      </c>
      <c r="T555" s="2" t="s">
        <v>3614</v>
      </c>
      <c r="U555" s="2" t="s">
        <v>3615</v>
      </c>
      <c r="V555" s="23" t="s">
        <v>3616</v>
      </c>
      <c r="W555" s="24" t="s">
        <v>3617</v>
      </c>
      <c r="X555" s="23" t="s">
        <v>3618</v>
      </c>
      <c r="Y555" s="23" t="s">
        <v>3620</v>
      </c>
      <c r="Z555" s="23" t="s">
        <v>3621</v>
      </c>
      <c r="AA555" s="23" t="s">
        <v>3625</v>
      </c>
    </row>
    <row r="556" spans="1:27" ht="15.75" customHeight="1">
      <c r="A556" s="4" t="s">
        <v>1128</v>
      </c>
      <c r="B556" s="5">
        <v>2402</v>
      </c>
      <c r="C556" s="6" t="s">
        <v>1175</v>
      </c>
      <c r="D556" s="7">
        <v>2022404434</v>
      </c>
      <c r="E556" s="7">
        <v>2201010486</v>
      </c>
      <c r="F556" s="7" t="s">
        <v>1811</v>
      </c>
      <c r="G556" s="7" t="s">
        <v>13</v>
      </c>
      <c r="H556" s="6" t="s">
        <v>1176</v>
      </c>
      <c r="I556" s="6" t="s">
        <v>2919</v>
      </c>
      <c r="J556" s="6" t="s">
        <v>2920</v>
      </c>
      <c r="K556" s="6" t="s">
        <v>532</v>
      </c>
      <c r="L556" s="6" t="s">
        <v>26</v>
      </c>
      <c r="M556" s="6" t="s">
        <v>21</v>
      </c>
      <c r="N556" s="7" t="s">
        <v>18</v>
      </c>
      <c r="O556" s="23" t="s">
        <v>3622</v>
      </c>
      <c r="P556" s="23" t="s">
        <v>3623</v>
      </c>
      <c r="Q556" s="23" t="s">
        <v>3624</v>
      </c>
      <c r="R556" s="23" t="s">
        <v>3612</v>
      </c>
      <c r="S556" s="2" t="s">
        <v>3613</v>
      </c>
      <c r="T556" s="2" t="s">
        <v>3614</v>
      </c>
      <c r="U556" s="2" t="s">
        <v>3615</v>
      </c>
      <c r="V556" s="23" t="s">
        <v>3616</v>
      </c>
      <c r="W556" s="24" t="s">
        <v>3617</v>
      </c>
      <c r="X556" s="23" t="s">
        <v>3618</v>
      </c>
      <c r="Y556" s="23" t="s">
        <v>3620</v>
      </c>
      <c r="Z556" s="23" t="s">
        <v>3621</v>
      </c>
      <c r="AA556" s="23" t="s">
        <v>3625</v>
      </c>
    </row>
    <row r="557" spans="1:27" ht="15.75" customHeight="1">
      <c r="A557" s="4" t="s">
        <v>1128</v>
      </c>
      <c r="B557" s="5">
        <v>2402</v>
      </c>
      <c r="C557" s="6" t="s">
        <v>1211</v>
      </c>
      <c r="D557" s="7">
        <v>2022494330</v>
      </c>
      <c r="E557" s="7">
        <v>2201010492</v>
      </c>
      <c r="F557" s="7" t="s">
        <v>1811</v>
      </c>
      <c r="G557" s="7" t="s">
        <v>13</v>
      </c>
      <c r="H557" s="6" t="s">
        <v>1212</v>
      </c>
      <c r="I557" s="6" t="s">
        <v>2921</v>
      </c>
      <c r="J557" s="6" t="s">
        <v>2922</v>
      </c>
      <c r="K557" s="6" t="s">
        <v>532</v>
      </c>
      <c r="L557" s="6" t="s">
        <v>26</v>
      </c>
      <c r="M557" s="6" t="s">
        <v>21</v>
      </c>
      <c r="N557" s="7" t="s">
        <v>18</v>
      </c>
      <c r="O557" s="23" t="s">
        <v>3622</v>
      </c>
      <c r="P557" s="23" t="s">
        <v>3623</v>
      </c>
      <c r="Q557" s="23" t="s">
        <v>3624</v>
      </c>
      <c r="R557" s="23" t="s">
        <v>3612</v>
      </c>
      <c r="S557" s="2" t="s">
        <v>3613</v>
      </c>
      <c r="T557" s="2" t="s">
        <v>3614</v>
      </c>
      <c r="U557" s="2" t="s">
        <v>3615</v>
      </c>
      <c r="V557" s="23" t="s">
        <v>3616</v>
      </c>
      <c r="W557" s="24" t="s">
        <v>3617</v>
      </c>
      <c r="X557" s="23" t="s">
        <v>3618</v>
      </c>
      <c r="Y557" s="23" t="s">
        <v>3620</v>
      </c>
      <c r="Z557" s="23" t="s">
        <v>3621</v>
      </c>
      <c r="AA557" s="23" t="s">
        <v>3625</v>
      </c>
    </row>
    <row r="558" spans="1:27" ht="15.75" customHeight="1">
      <c r="A558" s="4" t="s">
        <v>1128</v>
      </c>
      <c r="B558" s="5">
        <v>2402</v>
      </c>
      <c r="C558" s="6" t="s">
        <v>1229</v>
      </c>
      <c r="D558" s="7">
        <v>2022544917</v>
      </c>
      <c r="E558" s="7">
        <v>2201010582</v>
      </c>
      <c r="F558" s="7" t="s">
        <v>1811</v>
      </c>
      <c r="G558" s="7" t="s">
        <v>13</v>
      </c>
      <c r="H558" s="6" t="s">
        <v>1230</v>
      </c>
      <c r="I558" s="6" t="s">
        <v>2923</v>
      </c>
      <c r="J558" s="6" t="s">
        <v>2924</v>
      </c>
      <c r="K558" s="6" t="s">
        <v>532</v>
      </c>
      <c r="L558" s="6" t="s">
        <v>26</v>
      </c>
      <c r="M558" s="6" t="s">
        <v>104</v>
      </c>
      <c r="N558" s="7" t="s">
        <v>18</v>
      </c>
      <c r="O558" s="23" t="s">
        <v>3622</v>
      </c>
      <c r="P558" s="23" t="s">
        <v>3623</v>
      </c>
      <c r="Q558" s="23" t="s">
        <v>3624</v>
      </c>
      <c r="R558" s="23" t="s">
        <v>3612</v>
      </c>
      <c r="S558" s="2" t="s">
        <v>3613</v>
      </c>
      <c r="T558" s="2" t="s">
        <v>3614</v>
      </c>
      <c r="U558" s="2" t="s">
        <v>3615</v>
      </c>
      <c r="V558" s="23" t="s">
        <v>3616</v>
      </c>
      <c r="W558" s="24" t="s">
        <v>3617</v>
      </c>
      <c r="X558" s="23" t="s">
        <v>3618</v>
      </c>
      <c r="Y558" s="23" t="s">
        <v>3620</v>
      </c>
      <c r="Z558" s="23" t="s">
        <v>3621</v>
      </c>
      <c r="AA558" s="23" t="s">
        <v>3625</v>
      </c>
    </row>
    <row r="559" spans="1:27" ht="15.75" customHeight="1">
      <c r="A559" s="4" t="s">
        <v>1128</v>
      </c>
      <c r="B559" s="5">
        <v>2402</v>
      </c>
      <c r="C559" s="6" t="s">
        <v>1217</v>
      </c>
      <c r="D559" s="7">
        <v>2022507803</v>
      </c>
      <c r="E559" s="7">
        <v>2201010590</v>
      </c>
      <c r="F559" s="7" t="s">
        <v>1811</v>
      </c>
      <c r="G559" s="7" t="s">
        <v>13</v>
      </c>
      <c r="H559" s="6" t="s">
        <v>1218</v>
      </c>
      <c r="I559" s="6" t="s">
        <v>2925</v>
      </c>
      <c r="J559" s="6" t="s">
        <v>2926</v>
      </c>
      <c r="K559" s="6" t="s">
        <v>532</v>
      </c>
      <c r="L559" s="6" t="s">
        <v>26</v>
      </c>
      <c r="M559" s="6" t="s">
        <v>104</v>
      </c>
      <c r="N559" s="7" t="s">
        <v>18</v>
      </c>
      <c r="O559" s="23" t="s">
        <v>3622</v>
      </c>
      <c r="P559" s="23" t="s">
        <v>3623</v>
      </c>
      <c r="Q559" s="23" t="s">
        <v>3624</v>
      </c>
      <c r="R559" s="23" t="s">
        <v>3612</v>
      </c>
      <c r="S559" s="2" t="s">
        <v>3613</v>
      </c>
      <c r="T559" s="2" t="s">
        <v>3614</v>
      </c>
      <c r="U559" s="2" t="s">
        <v>3615</v>
      </c>
      <c r="V559" s="23" t="s">
        <v>3616</v>
      </c>
      <c r="W559" s="24" t="s">
        <v>3617</v>
      </c>
      <c r="X559" s="23" t="s">
        <v>3618</v>
      </c>
      <c r="Y559" s="23" t="s">
        <v>3620</v>
      </c>
      <c r="Z559" s="23" t="s">
        <v>3621</v>
      </c>
      <c r="AA559" s="23" t="s">
        <v>3625</v>
      </c>
    </row>
    <row r="560" spans="1:27" ht="15.75" customHeight="1">
      <c r="A560" s="4" t="s">
        <v>1128</v>
      </c>
      <c r="B560" s="5">
        <v>2402</v>
      </c>
      <c r="C560" s="6" t="s">
        <v>1253</v>
      </c>
      <c r="D560" s="7">
        <v>2022004067</v>
      </c>
      <c r="E560" s="7">
        <v>2201010624</v>
      </c>
      <c r="F560" s="7" t="s">
        <v>1811</v>
      </c>
      <c r="G560" s="7" t="s">
        <v>13</v>
      </c>
      <c r="H560" s="6" t="s">
        <v>1254</v>
      </c>
      <c r="I560" s="6" t="s">
        <v>2927</v>
      </c>
      <c r="J560" s="6" t="s">
        <v>2928</v>
      </c>
      <c r="K560" s="6" t="s">
        <v>532</v>
      </c>
      <c r="L560" s="6" t="s">
        <v>21</v>
      </c>
      <c r="M560" s="6" t="s">
        <v>26</v>
      </c>
      <c r="N560" s="7" t="s">
        <v>18</v>
      </c>
      <c r="O560" s="23" t="s">
        <v>3622</v>
      </c>
      <c r="P560" s="23" t="s">
        <v>3623</v>
      </c>
      <c r="Q560" s="23" t="s">
        <v>3624</v>
      </c>
      <c r="R560" s="23" t="s">
        <v>3612</v>
      </c>
      <c r="S560" s="2" t="s">
        <v>3613</v>
      </c>
      <c r="T560" s="2" t="s">
        <v>3614</v>
      </c>
      <c r="U560" s="2" t="s">
        <v>3615</v>
      </c>
      <c r="V560" s="23" t="s">
        <v>3616</v>
      </c>
      <c r="W560" s="24" t="s">
        <v>3617</v>
      </c>
      <c r="X560" s="23" t="s">
        <v>3618</v>
      </c>
      <c r="Y560" s="23" t="s">
        <v>3620</v>
      </c>
      <c r="Z560" s="23" t="s">
        <v>3621</v>
      </c>
      <c r="AA560" s="23" t="s">
        <v>3625</v>
      </c>
    </row>
    <row r="561" spans="1:30" ht="15.75" customHeight="1">
      <c r="A561" s="4" t="s">
        <v>1128</v>
      </c>
      <c r="B561" s="5">
        <v>2402</v>
      </c>
      <c r="C561" s="6" t="s">
        <v>1251</v>
      </c>
      <c r="D561" s="7">
        <v>2022003455</v>
      </c>
      <c r="E561" s="7">
        <v>2201010625</v>
      </c>
      <c r="F561" s="7" t="s">
        <v>1811</v>
      </c>
      <c r="G561" s="7" t="s">
        <v>13</v>
      </c>
      <c r="H561" s="6" t="s">
        <v>1252</v>
      </c>
      <c r="I561" s="6" t="s">
        <v>2929</v>
      </c>
      <c r="J561" s="6" t="s">
        <v>2930</v>
      </c>
      <c r="K561" s="6" t="s">
        <v>532</v>
      </c>
      <c r="L561" s="6" t="s">
        <v>21</v>
      </c>
      <c r="M561" s="6" t="s">
        <v>149</v>
      </c>
      <c r="N561" s="7" t="s">
        <v>18</v>
      </c>
      <c r="O561" s="23" t="s">
        <v>3622</v>
      </c>
      <c r="P561" s="23" t="s">
        <v>3623</v>
      </c>
      <c r="Q561" s="23" t="s">
        <v>3624</v>
      </c>
      <c r="R561" s="23" t="s">
        <v>3612</v>
      </c>
      <c r="S561" s="2" t="s">
        <v>3613</v>
      </c>
      <c r="T561" s="2" t="s">
        <v>3614</v>
      </c>
      <c r="U561" s="2" t="s">
        <v>3615</v>
      </c>
      <c r="V561" s="23" t="s">
        <v>3616</v>
      </c>
      <c r="W561" s="24" t="s">
        <v>3617</v>
      </c>
      <c r="X561" s="23" t="s">
        <v>3618</v>
      </c>
      <c r="Y561" s="23" t="s">
        <v>3620</v>
      </c>
      <c r="Z561" s="23" t="s">
        <v>3621</v>
      </c>
      <c r="AA561" s="23" t="s">
        <v>3625</v>
      </c>
    </row>
    <row r="562" spans="1:30" ht="15.75" customHeight="1">
      <c r="A562" s="4" t="s">
        <v>1128</v>
      </c>
      <c r="B562" s="5">
        <v>2402</v>
      </c>
      <c r="C562" s="6" t="s">
        <v>1193</v>
      </c>
      <c r="D562" s="7">
        <v>2022446086</v>
      </c>
      <c r="E562" s="7">
        <v>2201010657</v>
      </c>
      <c r="F562" s="7" t="s">
        <v>1811</v>
      </c>
      <c r="G562" s="7" t="s">
        <v>13</v>
      </c>
      <c r="H562" s="6" t="s">
        <v>1194</v>
      </c>
      <c r="I562" s="6" t="s">
        <v>2931</v>
      </c>
      <c r="J562" s="6" t="s">
        <v>2932</v>
      </c>
      <c r="K562" s="6" t="s">
        <v>532</v>
      </c>
      <c r="L562" s="6" t="s">
        <v>26</v>
      </c>
      <c r="M562" s="6" t="s">
        <v>21</v>
      </c>
      <c r="N562" s="7" t="s">
        <v>18</v>
      </c>
      <c r="O562" s="23" t="s">
        <v>3622</v>
      </c>
      <c r="P562" s="23" t="s">
        <v>3623</v>
      </c>
      <c r="Q562" s="23" t="s">
        <v>3624</v>
      </c>
      <c r="R562" s="23" t="s">
        <v>3612</v>
      </c>
      <c r="S562" s="2" t="s">
        <v>3613</v>
      </c>
      <c r="T562" s="2" t="s">
        <v>3614</v>
      </c>
      <c r="U562" s="2" t="s">
        <v>3615</v>
      </c>
      <c r="V562" s="23" t="s">
        <v>3616</v>
      </c>
      <c r="W562" s="24" t="s">
        <v>3617</v>
      </c>
      <c r="X562" s="23" t="s">
        <v>3618</v>
      </c>
      <c r="Y562" s="23" t="s">
        <v>3620</v>
      </c>
      <c r="Z562" s="23" t="s">
        <v>3621</v>
      </c>
      <c r="AA562" s="23" t="s">
        <v>3625</v>
      </c>
    </row>
    <row r="563" spans="1:30" ht="15.75" customHeight="1">
      <c r="A563" s="4" t="s">
        <v>1128</v>
      </c>
      <c r="B563" s="5">
        <v>2402</v>
      </c>
      <c r="C563" s="6" t="s">
        <v>1185</v>
      </c>
      <c r="D563" s="7">
        <v>2022442734</v>
      </c>
      <c r="E563" s="7">
        <v>2201010662</v>
      </c>
      <c r="F563" s="7" t="s">
        <v>1811</v>
      </c>
      <c r="G563" s="7" t="s">
        <v>13</v>
      </c>
      <c r="H563" s="6" t="s">
        <v>1186</v>
      </c>
      <c r="I563" s="6" t="s">
        <v>2933</v>
      </c>
      <c r="J563" s="6" t="s">
        <v>2934</v>
      </c>
      <c r="K563" s="6" t="s">
        <v>532</v>
      </c>
      <c r="L563" s="6" t="s">
        <v>26</v>
      </c>
      <c r="M563" s="6" t="s">
        <v>21</v>
      </c>
      <c r="N563" s="7" t="s">
        <v>18</v>
      </c>
      <c r="O563" s="23" t="s">
        <v>3622</v>
      </c>
      <c r="P563" s="23" t="s">
        <v>3623</v>
      </c>
      <c r="Q563" s="23" t="s">
        <v>3624</v>
      </c>
      <c r="R563" s="23" t="s">
        <v>3612</v>
      </c>
      <c r="S563" s="2" t="s">
        <v>3613</v>
      </c>
      <c r="T563" s="2" t="s">
        <v>3614</v>
      </c>
      <c r="U563" s="2" t="s">
        <v>3615</v>
      </c>
      <c r="V563" s="23" t="s">
        <v>3616</v>
      </c>
      <c r="W563" s="24" t="s">
        <v>3617</v>
      </c>
      <c r="X563" s="23" t="s">
        <v>3618</v>
      </c>
      <c r="Y563" s="23" t="s">
        <v>3620</v>
      </c>
      <c r="Z563" s="23" t="s">
        <v>3621</v>
      </c>
      <c r="AA563" s="23" t="s">
        <v>3625</v>
      </c>
    </row>
    <row r="564" spans="1:30" ht="15.75" customHeight="1">
      <c r="A564" s="4" t="s">
        <v>1128</v>
      </c>
      <c r="B564" s="5">
        <v>2402</v>
      </c>
      <c r="C564" s="6" t="s">
        <v>1158</v>
      </c>
      <c r="D564" s="7">
        <v>2022306140</v>
      </c>
      <c r="E564" s="7">
        <v>2201010674</v>
      </c>
      <c r="F564" s="7" t="s">
        <v>1811</v>
      </c>
      <c r="G564" s="7" t="s">
        <v>13</v>
      </c>
      <c r="H564" s="6" t="s">
        <v>1159</v>
      </c>
      <c r="I564" s="6" t="s">
        <v>2935</v>
      </c>
      <c r="J564" s="6" t="s">
        <v>2936</v>
      </c>
      <c r="K564" s="6" t="s">
        <v>532</v>
      </c>
      <c r="L564" s="6" t="s">
        <v>26</v>
      </c>
      <c r="M564" s="6" t="s">
        <v>16</v>
      </c>
      <c r="N564" s="7" t="s">
        <v>18</v>
      </c>
      <c r="O564" s="23" t="s">
        <v>3622</v>
      </c>
      <c r="P564" s="23" t="s">
        <v>3623</v>
      </c>
      <c r="Q564" s="23" t="s">
        <v>3624</v>
      </c>
      <c r="R564" s="23" t="s">
        <v>3612</v>
      </c>
      <c r="S564" s="2" t="s">
        <v>3613</v>
      </c>
      <c r="T564" s="2" t="s">
        <v>3614</v>
      </c>
      <c r="U564" s="2" t="s">
        <v>3615</v>
      </c>
      <c r="V564" s="23" t="s">
        <v>3616</v>
      </c>
      <c r="W564" s="24" t="s">
        <v>3617</v>
      </c>
      <c r="X564" s="23" t="s">
        <v>3618</v>
      </c>
      <c r="Y564" s="23" t="s">
        <v>3620</v>
      </c>
      <c r="Z564" s="23" t="s">
        <v>3621</v>
      </c>
      <c r="AA564" s="23" t="s">
        <v>3625</v>
      </c>
    </row>
    <row r="565" spans="1:30" ht="15.75" customHeight="1">
      <c r="A565" s="4" t="s">
        <v>1128</v>
      </c>
      <c r="B565" s="5">
        <v>2402</v>
      </c>
      <c r="C565" s="6" t="s">
        <v>1173</v>
      </c>
      <c r="D565" s="7">
        <v>2022396848</v>
      </c>
      <c r="E565" s="7">
        <v>2201010678</v>
      </c>
      <c r="F565" s="7" t="s">
        <v>1811</v>
      </c>
      <c r="G565" s="7" t="s">
        <v>13</v>
      </c>
      <c r="H565" s="6" t="s">
        <v>1174</v>
      </c>
      <c r="I565" s="6" t="s">
        <v>2937</v>
      </c>
      <c r="J565" s="6" t="s">
        <v>2938</v>
      </c>
      <c r="K565" s="6" t="s">
        <v>532</v>
      </c>
      <c r="L565" s="6" t="s">
        <v>21</v>
      </c>
      <c r="M565" s="6" t="s">
        <v>26</v>
      </c>
      <c r="N565" s="7" t="s">
        <v>18</v>
      </c>
      <c r="O565" s="23" t="s">
        <v>3622</v>
      </c>
      <c r="P565" s="23" t="s">
        <v>3623</v>
      </c>
      <c r="Q565" s="23" t="s">
        <v>3624</v>
      </c>
      <c r="R565" s="23" t="s">
        <v>3612</v>
      </c>
      <c r="S565" s="2" t="s">
        <v>3613</v>
      </c>
      <c r="T565" s="2" t="s">
        <v>3614</v>
      </c>
      <c r="U565" s="2" t="s">
        <v>3615</v>
      </c>
      <c r="V565" s="23" t="s">
        <v>3616</v>
      </c>
      <c r="W565" s="24" t="s">
        <v>3617</v>
      </c>
      <c r="X565" s="23" t="s">
        <v>3618</v>
      </c>
      <c r="Y565" s="23" t="s">
        <v>3620</v>
      </c>
      <c r="Z565" s="23" t="s">
        <v>3621</v>
      </c>
      <c r="AA565" s="23" t="s">
        <v>3625</v>
      </c>
    </row>
    <row r="566" spans="1:30" ht="15.75" customHeight="1">
      <c r="A566" s="4" t="s">
        <v>1128</v>
      </c>
      <c r="B566" s="5">
        <v>2402</v>
      </c>
      <c r="C566" s="6" t="s">
        <v>1187</v>
      </c>
      <c r="D566" s="7">
        <v>2022445249</v>
      </c>
      <c r="E566" s="7">
        <v>2201010690</v>
      </c>
      <c r="F566" s="7" t="s">
        <v>1811</v>
      </c>
      <c r="G566" s="7" t="s">
        <v>13</v>
      </c>
      <c r="H566" s="6" t="s">
        <v>1188</v>
      </c>
      <c r="I566" s="6" t="s">
        <v>2939</v>
      </c>
      <c r="J566" s="6" t="s">
        <v>2940</v>
      </c>
      <c r="K566" s="6" t="s">
        <v>532</v>
      </c>
      <c r="L566" s="6" t="s">
        <v>26</v>
      </c>
      <c r="M566" s="6" t="s">
        <v>21</v>
      </c>
      <c r="N566" s="7" t="s">
        <v>18</v>
      </c>
      <c r="O566" s="23" t="s">
        <v>3622</v>
      </c>
      <c r="P566" s="23" t="s">
        <v>3623</v>
      </c>
      <c r="Q566" s="23" t="s">
        <v>3624</v>
      </c>
      <c r="R566" s="23" t="s">
        <v>3612</v>
      </c>
      <c r="S566" s="2" t="s">
        <v>3613</v>
      </c>
      <c r="T566" s="2" t="s">
        <v>3614</v>
      </c>
      <c r="U566" s="2" t="s">
        <v>3615</v>
      </c>
      <c r="V566" s="23" t="s">
        <v>3616</v>
      </c>
      <c r="W566" s="24" t="s">
        <v>3617</v>
      </c>
      <c r="X566" s="23" t="s">
        <v>3618</v>
      </c>
      <c r="Y566" s="23" t="s">
        <v>3620</v>
      </c>
      <c r="Z566" s="23" t="s">
        <v>3621</v>
      </c>
      <c r="AA566" s="23" t="s">
        <v>3625</v>
      </c>
    </row>
    <row r="567" spans="1:30" ht="15.75" customHeight="1">
      <c r="A567" s="4" t="s">
        <v>1128</v>
      </c>
      <c r="B567" s="5">
        <v>2402</v>
      </c>
      <c r="C567" s="6" t="s">
        <v>1150</v>
      </c>
      <c r="D567" s="7">
        <v>2022006059</v>
      </c>
      <c r="E567" s="7">
        <v>2201010738</v>
      </c>
      <c r="F567" s="7" t="s">
        <v>1811</v>
      </c>
      <c r="G567" s="7" t="s">
        <v>13</v>
      </c>
      <c r="H567" s="6" t="s">
        <v>1151</v>
      </c>
      <c r="I567" s="6" t="s">
        <v>2941</v>
      </c>
      <c r="J567" s="6" t="s">
        <v>2942</v>
      </c>
      <c r="K567" s="6" t="s">
        <v>532</v>
      </c>
      <c r="L567" s="6" t="s">
        <v>26</v>
      </c>
      <c r="M567" s="6" t="s">
        <v>17</v>
      </c>
      <c r="N567" s="7" t="s">
        <v>18</v>
      </c>
      <c r="O567" s="23" t="s">
        <v>3622</v>
      </c>
      <c r="P567" s="23" t="s">
        <v>3623</v>
      </c>
      <c r="Q567" s="23" t="s">
        <v>3624</v>
      </c>
      <c r="R567" s="23" t="s">
        <v>3612</v>
      </c>
      <c r="S567" s="2" t="s">
        <v>3613</v>
      </c>
      <c r="T567" s="2" t="s">
        <v>3614</v>
      </c>
      <c r="U567" s="2" t="s">
        <v>3615</v>
      </c>
      <c r="V567" s="23" t="s">
        <v>3616</v>
      </c>
      <c r="W567" s="24" t="s">
        <v>3617</v>
      </c>
      <c r="X567" s="23" t="s">
        <v>3618</v>
      </c>
      <c r="Y567" s="23" t="s">
        <v>3620</v>
      </c>
      <c r="Z567" s="23" t="s">
        <v>3621</v>
      </c>
      <c r="AA567" s="23" t="s">
        <v>3625</v>
      </c>
    </row>
    <row r="568" spans="1:30" ht="15.75" customHeight="1">
      <c r="A568" s="4" t="s">
        <v>1128</v>
      </c>
      <c r="B568" s="5">
        <v>2402</v>
      </c>
      <c r="C568" s="6" t="s">
        <v>1142</v>
      </c>
      <c r="D568" s="7">
        <v>2022005125</v>
      </c>
      <c r="E568" s="7">
        <v>2201010748</v>
      </c>
      <c r="F568" s="7" t="s">
        <v>1811</v>
      </c>
      <c r="G568" s="7" t="s">
        <v>13</v>
      </c>
      <c r="H568" s="6" t="s">
        <v>1143</v>
      </c>
      <c r="I568" s="6" t="s">
        <v>2943</v>
      </c>
      <c r="J568" s="6" t="s">
        <v>2944</v>
      </c>
      <c r="K568" s="6" t="s">
        <v>532</v>
      </c>
      <c r="L568" s="6" t="s">
        <v>26</v>
      </c>
      <c r="M568" s="6" t="s">
        <v>104</v>
      </c>
      <c r="N568" s="7" t="s">
        <v>18</v>
      </c>
      <c r="O568" s="23" t="s">
        <v>3622</v>
      </c>
      <c r="P568" s="23" t="s">
        <v>3623</v>
      </c>
      <c r="Q568" s="23" t="s">
        <v>3624</v>
      </c>
      <c r="R568" s="23" t="s">
        <v>3612</v>
      </c>
      <c r="S568" s="2" t="s">
        <v>3613</v>
      </c>
      <c r="T568" s="2" t="s">
        <v>3614</v>
      </c>
      <c r="U568" s="2" t="s">
        <v>3615</v>
      </c>
      <c r="V568" s="23" t="s">
        <v>3616</v>
      </c>
      <c r="W568" s="24" t="s">
        <v>3617</v>
      </c>
      <c r="X568" s="23" t="s">
        <v>3618</v>
      </c>
      <c r="Y568" s="23" t="s">
        <v>3620</v>
      </c>
      <c r="Z568" s="23" t="s">
        <v>3621</v>
      </c>
      <c r="AA568" s="23" t="s">
        <v>3625</v>
      </c>
    </row>
    <row r="569" spans="1:30" ht="15.75" customHeight="1">
      <c r="A569" s="4" t="s">
        <v>1128</v>
      </c>
      <c r="B569" s="5">
        <v>2402</v>
      </c>
      <c r="C569" s="6" t="s">
        <v>1181</v>
      </c>
      <c r="D569" s="7">
        <v>2022413409</v>
      </c>
      <c r="E569" s="7">
        <v>2201010760</v>
      </c>
      <c r="F569" s="7" t="s">
        <v>1811</v>
      </c>
      <c r="G569" s="7" t="s">
        <v>13</v>
      </c>
      <c r="H569" s="6" t="s">
        <v>1182</v>
      </c>
      <c r="I569" s="6" t="s">
        <v>2945</v>
      </c>
      <c r="J569" s="6" t="s">
        <v>2946</v>
      </c>
      <c r="K569" s="6" t="s">
        <v>532</v>
      </c>
      <c r="L569" s="6" t="s">
        <v>104</v>
      </c>
      <c r="M569" s="6" t="s">
        <v>139</v>
      </c>
      <c r="N569" s="7" t="s">
        <v>18</v>
      </c>
      <c r="O569" s="23" t="s">
        <v>3622</v>
      </c>
      <c r="P569" s="23" t="s">
        <v>3623</v>
      </c>
      <c r="Q569" s="23" t="s">
        <v>3624</v>
      </c>
      <c r="R569" s="23" t="s">
        <v>3612</v>
      </c>
      <c r="S569" s="2" t="s">
        <v>3613</v>
      </c>
      <c r="T569" s="2" t="s">
        <v>3614</v>
      </c>
      <c r="U569" s="2" t="s">
        <v>3615</v>
      </c>
      <c r="V569" s="23" t="s">
        <v>3616</v>
      </c>
      <c r="W569" s="24" t="s">
        <v>3617</v>
      </c>
      <c r="X569" s="23" t="s">
        <v>3618</v>
      </c>
      <c r="Y569" s="23" t="s">
        <v>3620</v>
      </c>
      <c r="Z569" s="23" t="s">
        <v>3621</v>
      </c>
      <c r="AA569" s="23" t="s">
        <v>3625</v>
      </c>
    </row>
    <row r="570" spans="1:30" ht="15.75" customHeight="1">
      <c r="A570" s="4" t="s">
        <v>1128</v>
      </c>
      <c r="B570" s="5">
        <v>2402</v>
      </c>
      <c r="C570" s="6" t="s">
        <v>1169</v>
      </c>
      <c r="D570" s="7">
        <v>2022354885</v>
      </c>
      <c r="E570" s="7">
        <v>2201010772</v>
      </c>
      <c r="F570" s="7" t="s">
        <v>1811</v>
      </c>
      <c r="G570" s="7" t="s">
        <v>13</v>
      </c>
      <c r="H570" s="6" t="s">
        <v>1170</v>
      </c>
      <c r="I570" s="6" t="s">
        <v>2947</v>
      </c>
      <c r="J570" s="6" t="s">
        <v>2948</v>
      </c>
      <c r="K570" s="6" t="s">
        <v>532</v>
      </c>
      <c r="L570" s="6" t="s">
        <v>26</v>
      </c>
      <c r="M570" s="6" t="s">
        <v>16</v>
      </c>
      <c r="N570" s="7" t="s">
        <v>18</v>
      </c>
      <c r="O570" s="23" t="s">
        <v>3622</v>
      </c>
      <c r="P570" s="23" t="s">
        <v>3623</v>
      </c>
      <c r="Q570" s="23" t="s">
        <v>3624</v>
      </c>
      <c r="R570" s="23" t="s">
        <v>3612</v>
      </c>
      <c r="S570" s="2" t="s">
        <v>3613</v>
      </c>
      <c r="T570" s="2" t="s">
        <v>3614</v>
      </c>
      <c r="U570" s="2" t="s">
        <v>3615</v>
      </c>
      <c r="V570" s="23" t="s">
        <v>3616</v>
      </c>
      <c r="W570" s="24" t="s">
        <v>3617</v>
      </c>
      <c r="X570" s="23" t="s">
        <v>3618</v>
      </c>
      <c r="Y570" s="23" t="s">
        <v>3620</v>
      </c>
      <c r="Z570" s="23" t="s">
        <v>3621</v>
      </c>
      <c r="AA570" s="23" t="s">
        <v>3625</v>
      </c>
    </row>
    <row r="571" spans="1:30" ht="15.75" customHeight="1">
      <c r="A571" s="4" t="s">
        <v>1128</v>
      </c>
      <c r="B571" s="5">
        <v>2402</v>
      </c>
      <c r="C571" s="6" t="s">
        <v>1162</v>
      </c>
      <c r="D571" s="7">
        <v>2022338152</v>
      </c>
      <c r="E571" s="7">
        <v>2201010773</v>
      </c>
      <c r="F571" s="7" t="s">
        <v>1811</v>
      </c>
      <c r="G571" s="7" t="s">
        <v>13</v>
      </c>
      <c r="H571" s="6" t="s">
        <v>1163</v>
      </c>
      <c r="I571" s="6" t="s">
        <v>2949</v>
      </c>
      <c r="J571" s="6" t="s">
        <v>2950</v>
      </c>
      <c r="K571" s="6" t="s">
        <v>532</v>
      </c>
      <c r="L571" s="6" t="s">
        <v>26</v>
      </c>
      <c r="M571" s="6" t="s">
        <v>104</v>
      </c>
      <c r="N571" s="7" t="s">
        <v>18</v>
      </c>
      <c r="O571" s="23" t="s">
        <v>3622</v>
      </c>
      <c r="P571" s="23" t="s">
        <v>3623</v>
      </c>
      <c r="Q571" s="23" t="s">
        <v>3624</v>
      </c>
      <c r="R571" s="23" t="s">
        <v>3612</v>
      </c>
      <c r="S571" s="2" t="s">
        <v>3613</v>
      </c>
      <c r="T571" s="2" t="s">
        <v>3614</v>
      </c>
      <c r="U571" s="2" t="s">
        <v>3615</v>
      </c>
      <c r="V571" s="23" t="s">
        <v>3616</v>
      </c>
      <c r="W571" s="24" t="s">
        <v>3617</v>
      </c>
      <c r="X571" s="23" t="s">
        <v>3618</v>
      </c>
      <c r="Y571" s="23" t="s">
        <v>3620</v>
      </c>
      <c r="Z571" s="23" t="s">
        <v>3621</v>
      </c>
      <c r="AA571" s="23" t="s">
        <v>3625</v>
      </c>
    </row>
    <row r="572" spans="1:30" ht="15.75" customHeight="1">
      <c r="A572" s="4" t="s">
        <v>1128</v>
      </c>
      <c r="B572" s="5">
        <v>2402</v>
      </c>
      <c r="C572" s="6" t="s">
        <v>1138</v>
      </c>
      <c r="D572" s="7">
        <v>2022003792</v>
      </c>
      <c r="E572" s="7">
        <v>2201010777</v>
      </c>
      <c r="F572" s="7" t="s">
        <v>1811</v>
      </c>
      <c r="G572" s="7" t="s">
        <v>13</v>
      </c>
      <c r="H572" s="6" t="s">
        <v>1139</v>
      </c>
      <c r="I572" s="6" t="s">
        <v>2951</v>
      </c>
      <c r="J572" s="6" t="s">
        <v>2952</v>
      </c>
      <c r="K572" s="6" t="s">
        <v>532</v>
      </c>
      <c r="L572" s="6" t="s">
        <v>26</v>
      </c>
      <c r="M572" s="6" t="s">
        <v>21</v>
      </c>
      <c r="N572" s="7" t="s">
        <v>18</v>
      </c>
      <c r="O572" s="23" t="s">
        <v>3622</v>
      </c>
      <c r="P572" s="23" t="s">
        <v>3623</v>
      </c>
      <c r="Q572" s="23" t="s">
        <v>3624</v>
      </c>
      <c r="R572" s="23" t="s">
        <v>3612</v>
      </c>
      <c r="S572" s="2" t="s">
        <v>3613</v>
      </c>
      <c r="T572" s="2" t="s">
        <v>3614</v>
      </c>
      <c r="U572" s="2" t="s">
        <v>3615</v>
      </c>
      <c r="V572" s="23" t="s">
        <v>3616</v>
      </c>
      <c r="W572" s="24" t="s">
        <v>3617</v>
      </c>
      <c r="X572" s="23" t="s">
        <v>3618</v>
      </c>
      <c r="Y572" s="23" t="s">
        <v>3620</v>
      </c>
      <c r="Z572" s="23" t="s">
        <v>3621</v>
      </c>
      <c r="AA572" s="23" t="s">
        <v>3625</v>
      </c>
    </row>
    <row r="573" spans="1:30" ht="15.75" customHeight="1">
      <c r="A573" s="4" t="s">
        <v>1128</v>
      </c>
      <c r="B573" s="5">
        <v>2402</v>
      </c>
      <c r="C573" s="6" t="s">
        <v>1213</v>
      </c>
      <c r="D573" s="7">
        <v>2022498647</v>
      </c>
      <c r="E573" s="7">
        <v>2201010789</v>
      </c>
      <c r="F573" s="7" t="s">
        <v>1811</v>
      </c>
      <c r="G573" s="7" t="s">
        <v>13</v>
      </c>
      <c r="H573" s="6" t="s">
        <v>1214</v>
      </c>
      <c r="I573" s="6" t="s">
        <v>2953</v>
      </c>
      <c r="J573" s="6" t="s">
        <v>2954</v>
      </c>
      <c r="K573" s="6" t="s">
        <v>532</v>
      </c>
      <c r="L573" s="6" t="s">
        <v>26</v>
      </c>
      <c r="M573" s="6" t="s">
        <v>21</v>
      </c>
      <c r="N573" s="7" t="s">
        <v>18</v>
      </c>
      <c r="O573" s="23" t="s">
        <v>3622</v>
      </c>
      <c r="P573" s="23" t="s">
        <v>3623</v>
      </c>
      <c r="Q573" s="23" t="s">
        <v>3624</v>
      </c>
      <c r="R573" s="23" t="s">
        <v>3612</v>
      </c>
      <c r="S573" s="2" t="s">
        <v>3613</v>
      </c>
      <c r="T573" s="2" t="s">
        <v>3614</v>
      </c>
      <c r="U573" s="2" t="s">
        <v>3615</v>
      </c>
      <c r="V573" s="23" t="s">
        <v>3616</v>
      </c>
      <c r="W573" s="24" t="s">
        <v>3617</v>
      </c>
      <c r="X573" s="23" t="s">
        <v>3618</v>
      </c>
      <c r="Y573" s="23" t="s">
        <v>3620</v>
      </c>
      <c r="Z573" s="23" t="s">
        <v>3621</v>
      </c>
      <c r="AA573" s="23" t="s">
        <v>3625</v>
      </c>
    </row>
    <row r="574" spans="1:30" ht="15.75" customHeight="1">
      <c r="A574" s="4" t="s">
        <v>1128</v>
      </c>
      <c r="B574" s="5">
        <v>2402</v>
      </c>
      <c r="C574" s="6" t="s">
        <v>1225</v>
      </c>
      <c r="D574" s="7">
        <v>2022521262</v>
      </c>
      <c r="E574" s="7">
        <v>2201010792</v>
      </c>
      <c r="F574" s="7" t="s">
        <v>1811</v>
      </c>
      <c r="G574" s="7" t="s">
        <v>13</v>
      </c>
      <c r="H574" s="6" t="s">
        <v>1226</v>
      </c>
      <c r="I574" s="6" t="s">
        <v>2955</v>
      </c>
      <c r="J574" s="6" t="s">
        <v>2956</v>
      </c>
      <c r="K574" s="6" t="s">
        <v>532</v>
      </c>
      <c r="L574" s="6" t="s">
        <v>26</v>
      </c>
      <c r="M574" s="6" t="s">
        <v>117</v>
      </c>
      <c r="N574" s="7" t="s">
        <v>18</v>
      </c>
      <c r="O574" s="23" t="s">
        <v>3622</v>
      </c>
      <c r="P574" s="23" t="s">
        <v>3623</v>
      </c>
      <c r="Q574" s="23" t="s">
        <v>3624</v>
      </c>
      <c r="R574" s="23" t="s">
        <v>3612</v>
      </c>
      <c r="S574" s="2" t="s">
        <v>3613</v>
      </c>
      <c r="T574" s="2" t="s">
        <v>3614</v>
      </c>
      <c r="U574" s="2" t="s">
        <v>3615</v>
      </c>
      <c r="V574" s="23" t="s">
        <v>3616</v>
      </c>
      <c r="W574" s="24" t="s">
        <v>3617</v>
      </c>
      <c r="X574" s="23" t="s">
        <v>3618</v>
      </c>
      <c r="Y574" s="23" t="s">
        <v>3620</v>
      </c>
      <c r="Z574" s="23" t="s">
        <v>3621</v>
      </c>
      <c r="AA574" s="23" t="s">
        <v>3625</v>
      </c>
    </row>
    <row r="575" spans="1:30" ht="15.75" customHeight="1">
      <c r="A575" s="4" t="s">
        <v>1128</v>
      </c>
      <c r="B575" s="5">
        <v>2402</v>
      </c>
      <c r="C575" s="6" t="s">
        <v>465</v>
      </c>
      <c r="D575" s="7">
        <v>2022339160</v>
      </c>
      <c r="E575" s="7">
        <v>2201010808</v>
      </c>
      <c r="F575" s="7" t="s">
        <v>1811</v>
      </c>
      <c r="G575" s="7" t="s">
        <v>13</v>
      </c>
      <c r="H575" s="6" t="s">
        <v>1164</v>
      </c>
      <c r="I575" s="6" t="s">
        <v>2957</v>
      </c>
      <c r="J575" s="6" t="s">
        <v>2958</v>
      </c>
      <c r="K575" s="6" t="s">
        <v>532</v>
      </c>
      <c r="L575" s="6" t="s">
        <v>21</v>
      </c>
      <c r="M575" s="6" t="s">
        <v>117</v>
      </c>
      <c r="N575" s="7" t="s">
        <v>18</v>
      </c>
      <c r="O575" s="23" t="s">
        <v>3622</v>
      </c>
      <c r="P575" s="23" t="s">
        <v>3623</v>
      </c>
      <c r="Q575" s="23" t="s">
        <v>3624</v>
      </c>
      <c r="R575" s="23" t="s">
        <v>3612</v>
      </c>
      <c r="S575" s="2" t="s">
        <v>3613</v>
      </c>
      <c r="T575" s="2" t="s">
        <v>3614</v>
      </c>
      <c r="U575" s="2" t="s">
        <v>3615</v>
      </c>
      <c r="V575" s="23" t="s">
        <v>3616</v>
      </c>
      <c r="W575" s="24" t="s">
        <v>3617</v>
      </c>
      <c r="X575" s="23" t="s">
        <v>3618</v>
      </c>
      <c r="Y575" s="23" t="s">
        <v>3620</v>
      </c>
      <c r="Z575" s="23" t="s">
        <v>3621</v>
      </c>
      <c r="AA575" s="23" t="s">
        <v>3625</v>
      </c>
      <c r="AB575" s="9"/>
      <c r="AC575" s="9"/>
      <c r="AD575" s="9"/>
    </row>
    <row r="576" spans="1:30" ht="15.75" customHeight="1">
      <c r="A576" s="4" t="s">
        <v>1128</v>
      </c>
      <c r="B576" s="5">
        <v>2402</v>
      </c>
      <c r="C576" s="6" t="s">
        <v>1154</v>
      </c>
      <c r="D576" s="7">
        <v>2022007267</v>
      </c>
      <c r="E576" s="7">
        <v>2201010838</v>
      </c>
      <c r="F576" s="7" t="s">
        <v>1811</v>
      </c>
      <c r="G576" s="7" t="s">
        <v>13</v>
      </c>
      <c r="H576" s="6" t="s">
        <v>1155</v>
      </c>
      <c r="I576" s="6" t="s">
        <v>2959</v>
      </c>
      <c r="J576" s="6" t="s">
        <v>2960</v>
      </c>
      <c r="K576" s="6" t="s">
        <v>532</v>
      </c>
      <c r="L576" s="6" t="s">
        <v>17</v>
      </c>
      <c r="M576" s="6" t="s">
        <v>17</v>
      </c>
      <c r="N576" s="7" t="s">
        <v>18</v>
      </c>
      <c r="O576" s="23" t="s">
        <v>3622</v>
      </c>
      <c r="P576" s="23" t="s">
        <v>3623</v>
      </c>
      <c r="Q576" s="23" t="s">
        <v>3624</v>
      </c>
      <c r="R576" s="23" t="s">
        <v>3612</v>
      </c>
      <c r="S576" s="2" t="s">
        <v>3613</v>
      </c>
      <c r="T576" s="2" t="s">
        <v>3614</v>
      </c>
      <c r="U576" s="2" t="s">
        <v>3615</v>
      </c>
      <c r="V576" s="23" t="s">
        <v>3616</v>
      </c>
      <c r="W576" s="24" t="s">
        <v>3617</v>
      </c>
      <c r="X576" s="23" t="s">
        <v>3618</v>
      </c>
      <c r="Y576" s="23" t="s">
        <v>3620</v>
      </c>
      <c r="Z576" s="23" t="s">
        <v>3621</v>
      </c>
      <c r="AA576" s="23" t="s">
        <v>3625</v>
      </c>
    </row>
    <row r="577" spans="1:27" ht="15.75" customHeight="1">
      <c r="A577" s="4" t="s">
        <v>1128</v>
      </c>
      <c r="B577" s="5">
        <v>2402</v>
      </c>
      <c r="C577" s="6" t="s">
        <v>1237</v>
      </c>
      <c r="D577" s="7">
        <v>2022620180</v>
      </c>
      <c r="E577" s="7">
        <v>2201010904</v>
      </c>
      <c r="F577" s="7" t="s">
        <v>1811</v>
      </c>
      <c r="G577" s="7" t="s">
        <v>13</v>
      </c>
      <c r="H577" s="6" t="s">
        <v>1238</v>
      </c>
      <c r="I577" s="6" t="s">
        <v>2961</v>
      </c>
      <c r="J577" s="6" t="s">
        <v>2962</v>
      </c>
      <c r="K577" s="6" t="s">
        <v>532</v>
      </c>
      <c r="L577" s="6" t="s">
        <v>26</v>
      </c>
      <c r="M577" s="6" t="s">
        <v>149</v>
      </c>
      <c r="N577" s="7" t="s">
        <v>18</v>
      </c>
      <c r="O577" s="23" t="s">
        <v>3622</v>
      </c>
      <c r="P577" s="23" t="s">
        <v>3623</v>
      </c>
      <c r="Q577" s="23" t="s">
        <v>3624</v>
      </c>
      <c r="R577" s="23" t="s">
        <v>3612</v>
      </c>
      <c r="S577" s="2" t="s">
        <v>3613</v>
      </c>
      <c r="T577" s="2" t="s">
        <v>3614</v>
      </c>
      <c r="U577" s="2" t="s">
        <v>3615</v>
      </c>
      <c r="V577" s="23" t="s">
        <v>3616</v>
      </c>
      <c r="W577" s="24" t="s">
        <v>3617</v>
      </c>
      <c r="X577" s="23" t="s">
        <v>3618</v>
      </c>
      <c r="Y577" s="23" t="s">
        <v>3620</v>
      </c>
      <c r="Z577" s="23" t="s">
        <v>3621</v>
      </c>
      <c r="AA577" s="23" t="s">
        <v>3625</v>
      </c>
    </row>
    <row r="578" spans="1:27" ht="15.75" customHeight="1">
      <c r="A578" s="4" t="s">
        <v>1128</v>
      </c>
      <c r="B578" s="5">
        <v>2402</v>
      </c>
      <c r="C578" s="6" t="s">
        <v>1203</v>
      </c>
      <c r="D578" s="7">
        <v>2022479218</v>
      </c>
      <c r="E578" s="7">
        <v>2201010929</v>
      </c>
      <c r="F578" s="7" t="s">
        <v>1811</v>
      </c>
      <c r="G578" s="7" t="s">
        <v>13</v>
      </c>
      <c r="H578" s="6" t="s">
        <v>1204</v>
      </c>
      <c r="I578" s="6" t="s">
        <v>2963</v>
      </c>
      <c r="J578" s="6" t="s">
        <v>2964</v>
      </c>
      <c r="K578" s="6" t="s">
        <v>532</v>
      </c>
      <c r="L578" s="6" t="s">
        <v>21</v>
      </c>
      <c r="M578" s="6" t="s">
        <v>17</v>
      </c>
      <c r="N578" s="7" t="s">
        <v>18</v>
      </c>
      <c r="O578" s="23" t="s">
        <v>3622</v>
      </c>
      <c r="P578" s="23" t="s">
        <v>3623</v>
      </c>
      <c r="Q578" s="23" t="s">
        <v>3624</v>
      </c>
      <c r="R578" s="23" t="s">
        <v>3612</v>
      </c>
      <c r="S578" s="2" t="s">
        <v>3613</v>
      </c>
      <c r="T578" s="2" t="s">
        <v>3614</v>
      </c>
      <c r="U578" s="2" t="s">
        <v>3615</v>
      </c>
      <c r="V578" s="23" t="s">
        <v>3616</v>
      </c>
      <c r="W578" s="24" t="s">
        <v>3617</v>
      </c>
      <c r="X578" s="23" t="s">
        <v>3618</v>
      </c>
      <c r="Y578" s="23" t="s">
        <v>3620</v>
      </c>
      <c r="Z578" s="23" t="s">
        <v>3621</v>
      </c>
      <c r="AA578" s="23" t="s">
        <v>3625</v>
      </c>
    </row>
    <row r="579" spans="1:27" ht="15.75" customHeight="1">
      <c r="A579" s="4" t="s">
        <v>1128</v>
      </c>
      <c r="B579" s="5">
        <v>2402</v>
      </c>
      <c r="C579" s="6" t="s">
        <v>1231</v>
      </c>
      <c r="D579" s="7">
        <v>2022600192</v>
      </c>
      <c r="E579" s="7">
        <v>2201010933</v>
      </c>
      <c r="F579" s="7" t="s">
        <v>1811</v>
      </c>
      <c r="G579" s="7" t="s">
        <v>13</v>
      </c>
      <c r="H579" s="6" t="s">
        <v>1232</v>
      </c>
      <c r="I579" s="6" t="s">
        <v>2965</v>
      </c>
      <c r="J579" s="6" t="s">
        <v>2966</v>
      </c>
      <c r="K579" s="6" t="s">
        <v>532</v>
      </c>
      <c r="L579" s="6" t="s">
        <v>26</v>
      </c>
      <c r="M579" s="6" t="s">
        <v>16</v>
      </c>
      <c r="N579" s="7" t="s">
        <v>18</v>
      </c>
      <c r="O579" s="23" t="s">
        <v>3622</v>
      </c>
      <c r="P579" s="23" t="s">
        <v>3623</v>
      </c>
      <c r="Q579" s="23" t="s">
        <v>3624</v>
      </c>
      <c r="R579" s="23" t="s">
        <v>3612</v>
      </c>
      <c r="S579" s="2" t="s">
        <v>3613</v>
      </c>
      <c r="T579" s="2" t="s">
        <v>3614</v>
      </c>
      <c r="U579" s="2" t="s">
        <v>3615</v>
      </c>
      <c r="V579" s="23" t="s">
        <v>3616</v>
      </c>
      <c r="W579" s="24" t="s">
        <v>3617</v>
      </c>
      <c r="X579" s="23" t="s">
        <v>3618</v>
      </c>
      <c r="Y579" s="23" t="s">
        <v>3620</v>
      </c>
      <c r="Z579" s="23" t="s">
        <v>3621</v>
      </c>
      <c r="AA579" s="23" t="s">
        <v>3625</v>
      </c>
    </row>
    <row r="580" spans="1:27" ht="15.75" customHeight="1">
      <c r="A580" s="4" t="s">
        <v>1128</v>
      </c>
      <c r="B580" s="5">
        <v>2402</v>
      </c>
      <c r="C580" s="6" t="s">
        <v>1233</v>
      </c>
      <c r="D580" s="7">
        <v>2022601761</v>
      </c>
      <c r="E580" s="7">
        <v>2201010934</v>
      </c>
      <c r="F580" s="7" t="s">
        <v>1811</v>
      </c>
      <c r="G580" s="7" t="s">
        <v>13</v>
      </c>
      <c r="H580" s="6" t="s">
        <v>1234</v>
      </c>
      <c r="I580" s="6" t="s">
        <v>2967</v>
      </c>
      <c r="J580" s="6" t="s">
        <v>2968</v>
      </c>
      <c r="K580" s="6" t="s">
        <v>532</v>
      </c>
      <c r="L580" s="6" t="s">
        <v>21</v>
      </c>
      <c r="M580" s="6" t="s">
        <v>26</v>
      </c>
      <c r="N580" s="7" t="s">
        <v>18</v>
      </c>
      <c r="O580" s="23" t="s">
        <v>3622</v>
      </c>
      <c r="P580" s="23" t="s">
        <v>3623</v>
      </c>
      <c r="Q580" s="23" t="s">
        <v>3624</v>
      </c>
      <c r="R580" s="23" t="s">
        <v>3612</v>
      </c>
      <c r="S580" s="2" t="s">
        <v>3613</v>
      </c>
      <c r="T580" s="2" t="s">
        <v>3614</v>
      </c>
      <c r="U580" s="2" t="s">
        <v>3615</v>
      </c>
      <c r="V580" s="23" t="s">
        <v>3616</v>
      </c>
      <c r="W580" s="24" t="s">
        <v>3617</v>
      </c>
      <c r="X580" s="23" t="s">
        <v>3618</v>
      </c>
      <c r="Y580" s="23" t="s">
        <v>3620</v>
      </c>
      <c r="Z580" s="23" t="s">
        <v>3621</v>
      </c>
      <c r="AA580" s="23" t="s">
        <v>3625</v>
      </c>
    </row>
    <row r="581" spans="1:27" ht="15.75" customHeight="1">
      <c r="A581" s="4" t="s">
        <v>1128</v>
      </c>
      <c r="B581" s="5">
        <v>2402</v>
      </c>
      <c r="C581" s="6" t="s">
        <v>1235</v>
      </c>
      <c r="D581" s="7">
        <v>2022610396</v>
      </c>
      <c r="E581" s="7">
        <v>2201010937</v>
      </c>
      <c r="F581" s="7" t="s">
        <v>1811</v>
      </c>
      <c r="G581" s="7" t="s">
        <v>13</v>
      </c>
      <c r="H581" s="6" t="s">
        <v>1236</v>
      </c>
      <c r="I581" s="6" t="s">
        <v>2969</v>
      </c>
      <c r="J581" s="6" t="s">
        <v>2970</v>
      </c>
      <c r="K581" s="6" t="s">
        <v>532</v>
      </c>
      <c r="L581" s="6" t="s">
        <v>21</v>
      </c>
      <c r="M581" s="6" t="s">
        <v>26</v>
      </c>
      <c r="N581" s="7" t="s">
        <v>18</v>
      </c>
      <c r="O581" s="23" t="s">
        <v>3622</v>
      </c>
      <c r="P581" s="23" t="s">
        <v>3623</v>
      </c>
      <c r="Q581" s="23" t="s">
        <v>3624</v>
      </c>
      <c r="R581" s="23" t="s">
        <v>3612</v>
      </c>
      <c r="S581" s="2" t="s">
        <v>3613</v>
      </c>
      <c r="T581" s="2" t="s">
        <v>3614</v>
      </c>
      <c r="U581" s="2" t="s">
        <v>3615</v>
      </c>
      <c r="V581" s="23" t="s">
        <v>3616</v>
      </c>
      <c r="W581" s="24" t="s">
        <v>3617</v>
      </c>
      <c r="X581" s="23" t="s">
        <v>3618</v>
      </c>
      <c r="Y581" s="23" t="s">
        <v>3620</v>
      </c>
      <c r="Z581" s="23" t="s">
        <v>3621</v>
      </c>
      <c r="AA581" s="23" t="s">
        <v>3625</v>
      </c>
    </row>
    <row r="582" spans="1:27" ht="15.75" customHeight="1">
      <c r="A582" s="4" t="s">
        <v>1128</v>
      </c>
      <c r="B582" s="5">
        <v>2402</v>
      </c>
      <c r="C582" s="6" t="s">
        <v>1239</v>
      </c>
      <c r="D582" s="7">
        <v>2022623133</v>
      </c>
      <c r="E582" s="7">
        <v>2201010939</v>
      </c>
      <c r="F582" s="7" t="s">
        <v>1811</v>
      </c>
      <c r="G582" s="7" t="s">
        <v>13</v>
      </c>
      <c r="H582" s="6" t="s">
        <v>1240</v>
      </c>
      <c r="I582" s="6" t="s">
        <v>2971</v>
      </c>
      <c r="J582" s="6" t="s">
        <v>2972</v>
      </c>
      <c r="K582" s="6" t="s">
        <v>532</v>
      </c>
      <c r="L582" s="6" t="s">
        <v>21</v>
      </c>
      <c r="M582" s="6" t="s">
        <v>26</v>
      </c>
      <c r="N582" s="7" t="s">
        <v>18</v>
      </c>
      <c r="O582" s="23" t="s">
        <v>3622</v>
      </c>
      <c r="P582" s="23" t="s">
        <v>3623</v>
      </c>
      <c r="Q582" s="23" t="s">
        <v>3624</v>
      </c>
      <c r="R582" s="23" t="s">
        <v>3612</v>
      </c>
      <c r="S582" s="2" t="s">
        <v>3613</v>
      </c>
      <c r="T582" s="2" t="s">
        <v>3614</v>
      </c>
      <c r="U582" s="2" t="s">
        <v>3615</v>
      </c>
      <c r="V582" s="23" t="s">
        <v>3616</v>
      </c>
      <c r="W582" s="24" t="s">
        <v>3617</v>
      </c>
      <c r="X582" s="23" t="s">
        <v>3618</v>
      </c>
      <c r="Y582" s="23" t="s">
        <v>3620</v>
      </c>
      <c r="Z582" s="23" t="s">
        <v>3621</v>
      </c>
      <c r="AA582" s="23" t="s">
        <v>3625</v>
      </c>
    </row>
    <row r="583" spans="1:27" ht="15.75" customHeight="1">
      <c r="A583" s="4" t="s">
        <v>1274</v>
      </c>
      <c r="B583" s="5">
        <v>2402</v>
      </c>
      <c r="C583" s="6" t="s">
        <v>1498</v>
      </c>
      <c r="D583" s="7">
        <v>2021002535</v>
      </c>
      <c r="E583" s="7">
        <v>210101305</v>
      </c>
      <c r="F583" s="7" t="s">
        <v>1802</v>
      </c>
      <c r="G583" s="7" t="s">
        <v>13</v>
      </c>
      <c r="H583" s="6" t="s">
        <v>1691</v>
      </c>
      <c r="I583" s="6" t="s">
        <v>2973</v>
      </c>
      <c r="J583" s="6" t="s">
        <v>2974</v>
      </c>
      <c r="K583" s="6" t="s">
        <v>1276</v>
      </c>
      <c r="L583" s="6" t="s">
        <v>21</v>
      </c>
      <c r="M583" s="6" t="s">
        <v>104</v>
      </c>
      <c r="N583" s="7" t="s">
        <v>18</v>
      </c>
      <c r="O583" s="23" t="s">
        <v>3626</v>
      </c>
      <c r="P583" s="23" t="s">
        <v>3627</v>
      </c>
      <c r="Q583" s="23" t="s">
        <v>3628</v>
      </c>
      <c r="R583" s="23" t="s">
        <v>3612</v>
      </c>
      <c r="S583" s="2" t="s">
        <v>3613</v>
      </c>
      <c r="T583" s="2" t="s">
        <v>3614</v>
      </c>
      <c r="U583" s="2" t="s">
        <v>3615</v>
      </c>
      <c r="V583" s="23" t="s">
        <v>3616</v>
      </c>
      <c r="W583" s="24" t="s">
        <v>3617</v>
      </c>
      <c r="X583" s="23" t="s">
        <v>3618</v>
      </c>
      <c r="Y583" s="23" t="s">
        <v>3620</v>
      </c>
      <c r="Z583" s="23" t="s">
        <v>3621</v>
      </c>
      <c r="AA583" s="23" t="s">
        <v>3629</v>
      </c>
    </row>
    <row r="584" spans="1:27" ht="15.75" customHeight="1">
      <c r="A584" s="4" t="s">
        <v>1274</v>
      </c>
      <c r="B584" s="5">
        <v>2402</v>
      </c>
      <c r="C584" s="6" t="s">
        <v>1264</v>
      </c>
      <c r="D584" s="7">
        <v>2022004361</v>
      </c>
      <c r="E584" s="7">
        <v>2201010024</v>
      </c>
      <c r="F584" s="7" t="s">
        <v>1802</v>
      </c>
      <c r="G584" s="7" t="s">
        <v>13</v>
      </c>
      <c r="H584" s="6" t="s">
        <v>1275</v>
      </c>
      <c r="I584" s="6" t="s">
        <v>2975</v>
      </c>
      <c r="J584" s="6" t="s">
        <v>2976</v>
      </c>
      <c r="K584" s="6" t="s">
        <v>1276</v>
      </c>
      <c r="L584" s="6" t="s">
        <v>104</v>
      </c>
      <c r="M584" s="6" t="s">
        <v>26</v>
      </c>
      <c r="N584" s="7" t="s">
        <v>18</v>
      </c>
      <c r="O584" s="23" t="s">
        <v>3626</v>
      </c>
      <c r="P584" s="23" t="s">
        <v>3627</v>
      </c>
      <c r="Q584" s="23" t="s">
        <v>3628</v>
      </c>
      <c r="R584" s="23" t="s">
        <v>3612</v>
      </c>
      <c r="S584" s="2" t="s">
        <v>3613</v>
      </c>
      <c r="T584" s="2" t="s">
        <v>3614</v>
      </c>
      <c r="U584" s="2" t="s">
        <v>3615</v>
      </c>
      <c r="V584" s="23" t="s">
        <v>3616</v>
      </c>
      <c r="W584" s="24" t="s">
        <v>3617</v>
      </c>
      <c r="X584" s="23" t="s">
        <v>3618</v>
      </c>
      <c r="Y584" s="23" t="s">
        <v>3620</v>
      </c>
      <c r="Z584" s="23" t="s">
        <v>3621</v>
      </c>
      <c r="AA584" s="23" t="s">
        <v>3629</v>
      </c>
    </row>
    <row r="585" spans="1:27" ht="15.75" customHeight="1">
      <c r="A585" s="4" t="s">
        <v>1274</v>
      </c>
      <c r="B585" s="5">
        <v>2402</v>
      </c>
      <c r="C585" s="6" t="s">
        <v>1772</v>
      </c>
      <c r="D585" s="7">
        <v>2022506579</v>
      </c>
      <c r="E585" s="7">
        <v>2201010061</v>
      </c>
      <c r="F585" s="7" t="s">
        <v>1802</v>
      </c>
      <c r="G585" s="7" t="s">
        <v>13</v>
      </c>
      <c r="H585" s="6" t="s">
        <v>1773</v>
      </c>
      <c r="I585" s="6" t="s">
        <v>2977</v>
      </c>
      <c r="J585" s="6" t="s">
        <v>2978</v>
      </c>
      <c r="K585" s="6" t="s">
        <v>1276</v>
      </c>
      <c r="L585" s="6" t="s">
        <v>104</v>
      </c>
      <c r="M585" s="6" t="s">
        <v>21</v>
      </c>
      <c r="N585" s="7" t="s">
        <v>18</v>
      </c>
      <c r="O585" s="23" t="s">
        <v>3626</v>
      </c>
      <c r="P585" s="23" t="s">
        <v>3627</v>
      </c>
      <c r="Q585" s="23" t="s">
        <v>3628</v>
      </c>
      <c r="R585" s="23" t="s">
        <v>3612</v>
      </c>
      <c r="S585" s="2" t="s">
        <v>3613</v>
      </c>
      <c r="T585" s="2" t="s">
        <v>3614</v>
      </c>
      <c r="U585" s="2" t="s">
        <v>3615</v>
      </c>
      <c r="V585" s="23" t="s">
        <v>3616</v>
      </c>
      <c r="W585" s="24" t="s">
        <v>3617</v>
      </c>
      <c r="X585" s="23" t="s">
        <v>3618</v>
      </c>
      <c r="Y585" s="23" t="s">
        <v>3620</v>
      </c>
      <c r="Z585" s="23" t="s">
        <v>3621</v>
      </c>
      <c r="AA585" s="23" t="s">
        <v>3629</v>
      </c>
    </row>
    <row r="586" spans="1:27" ht="15.75" customHeight="1">
      <c r="A586" s="4" t="s">
        <v>1274</v>
      </c>
      <c r="B586" s="5">
        <v>2402</v>
      </c>
      <c r="C586" s="6" t="s">
        <v>1297</v>
      </c>
      <c r="D586" s="7">
        <v>2022334026</v>
      </c>
      <c r="E586" s="7">
        <v>2201010063</v>
      </c>
      <c r="F586" s="7" t="s">
        <v>1802</v>
      </c>
      <c r="G586" s="7" t="s">
        <v>13</v>
      </c>
      <c r="H586" s="6" t="s">
        <v>1298</v>
      </c>
      <c r="I586" s="6" t="s">
        <v>2979</v>
      </c>
      <c r="J586" s="6" t="s">
        <v>2980</v>
      </c>
      <c r="K586" s="6" t="s">
        <v>1276</v>
      </c>
      <c r="L586" s="6" t="s">
        <v>104</v>
      </c>
      <c r="M586" s="6" t="s">
        <v>26</v>
      </c>
      <c r="N586" s="7" t="s">
        <v>18</v>
      </c>
      <c r="O586" s="23" t="s">
        <v>3626</v>
      </c>
      <c r="P586" s="23" t="s">
        <v>3627</v>
      </c>
      <c r="Q586" s="23" t="s">
        <v>3628</v>
      </c>
      <c r="R586" s="23" t="s">
        <v>3612</v>
      </c>
      <c r="S586" s="2" t="s">
        <v>3613</v>
      </c>
      <c r="T586" s="2" t="s">
        <v>3614</v>
      </c>
      <c r="U586" s="2" t="s">
        <v>3615</v>
      </c>
      <c r="V586" s="23" t="s">
        <v>3616</v>
      </c>
      <c r="W586" s="24" t="s">
        <v>3617</v>
      </c>
      <c r="X586" s="23" t="s">
        <v>3618</v>
      </c>
      <c r="Y586" s="23" t="s">
        <v>3620</v>
      </c>
      <c r="Z586" s="23" t="s">
        <v>3621</v>
      </c>
      <c r="AA586" s="23" t="s">
        <v>3629</v>
      </c>
    </row>
    <row r="587" spans="1:27" ht="15.75" customHeight="1">
      <c r="A587" s="4" t="s">
        <v>1274</v>
      </c>
      <c r="B587" s="5">
        <v>2402</v>
      </c>
      <c r="C587" s="6" t="s">
        <v>1746</v>
      </c>
      <c r="D587" s="7">
        <v>2022426354</v>
      </c>
      <c r="E587" s="7">
        <v>2201010067</v>
      </c>
      <c r="F587" s="7" t="s">
        <v>1802</v>
      </c>
      <c r="G587" s="7" t="s">
        <v>13</v>
      </c>
      <c r="H587" s="6" t="s">
        <v>1747</v>
      </c>
      <c r="I587" s="6" t="s">
        <v>2981</v>
      </c>
      <c r="J587" s="6" t="s">
        <v>2982</v>
      </c>
      <c r="K587" s="6" t="s">
        <v>1276</v>
      </c>
      <c r="L587" s="6" t="s">
        <v>104</v>
      </c>
      <c r="M587" s="6" t="s">
        <v>26</v>
      </c>
      <c r="N587" s="7" t="s">
        <v>18</v>
      </c>
      <c r="O587" s="23" t="s">
        <v>3626</v>
      </c>
      <c r="P587" s="23" t="s">
        <v>3627</v>
      </c>
      <c r="Q587" s="23" t="s">
        <v>3628</v>
      </c>
      <c r="R587" s="23" t="s">
        <v>3612</v>
      </c>
      <c r="S587" s="2" t="s">
        <v>3613</v>
      </c>
      <c r="T587" s="2" t="s">
        <v>3614</v>
      </c>
      <c r="U587" s="2" t="s">
        <v>3615</v>
      </c>
      <c r="V587" s="23" t="s">
        <v>3616</v>
      </c>
      <c r="W587" s="24" t="s">
        <v>3617</v>
      </c>
      <c r="X587" s="23" t="s">
        <v>3618</v>
      </c>
      <c r="Y587" s="23" t="s">
        <v>3620</v>
      </c>
      <c r="Z587" s="23" t="s">
        <v>3621</v>
      </c>
      <c r="AA587" s="23" t="s">
        <v>3629</v>
      </c>
    </row>
    <row r="588" spans="1:27" ht="15.75" customHeight="1">
      <c r="A588" s="4" t="s">
        <v>1274</v>
      </c>
      <c r="B588" s="5">
        <v>2402</v>
      </c>
      <c r="C588" s="6" t="s">
        <v>1704</v>
      </c>
      <c r="D588" s="7">
        <v>2022005817</v>
      </c>
      <c r="E588" s="7">
        <v>2201010087</v>
      </c>
      <c r="F588" s="7" t="s">
        <v>1802</v>
      </c>
      <c r="G588" s="7" t="s">
        <v>13</v>
      </c>
      <c r="H588" s="6" t="s">
        <v>1705</v>
      </c>
      <c r="I588" s="6" t="s">
        <v>2983</v>
      </c>
      <c r="J588" s="6" t="s">
        <v>2984</v>
      </c>
      <c r="K588" s="6" t="s">
        <v>1276</v>
      </c>
      <c r="L588" s="6" t="s">
        <v>104</v>
      </c>
      <c r="M588" s="6" t="s">
        <v>26</v>
      </c>
      <c r="N588" s="7" t="s">
        <v>18</v>
      </c>
      <c r="O588" s="23" t="s">
        <v>3626</v>
      </c>
      <c r="P588" s="23" t="s">
        <v>3627</v>
      </c>
      <c r="Q588" s="23" t="s">
        <v>3628</v>
      </c>
      <c r="R588" s="23" t="s">
        <v>3612</v>
      </c>
      <c r="S588" s="2" t="s">
        <v>3613</v>
      </c>
      <c r="T588" s="2" t="s">
        <v>3614</v>
      </c>
      <c r="U588" s="2" t="s">
        <v>3615</v>
      </c>
      <c r="V588" s="23" t="s">
        <v>3616</v>
      </c>
      <c r="W588" s="24" t="s">
        <v>3617</v>
      </c>
      <c r="X588" s="23" t="s">
        <v>3618</v>
      </c>
      <c r="Y588" s="23" t="s">
        <v>3620</v>
      </c>
      <c r="Z588" s="23" t="s">
        <v>3621</v>
      </c>
      <c r="AA588" s="23" t="s">
        <v>3629</v>
      </c>
    </row>
    <row r="589" spans="1:27" ht="15.75" customHeight="1">
      <c r="A589" s="4" t="s">
        <v>1274</v>
      </c>
      <c r="B589" s="5">
        <v>2402</v>
      </c>
      <c r="C589" s="6" t="s">
        <v>175</v>
      </c>
      <c r="D589" s="7">
        <v>2022409017</v>
      </c>
      <c r="E589" s="7">
        <v>2201010094</v>
      </c>
      <c r="F589" s="7" t="s">
        <v>1802</v>
      </c>
      <c r="G589" s="7" t="s">
        <v>13</v>
      </c>
      <c r="H589" s="6" t="s">
        <v>1307</v>
      </c>
      <c r="I589" s="6" t="s">
        <v>2985</v>
      </c>
      <c r="J589" s="6" t="s">
        <v>2986</v>
      </c>
      <c r="K589" s="6" t="s">
        <v>1276</v>
      </c>
      <c r="L589" s="6" t="s">
        <v>104</v>
      </c>
      <c r="M589" s="6" t="s">
        <v>21</v>
      </c>
      <c r="N589" s="7" t="s">
        <v>18</v>
      </c>
      <c r="O589" s="23" t="s">
        <v>3626</v>
      </c>
      <c r="P589" s="23" t="s">
        <v>3627</v>
      </c>
      <c r="Q589" s="23" t="s">
        <v>3628</v>
      </c>
      <c r="R589" s="23" t="s">
        <v>3612</v>
      </c>
      <c r="S589" s="2" t="s">
        <v>3613</v>
      </c>
      <c r="T589" s="2" t="s">
        <v>3614</v>
      </c>
      <c r="U589" s="2" t="s">
        <v>3615</v>
      </c>
      <c r="V589" s="23" t="s">
        <v>3616</v>
      </c>
      <c r="W589" s="24" t="s">
        <v>3617</v>
      </c>
      <c r="X589" s="23" t="s">
        <v>3618</v>
      </c>
      <c r="Y589" s="23" t="s">
        <v>3620</v>
      </c>
      <c r="Z589" s="23" t="s">
        <v>3621</v>
      </c>
      <c r="AA589" s="23" t="s">
        <v>3629</v>
      </c>
    </row>
    <row r="590" spans="1:27" ht="15.75" customHeight="1">
      <c r="A590" s="4" t="s">
        <v>1274</v>
      </c>
      <c r="B590" s="5">
        <v>2402</v>
      </c>
      <c r="C590" s="6" t="s">
        <v>1343</v>
      </c>
      <c r="D590" s="7">
        <v>2022535335</v>
      </c>
      <c r="E590" s="7">
        <v>2201010100</v>
      </c>
      <c r="F590" s="7" t="s">
        <v>1802</v>
      </c>
      <c r="G590" s="7" t="s">
        <v>13</v>
      </c>
      <c r="H590" s="6" t="s">
        <v>1344</v>
      </c>
      <c r="I590" s="6" t="s">
        <v>2987</v>
      </c>
      <c r="J590" s="6" t="s">
        <v>2988</v>
      </c>
      <c r="K590" s="6" t="s">
        <v>1276</v>
      </c>
      <c r="L590" s="6" t="s">
        <v>104</v>
      </c>
      <c r="M590" s="6" t="s">
        <v>117</v>
      </c>
      <c r="N590" s="7" t="s">
        <v>18</v>
      </c>
      <c r="O590" s="23" t="s">
        <v>3626</v>
      </c>
      <c r="P590" s="23" t="s">
        <v>3627</v>
      </c>
      <c r="Q590" s="23" t="s">
        <v>3628</v>
      </c>
      <c r="R590" s="23" t="s">
        <v>3612</v>
      </c>
      <c r="S590" s="2" t="s">
        <v>3613</v>
      </c>
      <c r="T590" s="2" t="s">
        <v>3614</v>
      </c>
      <c r="U590" s="2" t="s">
        <v>3615</v>
      </c>
      <c r="V590" s="23" t="s">
        <v>3616</v>
      </c>
      <c r="W590" s="24" t="s">
        <v>3617</v>
      </c>
      <c r="X590" s="23" t="s">
        <v>3618</v>
      </c>
      <c r="Y590" s="23" t="s">
        <v>3620</v>
      </c>
      <c r="Z590" s="23" t="s">
        <v>3621</v>
      </c>
      <c r="AA590" s="23" t="s">
        <v>3629</v>
      </c>
    </row>
    <row r="591" spans="1:27" ht="15.75" customHeight="1">
      <c r="A591" s="4" t="s">
        <v>1274</v>
      </c>
      <c r="B591" s="5">
        <v>2402</v>
      </c>
      <c r="C591" s="6" t="s">
        <v>1742</v>
      </c>
      <c r="D591" s="7">
        <v>2022369167</v>
      </c>
      <c r="E591" s="7">
        <v>2201010113</v>
      </c>
      <c r="F591" s="7" t="s">
        <v>1802</v>
      </c>
      <c r="G591" s="7" t="s">
        <v>13</v>
      </c>
      <c r="H591" s="6" t="s">
        <v>1743</v>
      </c>
      <c r="I591" s="6" t="s">
        <v>2989</v>
      </c>
      <c r="J591" s="6" t="s">
        <v>2990</v>
      </c>
      <c r="K591" s="6" t="s">
        <v>1276</v>
      </c>
      <c r="L591" s="6" t="s">
        <v>26</v>
      </c>
      <c r="M591" s="6" t="s">
        <v>117</v>
      </c>
      <c r="N591" s="7" t="s">
        <v>18</v>
      </c>
      <c r="O591" s="23" t="s">
        <v>3626</v>
      </c>
      <c r="P591" s="23" t="s">
        <v>3627</v>
      </c>
      <c r="Q591" s="23" t="s">
        <v>3628</v>
      </c>
      <c r="R591" s="23" t="s">
        <v>3612</v>
      </c>
      <c r="S591" s="2" t="s">
        <v>3613</v>
      </c>
      <c r="T591" s="2" t="s">
        <v>3614</v>
      </c>
      <c r="U591" s="2" t="s">
        <v>3615</v>
      </c>
      <c r="V591" s="23" t="s">
        <v>3616</v>
      </c>
      <c r="W591" s="24" t="s">
        <v>3617</v>
      </c>
      <c r="X591" s="23" t="s">
        <v>3618</v>
      </c>
      <c r="Y591" s="23" t="s">
        <v>3620</v>
      </c>
      <c r="Z591" s="23" t="s">
        <v>3621</v>
      </c>
      <c r="AA591" s="23" t="s">
        <v>3629</v>
      </c>
    </row>
    <row r="592" spans="1:27" ht="15.75" customHeight="1">
      <c r="A592" s="4" t="s">
        <v>1274</v>
      </c>
      <c r="B592" s="5">
        <v>2402</v>
      </c>
      <c r="C592" s="6" t="s">
        <v>1759</v>
      </c>
      <c r="D592" s="7">
        <v>2022456042</v>
      </c>
      <c r="E592" s="7">
        <v>2201010120</v>
      </c>
      <c r="F592" s="7" t="s">
        <v>1802</v>
      </c>
      <c r="G592" s="7" t="s">
        <v>13</v>
      </c>
      <c r="H592" s="6" t="s">
        <v>1760</v>
      </c>
      <c r="I592" s="6" t="s">
        <v>2991</v>
      </c>
      <c r="J592" s="6" t="s">
        <v>2992</v>
      </c>
      <c r="K592" s="6" t="s">
        <v>1276</v>
      </c>
      <c r="L592" s="6" t="s">
        <v>104</v>
      </c>
      <c r="M592" s="6" t="s">
        <v>139</v>
      </c>
      <c r="N592" s="7" t="s">
        <v>18</v>
      </c>
      <c r="O592" s="23" t="s">
        <v>3626</v>
      </c>
      <c r="P592" s="23" t="s">
        <v>3627</v>
      </c>
      <c r="Q592" s="23" t="s">
        <v>3628</v>
      </c>
      <c r="R592" s="23" t="s">
        <v>3612</v>
      </c>
      <c r="S592" s="2" t="s">
        <v>3613</v>
      </c>
      <c r="T592" s="2" t="s">
        <v>3614</v>
      </c>
      <c r="U592" s="2" t="s">
        <v>3615</v>
      </c>
      <c r="V592" s="23" t="s">
        <v>3616</v>
      </c>
      <c r="W592" s="24" t="s">
        <v>3617</v>
      </c>
      <c r="X592" s="23" t="s">
        <v>3618</v>
      </c>
      <c r="Y592" s="23" t="s">
        <v>3620</v>
      </c>
      <c r="Z592" s="23" t="s">
        <v>3621</v>
      </c>
      <c r="AA592" s="23" t="s">
        <v>3629</v>
      </c>
    </row>
    <row r="593" spans="1:30" ht="15.75" customHeight="1">
      <c r="A593" s="4" t="s">
        <v>1274</v>
      </c>
      <c r="B593" s="5">
        <v>2402</v>
      </c>
      <c r="C593" s="6" t="s">
        <v>1778</v>
      </c>
      <c r="D593" s="7">
        <v>2022539806</v>
      </c>
      <c r="E593" s="7">
        <v>2201010133</v>
      </c>
      <c r="F593" s="7" t="s">
        <v>1802</v>
      </c>
      <c r="G593" s="7" t="s">
        <v>13</v>
      </c>
      <c r="H593" s="6" t="s">
        <v>1779</v>
      </c>
      <c r="I593" s="6" t="s">
        <v>2993</v>
      </c>
      <c r="J593" s="6" t="s">
        <v>2994</v>
      </c>
      <c r="K593" s="6" t="s">
        <v>1276</v>
      </c>
      <c r="L593" s="6" t="s">
        <v>104</v>
      </c>
      <c r="M593" s="6" t="s">
        <v>26</v>
      </c>
      <c r="N593" s="7" t="s">
        <v>18</v>
      </c>
      <c r="O593" s="23" t="s">
        <v>3626</v>
      </c>
      <c r="P593" s="23" t="s">
        <v>3627</v>
      </c>
      <c r="Q593" s="23" t="s">
        <v>3628</v>
      </c>
      <c r="R593" s="23" t="s">
        <v>3612</v>
      </c>
      <c r="S593" s="2" t="s">
        <v>3613</v>
      </c>
      <c r="T593" s="2" t="s">
        <v>3614</v>
      </c>
      <c r="U593" s="2" t="s">
        <v>3615</v>
      </c>
      <c r="V593" s="23" t="s">
        <v>3616</v>
      </c>
      <c r="W593" s="24" t="s">
        <v>3617</v>
      </c>
      <c r="X593" s="23" t="s">
        <v>3618</v>
      </c>
      <c r="Y593" s="23" t="s">
        <v>3620</v>
      </c>
      <c r="Z593" s="23" t="s">
        <v>3621</v>
      </c>
      <c r="AA593" s="23" t="s">
        <v>3629</v>
      </c>
      <c r="AB593" s="9"/>
      <c r="AC593" s="9"/>
      <c r="AD593" s="9"/>
    </row>
    <row r="594" spans="1:30" ht="15.75" customHeight="1">
      <c r="A594" s="4" t="s">
        <v>1274</v>
      </c>
      <c r="B594" s="5">
        <v>2402</v>
      </c>
      <c r="C594" s="6" t="s">
        <v>917</v>
      </c>
      <c r="D594" s="7">
        <v>2022504700</v>
      </c>
      <c r="E594" s="7">
        <v>2201010144</v>
      </c>
      <c r="F594" s="7" t="s">
        <v>1802</v>
      </c>
      <c r="G594" s="7" t="s">
        <v>13</v>
      </c>
      <c r="H594" s="6" t="s">
        <v>1771</v>
      </c>
      <c r="I594" s="6" t="s">
        <v>2995</v>
      </c>
      <c r="J594" s="6" t="s">
        <v>2996</v>
      </c>
      <c r="K594" s="6" t="s">
        <v>1276</v>
      </c>
      <c r="L594" s="6" t="s">
        <v>104</v>
      </c>
      <c r="M594" s="6" t="s">
        <v>26</v>
      </c>
      <c r="N594" s="7" t="s">
        <v>18</v>
      </c>
      <c r="O594" s="23" t="s">
        <v>3626</v>
      </c>
      <c r="P594" s="23" t="s">
        <v>3627</v>
      </c>
      <c r="Q594" s="23" t="s">
        <v>3628</v>
      </c>
      <c r="R594" s="23" t="s">
        <v>3612</v>
      </c>
      <c r="S594" s="2" t="s">
        <v>3613</v>
      </c>
      <c r="T594" s="2" t="s">
        <v>3614</v>
      </c>
      <c r="U594" s="2" t="s">
        <v>3615</v>
      </c>
      <c r="V594" s="23" t="s">
        <v>3616</v>
      </c>
      <c r="W594" s="24" t="s">
        <v>3617</v>
      </c>
      <c r="X594" s="23" t="s">
        <v>3618</v>
      </c>
      <c r="Y594" s="23" t="s">
        <v>3620</v>
      </c>
      <c r="Z594" s="23" t="s">
        <v>3621</v>
      </c>
      <c r="AA594" s="23" t="s">
        <v>3629</v>
      </c>
      <c r="AB594" s="9"/>
      <c r="AC594" s="9"/>
      <c r="AD594" s="9"/>
    </row>
    <row r="595" spans="1:30" ht="15.75" customHeight="1">
      <c r="A595" s="4" t="s">
        <v>1274</v>
      </c>
      <c r="B595" s="5">
        <v>2402</v>
      </c>
      <c r="C595" s="6" t="s">
        <v>1738</v>
      </c>
      <c r="D595" s="7">
        <v>2022360832</v>
      </c>
      <c r="E595" s="7">
        <v>2201010151</v>
      </c>
      <c r="F595" s="7" t="s">
        <v>1802</v>
      </c>
      <c r="G595" s="7" t="s">
        <v>13</v>
      </c>
      <c r="H595" s="6" t="s">
        <v>1739</v>
      </c>
      <c r="I595" s="6" t="s">
        <v>2997</v>
      </c>
      <c r="J595" s="6" t="s">
        <v>2998</v>
      </c>
      <c r="K595" s="6" t="s">
        <v>1276</v>
      </c>
      <c r="L595" s="6" t="s">
        <v>104</v>
      </c>
      <c r="M595" s="6" t="s">
        <v>104</v>
      </c>
      <c r="N595" s="7" t="s">
        <v>18</v>
      </c>
      <c r="O595" s="23" t="s">
        <v>3626</v>
      </c>
      <c r="P595" s="23" t="s">
        <v>3627</v>
      </c>
      <c r="Q595" s="23" t="s">
        <v>3628</v>
      </c>
      <c r="R595" s="23" t="s">
        <v>3612</v>
      </c>
      <c r="S595" s="2" t="s">
        <v>3613</v>
      </c>
      <c r="T595" s="2" t="s">
        <v>3614</v>
      </c>
      <c r="U595" s="2" t="s">
        <v>3615</v>
      </c>
      <c r="V595" s="23" t="s">
        <v>3616</v>
      </c>
      <c r="W595" s="24" t="s">
        <v>3617</v>
      </c>
      <c r="X595" s="23" t="s">
        <v>3618</v>
      </c>
      <c r="Y595" s="23" t="s">
        <v>3620</v>
      </c>
      <c r="Z595" s="23" t="s">
        <v>3621</v>
      </c>
      <c r="AA595" s="23" t="s">
        <v>3629</v>
      </c>
    </row>
    <row r="596" spans="1:30" ht="15.75" customHeight="1">
      <c r="A596" s="4" t="s">
        <v>1274</v>
      </c>
      <c r="B596" s="5">
        <v>2402</v>
      </c>
      <c r="C596" s="6" t="s">
        <v>1347</v>
      </c>
      <c r="D596" s="7">
        <v>2022542429</v>
      </c>
      <c r="E596" s="7">
        <v>2201010174</v>
      </c>
      <c r="F596" s="7" t="s">
        <v>1802</v>
      </c>
      <c r="G596" s="7" t="s">
        <v>13</v>
      </c>
      <c r="H596" s="6" t="s">
        <v>1348</v>
      </c>
      <c r="I596" s="6" t="s">
        <v>2999</v>
      </c>
      <c r="J596" s="6" t="s">
        <v>3000</v>
      </c>
      <c r="K596" s="6" t="s">
        <v>1276</v>
      </c>
      <c r="L596" s="6" t="s">
        <v>104</v>
      </c>
      <c r="M596" s="6" t="s">
        <v>49</v>
      </c>
      <c r="N596" s="7" t="s">
        <v>18</v>
      </c>
      <c r="O596" s="23" t="s">
        <v>3626</v>
      </c>
      <c r="P596" s="23" t="s">
        <v>3627</v>
      </c>
      <c r="Q596" s="23" t="s">
        <v>3628</v>
      </c>
      <c r="R596" s="23" t="s">
        <v>3612</v>
      </c>
      <c r="S596" s="2" t="s">
        <v>3613</v>
      </c>
      <c r="T596" s="2" t="s">
        <v>3614</v>
      </c>
      <c r="U596" s="2" t="s">
        <v>3615</v>
      </c>
      <c r="V596" s="23" t="s">
        <v>3616</v>
      </c>
      <c r="W596" s="24" t="s">
        <v>3617</v>
      </c>
      <c r="X596" s="23" t="s">
        <v>3618</v>
      </c>
      <c r="Y596" s="23" t="s">
        <v>3620</v>
      </c>
      <c r="Z596" s="23" t="s">
        <v>3621</v>
      </c>
      <c r="AA596" s="23" t="s">
        <v>3629</v>
      </c>
    </row>
    <row r="597" spans="1:30" ht="15.75" customHeight="1">
      <c r="A597" s="4" t="s">
        <v>1274</v>
      </c>
      <c r="B597" s="5">
        <v>2402</v>
      </c>
      <c r="C597" s="6" t="s">
        <v>1362</v>
      </c>
      <c r="D597" s="7">
        <v>2022825759</v>
      </c>
      <c r="E597" s="7">
        <v>2201010202</v>
      </c>
      <c r="F597" s="7" t="s">
        <v>1802</v>
      </c>
      <c r="G597" s="7" t="s">
        <v>13</v>
      </c>
      <c r="H597" s="6" t="s">
        <v>1363</v>
      </c>
      <c r="I597" s="6" t="s">
        <v>3001</v>
      </c>
      <c r="J597" s="6" t="s">
        <v>3002</v>
      </c>
      <c r="K597" s="6" t="s">
        <v>1276</v>
      </c>
      <c r="L597" s="6" t="s">
        <v>104</v>
      </c>
      <c r="M597" s="6" t="s">
        <v>26</v>
      </c>
      <c r="N597" s="7" t="s">
        <v>18</v>
      </c>
      <c r="O597" s="23" t="s">
        <v>3626</v>
      </c>
      <c r="P597" s="23" t="s">
        <v>3627</v>
      </c>
      <c r="Q597" s="23" t="s">
        <v>3628</v>
      </c>
      <c r="R597" s="23" t="s">
        <v>3612</v>
      </c>
      <c r="S597" s="2" t="s">
        <v>3613</v>
      </c>
      <c r="T597" s="2" t="s">
        <v>3614</v>
      </c>
      <c r="U597" s="2" t="s">
        <v>3615</v>
      </c>
      <c r="V597" s="23" t="s">
        <v>3616</v>
      </c>
      <c r="W597" s="24" t="s">
        <v>3617</v>
      </c>
      <c r="X597" s="23" t="s">
        <v>3618</v>
      </c>
      <c r="Y597" s="23" t="s">
        <v>3620</v>
      </c>
      <c r="Z597" s="23" t="s">
        <v>3621</v>
      </c>
      <c r="AA597" s="23" t="s">
        <v>3629</v>
      </c>
    </row>
    <row r="598" spans="1:30" ht="15.75" customHeight="1">
      <c r="A598" s="4" t="s">
        <v>1274</v>
      </c>
      <c r="B598" s="5">
        <v>2402</v>
      </c>
      <c r="C598" s="6" t="s">
        <v>1702</v>
      </c>
      <c r="D598" s="7">
        <v>2022005712</v>
      </c>
      <c r="E598" s="7">
        <v>2201010210</v>
      </c>
      <c r="F598" s="7" t="s">
        <v>1802</v>
      </c>
      <c r="G598" s="7" t="s">
        <v>13</v>
      </c>
      <c r="H598" s="6" t="s">
        <v>1703</v>
      </c>
      <c r="I598" s="6" t="s">
        <v>3003</v>
      </c>
      <c r="J598" s="6" t="s">
        <v>3004</v>
      </c>
      <c r="K598" s="6" t="s">
        <v>1276</v>
      </c>
      <c r="L598" s="6" t="s">
        <v>104</v>
      </c>
      <c r="M598" s="6" t="s">
        <v>117</v>
      </c>
      <c r="N598" s="7" t="s">
        <v>18</v>
      </c>
      <c r="O598" s="23" t="s">
        <v>3626</v>
      </c>
      <c r="P598" s="23" t="s">
        <v>3627</v>
      </c>
      <c r="Q598" s="23" t="s">
        <v>3628</v>
      </c>
      <c r="R598" s="23" t="s">
        <v>3612</v>
      </c>
      <c r="S598" s="2" t="s">
        <v>3613</v>
      </c>
      <c r="T598" s="2" t="s">
        <v>3614</v>
      </c>
      <c r="U598" s="2" t="s">
        <v>3615</v>
      </c>
      <c r="V598" s="23" t="s">
        <v>3616</v>
      </c>
      <c r="W598" s="24" t="s">
        <v>3617</v>
      </c>
      <c r="X598" s="23" t="s">
        <v>3618</v>
      </c>
      <c r="Y598" s="23" t="s">
        <v>3620</v>
      </c>
      <c r="Z598" s="23" t="s">
        <v>3621</v>
      </c>
      <c r="AA598" s="23" t="s">
        <v>3629</v>
      </c>
    </row>
    <row r="599" spans="1:30" ht="15.75" customHeight="1">
      <c r="A599" s="4" t="s">
        <v>1274</v>
      </c>
      <c r="B599" s="5">
        <v>2402</v>
      </c>
      <c r="C599" s="6" t="s">
        <v>1736</v>
      </c>
      <c r="D599" s="7">
        <v>2022325712</v>
      </c>
      <c r="E599" s="7">
        <v>2201010280</v>
      </c>
      <c r="F599" s="7" t="s">
        <v>1802</v>
      </c>
      <c r="G599" s="7" t="s">
        <v>13</v>
      </c>
      <c r="H599" s="6" t="s">
        <v>1737</v>
      </c>
      <c r="I599" s="6" t="s">
        <v>3005</v>
      </c>
      <c r="J599" s="6" t="s">
        <v>3006</v>
      </c>
      <c r="K599" s="6" t="s">
        <v>1276</v>
      </c>
      <c r="L599" s="6" t="s">
        <v>104</v>
      </c>
      <c r="M599" s="6" t="s">
        <v>26</v>
      </c>
      <c r="N599" s="7" t="s">
        <v>18</v>
      </c>
      <c r="O599" s="23" t="s">
        <v>3626</v>
      </c>
      <c r="P599" s="23" t="s">
        <v>3627</v>
      </c>
      <c r="Q599" s="23" t="s">
        <v>3628</v>
      </c>
      <c r="R599" s="23" t="s">
        <v>3612</v>
      </c>
      <c r="S599" s="2" t="s">
        <v>3613</v>
      </c>
      <c r="T599" s="2" t="s">
        <v>3614</v>
      </c>
      <c r="U599" s="2" t="s">
        <v>3615</v>
      </c>
      <c r="V599" s="23" t="s">
        <v>3616</v>
      </c>
      <c r="W599" s="24" t="s">
        <v>3617</v>
      </c>
      <c r="X599" s="23" t="s">
        <v>3618</v>
      </c>
      <c r="Y599" s="23" t="s">
        <v>3620</v>
      </c>
      <c r="Z599" s="23" t="s">
        <v>3621</v>
      </c>
      <c r="AA599" s="23" t="s">
        <v>3629</v>
      </c>
    </row>
    <row r="600" spans="1:30" ht="15.75" customHeight="1">
      <c r="A600" s="4" t="s">
        <v>1274</v>
      </c>
      <c r="B600" s="5">
        <v>2402</v>
      </c>
      <c r="C600" s="6" t="s">
        <v>1279</v>
      </c>
      <c r="D600" s="7">
        <v>2022005046</v>
      </c>
      <c r="E600" s="7">
        <v>2201010302</v>
      </c>
      <c r="F600" s="7" t="s">
        <v>1802</v>
      </c>
      <c r="G600" s="7" t="s">
        <v>13</v>
      </c>
      <c r="H600" s="6" t="s">
        <v>1280</v>
      </c>
      <c r="I600" s="6" t="s">
        <v>3007</v>
      </c>
      <c r="J600" s="6" t="s">
        <v>3008</v>
      </c>
      <c r="K600" s="6" t="s">
        <v>1276</v>
      </c>
      <c r="L600" s="6" t="s">
        <v>21</v>
      </c>
      <c r="M600" s="6" t="s">
        <v>21</v>
      </c>
      <c r="N600" s="7" t="s">
        <v>18</v>
      </c>
      <c r="O600" s="23" t="s">
        <v>3626</v>
      </c>
      <c r="P600" s="23" t="s">
        <v>3627</v>
      </c>
      <c r="Q600" s="23" t="s">
        <v>3628</v>
      </c>
      <c r="R600" s="23" t="s">
        <v>3612</v>
      </c>
      <c r="S600" s="2" t="s">
        <v>3613</v>
      </c>
      <c r="T600" s="2" t="s">
        <v>3614</v>
      </c>
      <c r="U600" s="2" t="s">
        <v>3615</v>
      </c>
      <c r="V600" s="23" t="s">
        <v>3616</v>
      </c>
      <c r="W600" s="24" t="s">
        <v>3617</v>
      </c>
      <c r="X600" s="23" t="s">
        <v>3618</v>
      </c>
      <c r="Y600" s="23" t="s">
        <v>3620</v>
      </c>
      <c r="Z600" s="23" t="s">
        <v>3621</v>
      </c>
      <c r="AA600" s="23" t="s">
        <v>3629</v>
      </c>
    </row>
    <row r="601" spans="1:30" ht="15.75" customHeight="1">
      <c r="A601" s="4" t="s">
        <v>1274</v>
      </c>
      <c r="B601" s="5">
        <v>2402</v>
      </c>
      <c r="C601" s="6" t="s">
        <v>1318</v>
      </c>
      <c r="D601" s="7">
        <v>2022480883</v>
      </c>
      <c r="E601" s="7">
        <v>2201010305</v>
      </c>
      <c r="F601" s="7" t="s">
        <v>1802</v>
      </c>
      <c r="G601" s="7" t="s">
        <v>13</v>
      </c>
      <c r="H601" s="6" t="s">
        <v>1319</v>
      </c>
      <c r="I601" s="6" t="s">
        <v>3009</v>
      </c>
      <c r="J601" s="6" t="s">
        <v>3010</v>
      </c>
      <c r="K601" s="6" t="s">
        <v>1276</v>
      </c>
      <c r="L601" s="6" t="s">
        <v>104</v>
      </c>
      <c r="M601" s="6" t="s">
        <v>21</v>
      </c>
      <c r="N601" s="7" t="s">
        <v>18</v>
      </c>
      <c r="O601" s="23" t="s">
        <v>3626</v>
      </c>
      <c r="P601" s="23" t="s">
        <v>3627</v>
      </c>
      <c r="Q601" s="23" t="s">
        <v>3628</v>
      </c>
      <c r="R601" s="23" t="s">
        <v>3612</v>
      </c>
      <c r="S601" s="2" t="s">
        <v>3613</v>
      </c>
      <c r="T601" s="2" t="s">
        <v>3614</v>
      </c>
      <c r="U601" s="2" t="s">
        <v>3615</v>
      </c>
      <c r="V601" s="23" t="s">
        <v>3616</v>
      </c>
      <c r="W601" s="24" t="s">
        <v>3617</v>
      </c>
      <c r="X601" s="23" t="s">
        <v>3618</v>
      </c>
      <c r="Y601" s="23" t="s">
        <v>3620</v>
      </c>
      <c r="Z601" s="23" t="s">
        <v>3621</v>
      </c>
      <c r="AA601" s="23" t="s">
        <v>3629</v>
      </c>
    </row>
    <row r="602" spans="1:30" ht="15.75" customHeight="1">
      <c r="A602" s="4" t="s">
        <v>1274</v>
      </c>
      <c r="B602" s="5">
        <v>2402</v>
      </c>
      <c r="C602" s="6" t="s">
        <v>1765</v>
      </c>
      <c r="D602" s="7">
        <v>2022469633</v>
      </c>
      <c r="E602" s="7">
        <v>2201010328</v>
      </c>
      <c r="F602" s="7" t="s">
        <v>1802</v>
      </c>
      <c r="G602" s="7" t="s">
        <v>13</v>
      </c>
      <c r="H602" s="6" t="s">
        <v>1766</v>
      </c>
      <c r="I602" s="6" t="s">
        <v>3011</v>
      </c>
      <c r="J602" s="6" t="s">
        <v>3012</v>
      </c>
      <c r="K602" s="6" t="s">
        <v>1276</v>
      </c>
      <c r="L602" s="6" t="s">
        <v>104</v>
      </c>
      <c r="M602" s="6" t="s">
        <v>21</v>
      </c>
      <c r="N602" s="7" t="s">
        <v>18</v>
      </c>
      <c r="O602" s="23" t="s">
        <v>3626</v>
      </c>
      <c r="P602" s="23" t="s">
        <v>3627</v>
      </c>
      <c r="Q602" s="23" t="s">
        <v>3628</v>
      </c>
      <c r="R602" s="23" t="s">
        <v>3612</v>
      </c>
      <c r="S602" s="2" t="s">
        <v>3613</v>
      </c>
      <c r="T602" s="2" t="s">
        <v>3614</v>
      </c>
      <c r="U602" s="2" t="s">
        <v>3615</v>
      </c>
      <c r="V602" s="23" t="s">
        <v>3616</v>
      </c>
      <c r="W602" s="24" t="s">
        <v>3617</v>
      </c>
      <c r="X602" s="23" t="s">
        <v>3618</v>
      </c>
      <c r="Y602" s="23" t="s">
        <v>3620</v>
      </c>
      <c r="Z602" s="23" t="s">
        <v>3621</v>
      </c>
      <c r="AA602" s="23" t="s">
        <v>3629</v>
      </c>
    </row>
    <row r="603" spans="1:30" ht="15.75" customHeight="1">
      <c r="A603" s="4" t="s">
        <v>1274</v>
      </c>
      <c r="B603" s="5">
        <v>2402</v>
      </c>
      <c r="C603" s="6" t="s">
        <v>1740</v>
      </c>
      <c r="D603" s="7">
        <v>2022366544</v>
      </c>
      <c r="E603" s="7">
        <v>2201010363</v>
      </c>
      <c r="F603" s="7" t="s">
        <v>1802</v>
      </c>
      <c r="G603" s="7" t="s">
        <v>13</v>
      </c>
      <c r="H603" s="6" t="s">
        <v>1741</v>
      </c>
      <c r="I603" s="6" t="s">
        <v>3013</v>
      </c>
      <c r="J603" s="6" t="s">
        <v>3014</v>
      </c>
      <c r="K603" s="6" t="s">
        <v>1276</v>
      </c>
      <c r="L603" s="6" t="s">
        <v>104</v>
      </c>
      <c r="M603" s="6" t="s">
        <v>139</v>
      </c>
      <c r="N603" s="7" t="s">
        <v>18</v>
      </c>
      <c r="O603" s="23" t="s">
        <v>3626</v>
      </c>
      <c r="P603" s="23" t="s">
        <v>3627</v>
      </c>
      <c r="Q603" s="23" t="s">
        <v>3628</v>
      </c>
      <c r="R603" s="23" t="s">
        <v>3612</v>
      </c>
      <c r="S603" s="2" t="s">
        <v>3613</v>
      </c>
      <c r="T603" s="2" t="s">
        <v>3614</v>
      </c>
      <c r="U603" s="2" t="s">
        <v>3615</v>
      </c>
      <c r="V603" s="23" t="s">
        <v>3616</v>
      </c>
      <c r="W603" s="24" t="s">
        <v>3617</v>
      </c>
      <c r="X603" s="23" t="s">
        <v>3618</v>
      </c>
      <c r="Y603" s="23" t="s">
        <v>3620</v>
      </c>
      <c r="Z603" s="23" t="s">
        <v>3621</v>
      </c>
      <c r="AA603" s="23" t="s">
        <v>3629</v>
      </c>
    </row>
    <row r="604" spans="1:30" ht="15.75" customHeight="1">
      <c r="A604" s="4" t="s">
        <v>1274</v>
      </c>
      <c r="B604" s="5">
        <v>2402</v>
      </c>
      <c r="C604" s="6" t="s">
        <v>1310</v>
      </c>
      <c r="D604" s="7">
        <v>2022414035</v>
      </c>
      <c r="E604" s="7">
        <v>2201010375</v>
      </c>
      <c r="F604" s="7" t="s">
        <v>1802</v>
      </c>
      <c r="G604" s="7" t="s">
        <v>13</v>
      </c>
      <c r="H604" s="6" t="s">
        <v>1311</v>
      </c>
      <c r="I604" s="6" t="s">
        <v>3015</v>
      </c>
      <c r="J604" s="6" t="s">
        <v>3016</v>
      </c>
      <c r="K604" s="6" t="s">
        <v>1276</v>
      </c>
      <c r="L604" s="6" t="s">
        <v>104</v>
      </c>
      <c r="M604" s="6" t="s">
        <v>26</v>
      </c>
      <c r="N604" s="7" t="s">
        <v>18</v>
      </c>
      <c r="O604" s="23" t="s">
        <v>3626</v>
      </c>
      <c r="P604" s="23" t="s">
        <v>3627</v>
      </c>
      <c r="Q604" s="23" t="s">
        <v>3628</v>
      </c>
      <c r="R604" s="23" t="s">
        <v>3612</v>
      </c>
      <c r="S604" s="2" t="s">
        <v>3613</v>
      </c>
      <c r="T604" s="2" t="s">
        <v>3614</v>
      </c>
      <c r="U604" s="2" t="s">
        <v>3615</v>
      </c>
      <c r="V604" s="23" t="s">
        <v>3616</v>
      </c>
      <c r="W604" s="24" t="s">
        <v>3617</v>
      </c>
      <c r="X604" s="23" t="s">
        <v>3618</v>
      </c>
      <c r="Y604" s="23" t="s">
        <v>3620</v>
      </c>
      <c r="Z604" s="23" t="s">
        <v>3621</v>
      </c>
      <c r="AA604" s="23" t="s">
        <v>3629</v>
      </c>
    </row>
    <row r="605" spans="1:30" ht="15.75" customHeight="1">
      <c r="A605" s="4" t="s">
        <v>1274</v>
      </c>
      <c r="B605" s="5">
        <v>2402</v>
      </c>
      <c r="C605" s="6" t="s">
        <v>1761</v>
      </c>
      <c r="D605" s="7">
        <v>2022456058</v>
      </c>
      <c r="E605" s="7">
        <v>2201010381</v>
      </c>
      <c r="F605" s="7" t="s">
        <v>1802</v>
      </c>
      <c r="G605" s="7" t="s">
        <v>13</v>
      </c>
      <c r="H605" s="6" t="s">
        <v>1762</v>
      </c>
      <c r="I605" s="6" t="s">
        <v>3017</v>
      </c>
      <c r="J605" s="6" t="s">
        <v>3018</v>
      </c>
      <c r="K605" s="6" t="s">
        <v>1276</v>
      </c>
      <c r="L605" s="6" t="s">
        <v>104</v>
      </c>
      <c r="M605" s="6" t="s">
        <v>117</v>
      </c>
      <c r="N605" s="7" t="s">
        <v>18</v>
      </c>
      <c r="O605" s="23" t="s">
        <v>3626</v>
      </c>
      <c r="P605" s="23" t="s">
        <v>3627</v>
      </c>
      <c r="Q605" s="23" t="s">
        <v>3628</v>
      </c>
      <c r="R605" s="23" t="s">
        <v>3612</v>
      </c>
      <c r="S605" s="2" t="s">
        <v>3613</v>
      </c>
      <c r="T605" s="2" t="s">
        <v>3614</v>
      </c>
      <c r="U605" s="2" t="s">
        <v>3615</v>
      </c>
      <c r="V605" s="23" t="s">
        <v>3616</v>
      </c>
      <c r="W605" s="24" t="s">
        <v>3617</v>
      </c>
      <c r="X605" s="23" t="s">
        <v>3618</v>
      </c>
      <c r="Y605" s="23" t="s">
        <v>3620</v>
      </c>
      <c r="Z605" s="23" t="s">
        <v>3621</v>
      </c>
      <c r="AA605" s="23" t="s">
        <v>3629</v>
      </c>
      <c r="AB605" s="9"/>
      <c r="AC605" s="9"/>
      <c r="AD605" s="9"/>
    </row>
    <row r="606" spans="1:30" ht="15.75" customHeight="1">
      <c r="A606" s="4" t="s">
        <v>1274</v>
      </c>
      <c r="B606" s="5">
        <v>2402</v>
      </c>
      <c r="C606" s="6" t="s">
        <v>1341</v>
      </c>
      <c r="D606" s="7">
        <v>2022533506</v>
      </c>
      <c r="E606" s="7">
        <v>2201010386</v>
      </c>
      <c r="F606" s="7" t="s">
        <v>1802</v>
      </c>
      <c r="G606" s="7" t="s">
        <v>13</v>
      </c>
      <c r="H606" s="6" t="s">
        <v>1342</v>
      </c>
      <c r="I606" s="6" t="s">
        <v>3019</v>
      </c>
      <c r="J606" s="6" t="s">
        <v>3020</v>
      </c>
      <c r="K606" s="6" t="s">
        <v>1276</v>
      </c>
      <c r="L606" s="6" t="s">
        <v>104</v>
      </c>
      <c r="M606" s="6" t="s">
        <v>26</v>
      </c>
      <c r="N606" s="7" t="s">
        <v>18</v>
      </c>
      <c r="O606" s="23" t="s">
        <v>3626</v>
      </c>
      <c r="P606" s="23" t="s">
        <v>3627</v>
      </c>
      <c r="Q606" s="23" t="s">
        <v>3628</v>
      </c>
      <c r="R606" s="23" t="s">
        <v>3612</v>
      </c>
      <c r="S606" s="2" t="s">
        <v>3613</v>
      </c>
      <c r="T606" s="2" t="s">
        <v>3614</v>
      </c>
      <c r="U606" s="2" t="s">
        <v>3615</v>
      </c>
      <c r="V606" s="23" t="s">
        <v>3616</v>
      </c>
      <c r="W606" s="24" t="s">
        <v>3617</v>
      </c>
      <c r="X606" s="23" t="s">
        <v>3618</v>
      </c>
      <c r="Y606" s="23" t="s">
        <v>3620</v>
      </c>
      <c r="Z606" s="23" t="s">
        <v>3621</v>
      </c>
      <c r="AA606" s="23" t="s">
        <v>3629</v>
      </c>
    </row>
    <row r="607" spans="1:30" ht="15.75" customHeight="1">
      <c r="A607" s="4" t="s">
        <v>1274</v>
      </c>
      <c r="B607" s="5">
        <v>2402</v>
      </c>
      <c r="C607" s="6" t="s">
        <v>1301</v>
      </c>
      <c r="D607" s="7">
        <v>2022338119</v>
      </c>
      <c r="E607" s="7">
        <v>2201010402</v>
      </c>
      <c r="F607" s="7" t="s">
        <v>1802</v>
      </c>
      <c r="G607" s="7" t="s">
        <v>13</v>
      </c>
      <c r="H607" s="6" t="s">
        <v>1302</v>
      </c>
      <c r="I607" s="6" t="s">
        <v>3021</v>
      </c>
      <c r="J607" s="6" t="s">
        <v>3022</v>
      </c>
      <c r="K607" s="6" t="s">
        <v>1276</v>
      </c>
      <c r="L607" s="6" t="s">
        <v>104</v>
      </c>
      <c r="M607" s="6" t="s">
        <v>21</v>
      </c>
      <c r="N607" s="7" t="s">
        <v>18</v>
      </c>
      <c r="O607" s="23" t="s">
        <v>3626</v>
      </c>
      <c r="P607" s="23" t="s">
        <v>3627</v>
      </c>
      <c r="Q607" s="23" t="s">
        <v>3628</v>
      </c>
      <c r="R607" s="23" t="s">
        <v>3612</v>
      </c>
      <c r="S607" s="2" t="s">
        <v>3613</v>
      </c>
      <c r="T607" s="2" t="s">
        <v>3614</v>
      </c>
      <c r="U607" s="2" t="s">
        <v>3615</v>
      </c>
      <c r="V607" s="23" t="s">
        <v>3616</v>
      </c>
      <c r="W607" s="24" t="s">
        <v>3617</v>
      </c>
      <c r="X607" s="23" t="s">
        <v>3618</v>
      </c>
      <c r="Y607" s="23" t="s">
        <v>3620</v>
      </c>
      <c r="Z607" s="23" t="s">
        <v>3621</v>
      </c>
      <c r="AA607" s="23" t="s">
        <v>3629</v>
      </c>
    </row>
    <row r="608" spans="1:30" ht="15.5">
      <c r="A608" s="4" t="s">
        <v>1274</v>
      </c>
      <c r="B608" s="5">
        <v>2402</v>
      </c>
      <c r="C608" s="6" t="s">
        <v>1755</v>
      </c>
      <c r="D608" s="7">
        <v>2022438436</v>
      </c>
      <c r="E608" s="7">
        <v>2201010408</v>
      </c>
      <c r="F608" s="7" t="s">
        <v>1802</v>
      </c>
      <c r="G608" s="7" t="s">
        <v>13</v>
      </c>
      <c r="H608" s="6" t="s">
        <v>1756</v>
      </c>
      <c r="I608" s="6" t="s">
        <v>3023</v>
      </c>
      <c r="J608" s="6" t="s">
        <v>3024</v>
      </c>
      <c r="K608" s="6" t="s">
        <v>1276</v>
      </c>
      <c r="L608" s="6" t="s">
        <v>104</v>
      </c>
      <c r="M608" s="6" t="s">
        <v>26</v>
      </c>
      <c r="N608" s="7" t="s">
        <v>18</v>
      </c>
      <c r="O608" s="23" t="s">
        <v>3626</v>
      </c>
      <c r="P608" s="23" t="s">
        <v>3627</v>
      </c>
      <c r="Q608" s="23" t="s">
        <v>3628</v>
      </c>
      <c r="R608" s="23" t="s">
        <v>3612</v>
      </c>
      <c r="S608" s="2" t="s">
        <v>3613</v>
      </c>
      <c r="T608" s="2" t="s">
        <v>3614</v>
      </c>
      <c r="U608" s="2" t="s">
        <v>3615</v>
      </c>
      <c r="V608" s="23" t="s">
        <v>3616</v>
      </c>
      <c r="W608" s="24" t="s">
        <v>3617</v>
      </c>
      <c r="X608" s="23" t="s">
        <v>3618</v>
      </c>
      <c r="Y608" s="23" t="s">
        <v>3620</v>
      </c>
      <c r="Z608" s="23" t="s">
        <v>3621</v>
      </c>
      <c r="AA608" s="23" t="s">
        <v>3629</v>
      </c>
    </row>
    <row r="609" spans="1:30" ht="15.5">
      <c r="A609" s="4" t="s">
        <v>1274</v>
      </c>
      <c r="B609" s="5">
        <v>2402</v>
      </c>
      <c r="C609" s="6" t="s">
        <v>1305</v>
      </c>
      <c r="D609" s="7">
        <v>2022403267</v>
      </c>
      <c r="E609" s="7">
        <v>2201010410</v>
      </c>
      <c r="F609" s="7" t="s">
        <v>1802</v>
      </c>
      <c r="G609" s="7" t="s">
        <v>13</v>
      </c>
      <c r="H609" s="6" t="s">
        <v>1306</v>
      </c>
      <c r="I609" s="6" t="s">
        <v>3025</v>
      </c>
      <c r="J609" s="6" t="s">
        <v>3026</v>
      </c>
      <c r="K609" s="6" t="s">
        <v>1276</v>
      </c>
      <c r="L609" s="6" t="s">
        <v>21</v>
      </c>
      <c r="M609" s="6" t="s">
        <v>104</v>
      </c>
      <c r="N609" s="7" t="s">
        <v>18</v>
      </c>
      <c r="O609" s="23" t="s">
        <v>3626</v>
      </c>
      <c r="P609" s="23" t="s">
        <v>3627</v>
      </c>
      <c r="Q609" s="23" t="s">
        <v>3628</v>
      </c>
      <c r="R609" s="23" t="s">
        <v>3612</v>
      </c>
      <c r="S609" s="2" t="s">
        <v>3613</v>
      </c>
      <c r="T609" s="2" t="s">
        <v>3614</v>
      </c>
      <c r="U609" s="2" t="s">
        <v>3615</v>
      </c>
      <c r="V609" s="23" t="s">
        <v>3616</v>
      </c>
      <c r="W609" s="24" t="s">
        <v>3617</v>
      </c>
      <c r="X609" s="23" t="s">
        <v>3618</v>
      </c>
      <c r="Y609" s="23" t="s">
        <v>3620</v>
      </c>
      <c r="Z609" s="23" t="s">
        <v>3621</v>
      </c>
      <c r="AA609" s="23" t="s">
        <v>3629</v>
      </c>
      <c r="AB609" s="8"/>
      <c r="AC609" s="8"/>
      <c r="AD609" s="8"/>
    </row>
    <row r="610" spans="1:30" ht="15.5">
      <c r="A610" s="4" t="s">
        <v>1274</v>
      </c>
      <c r="B610" s="5">
        <v>2402</v>
      </c>
      <c r="C610" s="6" t="s">
        <v>1716</v>
      </c>
      <c r="D610" s="7">
        <v>2022007037</v>
      </c>
      <c r="E610" s="7">
        <v>2201010447</v>
      </c>
      <c r="F610" s="7" t="s">
        <v>1802</v>
      </c>
      <c r="G610" s="7" t="s">
        <v>13</v>
      </c>
      <c r="H610" s="6" t="s">
        <v>1717</v>
      </c>
      <c r="I610" s="6" t="s">
        <v>3027</v>
      </c>
      <c r="J610" s="6" t="s">
        <v>3028</v>
      </c>
      <c r="K610" s="6" t="s">
        <v>1276</v>
      </c>
      <c r="L610" s="6" t="s">
        <v>104</v>
      </c>
      <c r="M610" s="6" t="s">
        <v>17</v>
      </c>
      <c r="N610" s="7" t="s">
        <v>18</v>
      </c>
      <c r="O610" s="23" t="s">
        <v>3626</v>
      </c>
      <c r="P610" s="23" t="s">
        <v>3627</v>
      </c>
      <c r="Q610" s="23" t="s">
        <v>3628</v>
      </c>
      <c r="R610" s="23" t="s">
        <v>3612</v>
      </c>
      <c r="S610" s="2" t="s">
        <v>3613</v>
      </c>
      <c r="T610" s="2" t="s">
        <v>3614</v>
      </c>
      <c r="U610" s="2" t="s">
        <v>3615</v>
      </c>
      <c r="V610" s="23" t="s">
        <v>3616</v>
      </c>
      <c r="W610" s="24" t="s">
        <v>3617</v>
      </c>
      <c r="X610" s="23" t="s">
        <v>3618</v>
      </c>
      <c r="Y610" s="23" t="s">
        <v>3620</v>
      </c>
      <c r="Z610" s="23" t="s">
        <v>3621</v>
      </c>
      <c r="AA610" s="23" t="s">
        <v>3629</v>
      </c>
      <c r="AB610" s="8"/>
      <c r="AC610" s="8"/>
      <c r="AD610" s="8"/>
    </row>
    <row r="611" spans="1:30" ht="15.5">
      <c r="A611" s="4" t="s">
        <v>1274</v>
      </c>
      <c r="B611" s="5">
        <v>2402</v>
      </c>
      <c r="C611" s="6" t="s">
        <v>1316</v>
      </c>
      <c r="D611" s="7">
        <v>2022428888</v>
      </c>
      <c r="E611" s="7">
        <v>2201010463</v>
      </c>
      <c r="F611" s="7" t="s">
        <v>1802</v>
      </c>
      <c r="G611" s="7" t="s">
        <v>13</v>
      </c>
      <c r="H611" s="6" t="s">
        <v>1317</v>
      </c>
      <c r="I611" s="6" t="s">
        <v>3029</v>
      </c>
      <c r="J611" s="6" t="s">
        <v>3030</v>
      </c>
      <c r="K611" s="6" t="s">
        <v>1276</v>
      </c>
      <c r="L611" s="6" t="s">
        <v>104</v>
      </c>
      <c r="M611" s="6" t="s">
        <v>26</v>
      </c>
      <c r="N611" s="7" t="s">
        <v>18</v>
      </c>
      <c r="O611" s="23" t="s">
        <v>3626</v>
      </c>
      <c r="P611" s="23" t="s">
        <v>3627</v>
      </c>
      <c r="Q611" s="23" t="s">
        <v>3628</v>
      </c>
      <c r="R611" s="23" t="s">
        <v>3612</v>
      </c>
      <c r="S611" s="2" t="s">
        <v>3613</v>
      </c>
      <c r="T611" s="2" t="s">
        <v>3614</v>
      </c>
      <c r="U611" s="2" t="s">
        <v>3615</v>
      </c>
      <c r="V611" s="23" t="s">
        <v>3616</v>
      </c>
      <c r="W611" s="24" t="s">
        <v>3617</v>
      </c>
      <c r="X611" s="23" t="s">
        <v>3618</v>
      </c>
      <c r="Y611" s="23" t="s">
        <v>3620</v>
      </c>
      <c r="Z611" s="23" t="s">
        <v>3621</v>
      </c>
      <c r="AA611" s="23" t="s">
        <v>3629</v>
      </c>
      <c r="AB611" s="8"/>
      <c r="AC611" s="8"/>
      <c r="AD611" s="8"/>
    </row>
    <row r="612" spans="1:30" ht="15.5">
      <c r="A612" s="4" t="s">
        <v>1274</v>
      </c>
      <c r="B612" s="5">
        <v>2402</v>
      </c>
      <c r="C612" s="6" t="s">
        <v>1769</v>
      </c>
      <c r="D612" s="7">
        <v>2022496362</v>
      </c>
      <c r="E612" s="7">
        <v>2201010504</v>
      </c>
      <c r="F612" s="7" t="s">
        <v>1802</v>
      </c>
      <c r="G612" s="7" t="s">
        <v>13</v>
      </c>
      <c r="H612" s="6" t="s">
        <v>1770</v>
      </c>
      <c r="I612" s="6" t="s">
        <v>3031</v>
      </c>
      <c r="J612" s="6" t="s">
        <v>3032</v>
      </c>
      <c r="K612" s="6" t="s">
        <v>1276</v>
      </c>
      <c r="L612" s="6" t="s">
        <v>104</v>
      </c>
      <c r="M612" s="6" t="s">
        <v>26</v>
      </c>
      <c r="N612" s="7" t="s">
        <v>18</v>
      </c>
      <c r="O612" s="23" t="s">
        <v>3626</v>
      </c>
      <c r="P612" s="23" t="s">
        <v>3627</v>
      </c>
      <c r="Q612" s="23" t="s">
        <v>3628</v>
      </c>
      <c r="R612" s="23" t="s">
        <v>3612</v>
      </c>
      <c r="S612" s="2" t="s">
        <v>3613</v>
      </c>
      <c r="T612" s="2" t="s">
        <v>3614</v>
      </c>
      <c r="U612" s="2" t="s">
        <v>3615</v>
      </c>
      <c r="V612" s="23" t="s">
        <v>3616</v>
      </c>
      <c r="W612" s="24" t="s">
        <v>3617</v>
      </c>
      <c r="X612" s="23" t="s">
        <v>3618</v>
      </c>
      <c r="Y612" s="23" t="s">
        <v>3620</v>
      </c>
      <c r="Z612" s="23" t="s">
        <v>3621</v>
      </c>
      <c r="AA612" s="23" t="s">
        <v>3629</v>
      </c>
      <c r="AB612" s="8"/>
      <c r="AC612" s="8"/>
      <c r="AD612" s="8"/>
    </row>
    <row r="613" spans="1:30" ht="15.5">
      <c r="A613" s="4" t="s">
        <v>1274</v>
      </c>
      <c r="B613" s="5">
        <v>2402</v>
      </c>
      <c r="C613" s="6" t="s">
        <v>1700</v>
      </c>
      <c r="D613" s="7">
        <v>2022005278</v>
      </c>
      <c r="E613" s="7">
        <v>2201010524</v>
      </c>
      <c r="F613" s="7" t="s">
        <v>1802</v>
      </c>
      <c r="G613" s="7" t="s">
        <v>13</v>
      </c>
      <c r="H613" s="6" t="s">
        <v>1701</v>
      </c>
      <c r="I613" s="6" t="s">
        <v>3033</v>
      </c>
      <c r="J613" s="6" t="s">
        <v>3034</v>
      </c>
      <c r="K613" s="6" t="s">
        <v>1276</v>
      </c>
      <c r="L613" s="6" t="s">
        <v>149</v>
      </c>
      <c r="M613" s="6" t="s">
        <v>104</v>
      </c>
      <c r="N613" s="7" t="s">
        <v>18</v>
      </c>
      <c r="O613" s="23" t="s">
        <v>3626</v>
      </c>
      <c r="P613" s="23" t="s">
        <v>3627</v>
      </c>
      <c r="Q613" s="23" t="s">
        <v>3628</v>
      </c>
      <c r="R613" s="23" t="s">
        <v>3612</v>
      </c>
      <c r="S613" s="2" t="s">
        <v>3613</v>
      </c>
      <c r="T613" s="2" t="s">
        <v>3614</v>
      </c>
      <c r="U613" s="2" t="s">
        <v>3615</v>
      </c>
      <c r="V613" s="23" t="s">
        <v>3616</v>
      </c>
      <c r="W613" s="24" t="s">
        <v>3617</v>
      </c>
      <c r="X613" s="23" t="s">
        <v>3618</v>
      </c>
      <c r="Y613" s="23" t="s">
        <v>3620</v>
      </c>
      <c r="Z613" s="23" t="s">
        <v>3621</v>
      </c>
      <c r="AA613" s="23" t="s">
        <v>3629</v>
      </c>
      <c r="AB613" s="8"/>
      <c r="AC613" s="8"/>
      <c r="AD613" s="8"/>
    </row>
    <row r="614" spans="1:30" ht="15.5">
      <c r="A614" s="4" t="s">
        <v>1274</v>
      </c>
      <c r="B614" s="5">
        <v>2402</v>
      </c>
      <c r="C614" s="6" t="s">
        <v>1776</v>
      </c>
      <c r="D614" s="7">
        <v>2022529691</v>
      </c>
      <c r="E614" s="7">
        <v>2201010528</v>
      </c>
      <c r="F614" s="7" t="s">
        <v>1802</v>
      </c>
      <c r="G614" s="7" t="s">
        <v>13</v>
      </c>
      <c r="H614" s="6" t="s">
        <v>1777</v>
      </c>
      <c r="I614" s="6" t="s">
        <v>3035</v>
      </c>
      <c r="J614" s="6" t="s">
        <v>3036</v>
      </c>
      <c r="K614" s="6" t="s">
        <v>1276</v>
      </c>
      <c r="L614" s="6" t="s">
        <v>104</v>
      </c>
      <c r="M614" s="6" t="s">
        <v>104</v>
      </c>
      <c r="N614" s="7" t="s">
        <v>18</v>
      </c>
      <c r="O614" s="23" t="s">
        <v>3626</v>
      </c>
      <c r="P614" s="23" t="s">
        <v>3627</v>
      </c>
      <c r="Q614" s="23" t="s">
        <v>3628</v>
      </c>
      <c r="R614" s="23" t="s">
        <v>3612</v>
      </c>
      <c r="S614" s="2" t="s">
        <v>3613</v>
      </c>
      <c r="T614" s="2" t="s">
        <v>3614</v>
      </c>
      <c r="U614" s="2" t="s">
        <v>3615</v>
      </c>
      <c r="V614" s="23" t="s">
        <v>3616</v>
      </c>
      <c r="W614" s="24" t="s">
        <v>3617</v>
      </c>
      <c r="X614" s="23" t="s">
        <v>3618</v>
      </c>
      <c r="Y614" s="23" t="s">
        <v>3620</v>
      </c>
      <c r="Z614" s="23" t="s">
        <v>3621</v>
      </c>
      <c r="AA614" s="23" t="s">
        <v>3629</v>
      </c>
      <c r="AB614" s="8"/>
      <c r="AC614" s="8"/>
      <c r="AD614" s="8"/>
    </row>
    <row r="615" spans="1:30" ht="15.5">
      <c r="A615" s="4" t="s">
        <v>1274</v>
      </c>
      <c r="B615" s="5">
        <v>2402</v>
      </c>
      <c r="C615" s="6" t="s">
        <v>1757</v>
      </c>
      <c r="D615" s="7">
        <v>2022439234</v>
      </c>
      <c r="E615" s="7">
        <v>2201010533</v>
      </c>
      <c r="F615" s="7" t="s">
        <v>1802</v>
      </c>
      <c r="G615" s="7" t="s">
        <v>13</v>
      </c>
      <c r="H615" s="6" t="s">
        <v>1758</v>
      </c>
      <c r="I615" s="6" t="s">
        <v>3037</v>
      </c>
      <c r="J615" s="6" t="s">
        <v>3038</v>
      </c>
      <c r="K615" s="6" t="s">
        <v>1276</v>
      </c>
      <c r="L615" s="6" t="s">
        <v>104</v>
      </c>
      <c r="M615" s="6" t="s">
        <v>139</v>
      </c>
      <c r="N615" s="7" t="s">
        <v>18</v>
      </c>
      <c r="O615" s="23" t="s">
        <v>3626</v>
      </c>
      <c r="P615" s="23" t="s">
        <v>3627</v>
      </c>
      <c r="Q615" s="23" t="s">
        <v>3628</v>
      </c>
      <c r="R615" s="23" t="s">
        <v>3612</v>
      </c>
      <c r="S615" s="2" t="s">
        <v>3613</v>
      </c>
      <c r="T615" s="2" t="s">
        <v>3614</v>
      </c>
      <c r="U615" s="2" t="s">
        <v>3615</v>
      </c>
      <c r="V615" s="23" t="s">
        <v>3616</v>
      </c>
      <c r="W615" s="24" t="s">
        <v>3617</v>
      </c>
      <c r="X615" s="23" t="s">
        <v>3618</v>
      </c>
      <c r="Y615" s="23" t="s">
        <v>3620</v>
      </c>
      <c r="Z615" s="23" t="s">
        <v>3621</v>
      </c>
      <c r="AA615" s="23" t="s">
        <v>3629</v>
      </c>
      <c r="AB615" s="8"/>
      <c r="AC615" s="8"/>
      <c r="AD615" s="8"/>
    </row>
    <row r="616" spans="1:30" ht="15.5">
      <c r="A616" s="4" t="s">
        <v>1274</v>
      </c>
      <c r="B616" s="5">
        <v>2402</v>
      </c>
      <c r="C616" s="6" t="s">
        <v>1712</v>
      </c>
      <c r="D616" s="7">
        <v>2022006709</v>
      </c>
      <c r="E616" s="7">
        <v>2201010548</v>
      </c>
      <c r="F616" s="7" t="s">
        <v>1802</v>
      </c>
      <c r="G616" s="7" t="s">
        <v>13</v>
      </c>
      <c r="H616" s="6" t="s">
        <v>1713</v>
      </c>
      <c r="I616" s="6" t="s">
        <v>3039</v>
      </c>
      <c r="J616" s="6" t="s">
        <v>3040</v>
      </c>
      <c r="K616" s="6" t="s">
        <v>1276</v>
      </c>
      <c r="L616" s="6" t="s">
        <v>104</v>
      </c>
      <c r="M616" s="6" t="s">
        <v>21</v>
      </c>
      <c r="N616" s="7" t="s">
        <v>18</v>
      </c>
      <c r="O616" s="23" t="s">
        <v>3626</v>
      </c>
      <c r="P616" s="23" t="s">
        <v>3627</v>
      </c>
      <c r="Q616" s="23" t="s">
        <v>3628</v>
      </c>
      <c r="R616" s="23" t="s">
        <v>3612</v>
      </c>
      <c r="S616" s="2" t="s">
        <v>3613</v>
      </c>
      <c r="T616" s="2" t="s">
        <v>3614</v>
      </c>
      <c r="U616" s="2" t="s">
        <v>3615</v>
      </c>
      <c r="V616" s="23" t="s">
        <v>3616</v>
      </c>
      <c r="W616" s="24" t="s">
        <v>3617</v>
      </c>
      <c r="X616" s="23" t="s">
        <v>3618</v>
      </c>
      <c r="Y616" s="23" t="s">
        <v>3620</v>
      </c>
      <c r="Z616" s="23" t="s">
        <v>3621</v>
      </c>
      <c r="AA616" s="23" t="s">
        <v>3629</v>
      </c>
      <c r="AB616" s="8"/>
      <c r="AC616" s="8"/>
      <c r="AD616" s="8"/>
    </row>
    <row r="617" spans="1:30" ht="15.5">
      <c r="A617" s="4" t="s">
        <v>1274</v>
      </c>
      <c r="B617" s="5">
        <v>2402</v>
      </c>
      <c r="C617" s="6" t="s">
        <v>1708</v>
      </c>
      <c r="D617" s="7">
        <v>2022006115</v>
      </c>
      <c r="E617" s="7">
        <v>2201010560</v>
      </c>
      <c r="F617" s="7" t="s">
        <v>1802</v>
      </c>
      <c r="G617" s="7" t="s">
        <v>13</v>
      </c>
      <c r="H617" s="6" t="s">
        <v>1709</v>
      </c>
      <c r="I617" s="6" t="s">
        <v>3041</v>
      </c>
      <c r="J617" s="6" t="s">
        <v>3042</v>
      </c>
      <c r="K617" s="6" t="s">
        <v>1276</v>
      </c>
      <c r="L617" s="6" t="s">
        <v>104</v>
      </c>
      <c r="M617" s="6" t="s">
        <v>21</v>
      </c>
      <c r="N617" s="7" t="s">
        <v>18</v>
      </c>
      <c r="O617" s="23" t="s">
        <v>3626</v>
      </c>
      <c r="P617" s="23" t="s">
        <v>3627</v>
      </c>
      <c r="Q617" s="23" t="s">
        <v>3628</v>
      </c>
      <c r="R617" s="23" t="s">
        <v>3612</v>
      </c>
      <c r="S617" s="2" t="s">
        <v>3613</v>
      </c>
      <c r="T617" s="2" t="s">
        <v>3614</v>
      </c>
      <c r="U617" s="2" t="s">
        <v>3615</v>
      </c>
      <c r="V617" s="23" t="s">
        <v>3616</v>
      </c>
      <c r="W617" s="24" t="s">
        <v>3617</v>
      </c>
      <c r="X617" s="23" t="s">
        <v>3618</v>
      </c>
      <c r="Y617" s="23" t="s">
        <v>3620</v>
      </c>
      <c r="Z617" s="23" t="s">
        <v>3621</v>
      </c>
      <c r="AA617" s="23" t="s">
        <v>3629</v>
      </c>
      <c r="AB617" s="8"/>
      <c r="AC617" s="8"/>
      <c r="AD617" s="8"/>
    </row>
    <row r="618" spans="1:30" ht="15.5">
      <c r="A618" s="4" t="s">
        <v>1274</v>
      </c>
      <c r="B618" s="5">
        <v>2402</v>
      </c>
      <c r="C618" s="6" t="s">
        <v>1308</v>
      </c>
      <c r="D618" s="7">
        <v>2022410984</v>
      </c>
      <c r="E618" s="7">
        <v>2201010566</v>
      </c>
      <c r="F618" s="7" t="s">
        <v>1802</v>
      </c>
      <c r="G618" s="7" t="s">
        <v>13</v>
      </c>
      <c r="H618" s="6" t="s">
        <v>1309</v>
      </c>
      <c r="I618" s="6" t="s">
        <v>3043</v>
      </c>
      <c r="J618" s="6" t="s">
        <v>3044</v>
      </c>
      <c r="K618" s="6" t="s">
        <v>1276</v>
      </c>
      <c r="L618" s="6" t="s">
        <v>104</v>
      </c>
      <c r="M618" s="6" t="s">
        <v>117</v>
      </c>
      <c r="N618" s="7" t="s">
        <v>18</v>
      </c>
      <c r="O618" s="23" t="s">
        <v>3626</v>
      </c>
      <c r="P618" s="23" t="s">
        <v>3627</v>
      </c>
      <c r="Q618" s="23" t="s">
        <v>3628</v>
      </c>
      <c r="R618" s="23" t="s">
        <v>3612</v>
      </c>
      <c r="S618" s="2" t="s">
        <v>3613</v>
      </c>
      <c r="T618" s="2" t="s">
        <v>3614</v>
      </c>
      <c r="U618" s="2" t="s">
        <v>3615</v>
      </c>
      <c r="V618" s="23" t="s">
        <v>3616</v>
      </c>
      <c r="W618" s="24" t="s">
        <v>3617</v>
      </c>
      <c r="X618" s="23" t="s">
        <v>3618</v>
      </c>
      <c r="Y618" s="23" t="s">
        <v>3620</v>
      </c>
      <c r="Z618" s="23" t="s">
        <v>3621</v>
      </c>
      <c r="AA618" s="23" t="s">
        <v>3629</v>
      </c>
      <c r="AB618" s="8"/>
      <c r="AC618" s="8"/>
      <c r="AD618" s="8"/>
    </row>
    <row r="619" spans="1:30" ht="15.5">
      <c r="A619" s="4" t="s">
        <v>1274</v>
      </c>
      <c r="B619" s="5">
        <v>2402</v>
      </c>
      <c r="C619" s="6" t="s">
        <v>1732</v>
      </c>
      <c r="D619" s="7">
        <v>2022307000</v>
      </c>
      <c r="E619" s="7">
        <v>2201010589</v>
      </c>
      <c r="F619" s="7" t="s">
        <v>1802</v>
      </c>
      <c r="G619" s="7" t="s">
        <v>13</v>
      </c>
      <c r="H619" s="6" t="s">
        <v>1733</v>
      </c>
      <c r="I619" s="6" t="s">
        <v>3045</v>
      </c>
      <c r="J619" s="6" t="s">
        <v>3046</v>
      </c>
      <c r="K619" s="6" t="s">
        <v>1276</v>
      </c>
      <c r="L619" s="6" t="s">
        <v>104</v>
      </c>
      <c r="M619" s="6" t="s">
        <v>21</v>
      </c>
      <c r="N619" s="7" t="s">
        <v>18</v>
      </c>
      <c r="O619" s="23" t="s">
        <v>3626</v>
      </c>
      <c r="P619" s="23" t="s">
        <v>3627</v>
      </c>
      <c r="Q619" s="23" t="s">
        <v>3628</v>
      </c>
      <c r="R619" s="23" t="s">
        <v>3612</v>
      </c>
      <c r="S619" s="2" t="s">
        <v>3613</v>
      </c>
      <c r="T619" s="2" t="s">
        <v>3614</v>
      </c>
      <c r="U619" s="2" t="s">
        <v>3615</v>
      </c>
      <c r="V619" s="23" t="s">
        <v>3616</v>
      </c>
      <c r="W619" s="24" t="s">
        <v>3617</v>
      </c>
      <c r="X619" s="23" t="s">
        <v>3618</v>
      </c>
      <c r="Y619" s="23" t="s">
        <v>3620</v>
      </c>
      <c r="Z619" s="23" t="s">
        <v>3621</v>
      </c>
      <c r="AA619" s="23" t="s">
        <v>3629</v>
      </c>
      <c r="AB619" s="8"/>
      <c r="AC619" s="8"/>
      <c r="AD619" s="8"/>
    </row>
    <row r="620" spans="1:30" ht="15.5">
      <c r="A620" s="4" t="s">
        <v>1274</v>
      </c>
      <c r="B620" s="5">
        <v>2402</v>
      </c>
      <c r="C620" s="6" t="s">
        <v>1349</v>
      </c>
      <c r="D620" s="7">
        <v>2022553875</v>
      </c>
      <c r="E620" s="7">
        <v>2201010609</v>
      </c>
      <c r="F620" s="7" t="s">
        <v>1802</v>
      </c>
      <c r="G620" s="7" t="s">
        <v>13</v>
      </c>
      <c r="H620" s="6" t="s">
        <v>1350</v>
      </c>
      <c r="I620" s="6" t="s">
        <v>3047</v>
      </c>
      <c r="J620" s="6" t="s">
        <v>3048</v>
      </c>
      <c r="K620" s="6" t="s">
        <v>1276</v>
      </c>
      <c r="L620" s="6" t="s">
        <v>104</v>
      </c>
      <c r="M620" s="6" t="s">
        <v>16</v>
      </c>
      <c r="N620" s="7" t="s">
        <v>18</v>
      </c>
      <c r="O620" s="23" t="s">
        <v>3626</v>
      </c>
      <c r="P620" s="23" t="s">
        <v>3627</v>
      </c>
      <c r="Q620" s="23" t="s">
        <v>3628</v>
      </c>
      <c r="R620" s="23" t="s">
        <v>3612</v>
      </c>
      <c r="S620" s="2" t="s">
        <v>3613</v>
      </c>
      <c r="T620" s="2" t="s">
        <v>3614</v>
      </c>
      <c r="U620" s="2" t="s">
        <v>3615</v>
      </c>
      <c r="V620" s="23" t="s">
        <v>3616</v>
      </c>
      <c r="W620" s="24" t="s">
        <v>3617</v>
      </c>
      <c r="X620" s="23" t="s">
        <v>3618</v>
      </c>
      <c r="Y620" s="23" t="s">
        <v>3620</v>
      </c>
      <c r="Z620" s="23" t="s">
        <v>3621</v>
      </c>
      <c r="AA620" s="23" t="s">
        <v>3629</v>
      </c>
      <c r="AB620" s="8"/>
      <c r="AC620" s="8"/>
      <c r="AD620" s="8"/>
    </row>
    <row r="621" spans="1:30" ht="15.5">
      <c r="A621" s="4" t="s">
        <v>1274</v>
      </c>
      <c r="B621" s="5">
        <v>2402</v>
      </c>
      <c r="C621" s="6" t="s">
        <v>1763</v>
      </c>
      <c r="D621" s="7">
        <v>2022459247</v>
      </c>
      <c r="E621" s="7">
        <v>2201010618</v>
      </c>
      <c r="F621" s="7" t="s">
        <v>1802</v>
      </c>
      <c r="G621" s="7" t="s">
        <v>13</v>
      </c>
      <c r="H621" s="6" t="s">
        <v>1764</v>
      </c>
      <c r="I621" s="6" t="s">
        <v>3049</v>
      </c>
      <c r="J621" s="6" t="s">
        <v>3050</v>
      </c>
      <c r="K621" s="6" t="s">
        <v>1276</v>
      </c>
      <c r="L621" s="6" t="s">
        <v>104</v>
      </c>
      <c r="M621" s="6" t="s">
        <v>26</v>
      </c>
      <c r="N621" s="7" t="s">
        <v>18</v>
      </c>
      <c r="O621" s="23" t="s">
        <v>3626</v>
      </c>
      <c r="P621" s="23" t="s">
        <v>3627</v>
      </c>
      <c r="Q621" s="23" t="s">
        <v>3628</v>
      </c>
      <c r="R621" s="23" t="s">
        <v>3612</v>
      </c>
      <c r="S621" s="2" t="s">
        <v>3613</v>
      </c>
      <c r="T621" s="2" t="s">
        <v>3614</v>
      </c>
      <c r="U621" s="2" t="s">
        <v>3615</v>
      </c>
      <c r="V621" s="23" t="s">
        <v>3616</v>
      </c>
      <c r="W621" s="24" t="s">
        <v>3617</v>
      </c>
      <c r="X621" s="23" t="s">
        <v>3618</v>
      </c>
      <c r="Y621" s="23" t="s">
        <v>3620</v>
      </c>
      <c r="Z621" s="23" t="s">
        <v>3621</v>
      </c>
      <c r="AA621" s="23" t="s">
        <v>3629</v>
      </c>
      <c r="AB621" s="8"/>
      <c r="AC621" s="8"/>
      <c r="AD621" s="8"/>
    </row>
    <row r="622" spans="1:30" ht="15.5">
      <c r="A622" s="4" t="s">
        <v>1274</v>
      </c>
      <c r="B622" s="5">
        <v>2402</v>
      </c>
      <c r="C622" s="6" t="s">
        <v>1368</v>
      </c>
      <c r="D622" s="7">
        <v>2022465132</v>
      </c>
      <c r="E622" s="7">
        <v>2201010649</v>
      </c>
      <c r="F622" s="7" t="s">
        <v>1802</v>
      </c>
      <c r="G622" s="7" t="s">
        <v>13</v>
      </c>
      <c r="H622" s="6" t="s">
        <v>1369</v>
      </c>
      <c r="I622" s="6" t="s">
        <v>3051</v>
      </c>
      <c r="J622" s="6" t="s">
        <v>3052</v>
      </c>
      <c r="K622" s="6" t="s">
        <v>1276</v>
      </c>
      <c r="L622" s="6" t="s">
        <v>104</v>
      </c>
      <c r="M622" s="6" t="s">
        <v>26</v>
      </c>
      <c r="N622" s="7" t="s">
        <v>18</v>
      </c>
      <c r="O622" s="23" t="s">
        <v>3626</v>
      </c>
      <c r="P622" s="23" t="s">
        <v>3627</v>
      </c>
      <c r="Q622" s="23" t="s">
        <v>3628</v>
      </c>
      <c r="R622" s="23" t="s">
        <v>3612</v>
      </c>
      <c r="S622" s="2" t="s">
        <v>3613</v>
      </c>
      <c r="T622" s="2" t="s">
        <v>3614</v>
      </c>
      <c r="U622" s="2" t="s">
        <v>3615</v>
      </c>
      <c r="V622" s="23" t="s">
        <v>3616</v>
      </c>
      <c r="W622" s="24" t="s">
        <v>3617</v>
      </c>
      <c r="X622" s="23" t="s">
        <v>3618</v>
      </c>
      <c r="Y622" s="23" t="s">
        <v>3620</v>
      </c>
      <c r="Z622" s="23" t="s">
        <v>3621</v>
      </c>
      <c r="AA622" s="23" t="s">
        <v>3629</v>
      </c>
      <c r="AB622" s="8"/>
      <c r="AC622" s="8"/>
      <c r="AD622" s="8"/>
    </row>
    <row r="623" spans="1:30" ht="15.5">
      <c r="A623" s="4" t="s">
        <v>1274</v>
      </c>
      <c r="B623" s="5">
        <v>2402</v>
      </c>
      <c r="C623" s="6" t="s">
        <v>1330</v>
      </c>
      <c r="D623" s="7">
        <v>2022513718</v>
      </c>
      <c r="E623" s="7">
        <v>2201010696</v>
      </c>
      <c r="F623" s="7" t="s">
        <v>1802</v>
      </c>
      <c r="G623" s="7" t="s">
        <v>13</v>
      </c>
      <c r="H623" s="6" t="s">
        <v>1331</v>
      </c>
      <c r="I623" s="6" t="s">
        <v>3053</v>
      </c>
      <c r="J623" s="6" t="s">
        <v>3054</v>
      </c>
      <c r="K623" s="6" t="s">
        <v>1276</v>
      </c>
      <c r="L623" s="6" t="s">
        <v>21</v>
      </c>
      <c r="M623" s="6" t="s">
        <v>104</v>
      </c>
      <c r="N623" s="7" t="s">
        <v>18</v>
      </c>
      <c r="O623" s="23" t="s">
        <v>3626</v>
      </c>
      <c r="P623" s="23" t="s">
        <v>3627</v>
      </c>
      <c r="Q623" s="23" t="s">
        <v>3628</v>
      </c>
      <c r="R623" s="23" t="s">
        <v>3612</v>
      </c>
      <c r="S623" s="2" t="s">
        <v>3613</v>
      </c>
      <c r="T623" s="2" t="s">
        <v>3614</v>
      </c>
      <c r="U623" s="2" t="s">
        <v>3615</v>
      </c>
      <c r="V623" s="23" t="s">
        <v>3616</v>
      </c>
      <c r="W623" s="24" t="s">
        <v>3617</v>
      </c>
      <c r="X623" s="23" t="s">
        <v>3618</v>
      </c>
      <c r="Y623" s="23" t="s">
        <v>3620</v>
      </c>
      <c r="Z623" s="23" t="s">
        <v>3621</v>
      </c>
      <c r="AA623" s="23" t="s">
        <v>3629</v>
      </c>
      <c r="AB623" s="8"/>
      <c r="AC623" s="8"/>
      <c r="AD623" s="8"/>
    </row>
    <row r="624" spans="1:30" ht="15.5">
      <c r="A624" s="4" t="s">
        <v>1274</v>
      </c>
      <c r="B624" s="5">
        <v>2402</v>
      </c>
      <c r="C624" s="6" t="s">
        <v>1334</v>
      </c>
      <c r="D624" s="7">
        <v>2022518889</v>
      </c>
      <c r="E624" s="7">
        <v>2201010697</v>
      </c>
      <c r="F624" s="7" t="s">
        <v>1802</v>
      </c>
      <c r="G624" s="7" t="s">
        <v>13</v>
      </c>
      <c r="H624" s="6" t="s">
        <v>1335</v>
      </c>
      <c r="I624" s="6" t="s">
        <v>3055</v>
      </c>
      <c r="J624" s="6" t="s">
        <v>3056</v>
      </c>
      <c r="K624" s="6" t="s">
        <v>1276</v>
      </c>
      <c r="L624" s="6" t="s">
        <v>104</v>
      </c>
      <c r="M624" s="6" t="s">
        <v>49</v>
      </c>
      <c r="N624" s="7" t="s">
        <v>18</v>
      </c>
      <c r="O624" s="23" t="s">
        <v>3626</v>
      </c>
      <c r="P624" s="23" t="s">
        <v>3627</v>
      </c>
      <c r="Q624" s="23" t="s">
        <v>3628</v>
      </c>
      <c r="R624" s="23" t="s">
        <v>3612</v>
      </c>
      <c r="S624" s="2" t="s">
        <v>3613</v>
      </c>
      <c r="T624" s="2" t="s">
        <v>3614</v>
      </c>
      <c r="U624" s="2" t="s">
        <v>3615</v>
      </c>
      <c r="V624" s="23" t="s">
        <v>3616</v>
      </c>
      <c r="W624" s="24" t="s">
        <v>3617</v>
      </c>
      <c r="X624" s="23" t="s">
        <v>3618</v>
      </c>
      <c r="Y624" s="23" t="s">
        <v>3620</v>
      </c>
      <c r="Z624" s="23" t="s">
        <v>3621</v>
      </c>
      <c r="AA624" s="23" t="s">
        <v>3629</v>
      </c>
      <c r="AB624" s="8"/>
      <c r="AC624" s="8"/>
      <c r="AD624" s="8"/>
    </row>
    <row r="625" spans="1:30" ht="15.5">
      <c r="A625" s="4" t="s">
        <v>1274</v>
      </c>
      <c r="B625" s="5">
        <v>2402</v>
      </c>
      <c r="C625" s="6" t="s">
        <v>1696</v>
      </c>
      <c r="D625" s="7">
        <v>2022003733</v>
      </c>
      <c r="E625" s="7">
        <v>2201010708</v>
      </c>
      <c r="F625" s="7" t="s">
        <v>1802</v>
      </c>
      <c r="G625" s="7" t="s">
        <v>13</v>
      </c>
      <c r="H625" s="6" t="s">
        <v>1697</v>
      </c>
      <c r="I625" s="6" t="s">
        <v>3057</v>
      </c>
      <c r="J625" s="6" t="s">
        <v>3058</v>
      </c>
      <c r="K625" s="6" t="s">
        <v>1276</v>
      </c>
      <c r="L625" s="6" t="s">
        <v>104</v>
      </c>
      <c r="M625" s="6" t="s">
        <v>26</v>
      </c>
      <c r="N625" s="7" t="s">
        <v>18</v>
      </c>
      <c r="O625" s="23" t="s">
        <v>3626</v>
      </c>
      <c r="P625" s="23" t="s">
        <v>3627</v>
      </c>
      <c r="Q625" s="23" t="s">
        <v>3628</v>
      </c>
      <c r="R625" s="23" t="s">
        <v>3612</v>
      </c>
      <c r="S625" s="2" t="s">
        <v>3613</v>
      </c>
      <c r="T625" s="2" t="s">
        <v>3614</v>
      </c>
      <c r="U625" s="2" t="s">
        <v>3615</v>
      </c>
      <c r="V625" s="23" t="s">
        <v>3616</v>
      </c>
      <c r="W625" s="24" t="s">
        <v>3617</v>
      </c>
      <c r="X625" s="23" t="s">
        <v>3618</v>
      </c>
      <c r="Y625" s="23" t="s">
        <v>3620</v>
      </c>
      <c r="Z625" s="23" t="s">
        <v>3621</v>
      </c>
      <c r="AA625" s="23" t="s">
        <v>3629</v>
      </c>
      <c r="AB625" s="8"/>
      <c r="AC625" s="8"/>
      <c r="AD625" s="8"/>
    </row>
    <row r="626" spans="1:30" ht="15.5">
      <c r="A626" s="4" t="s">
        <v>1274</v>
      </c>
      <c r="B626" s="5">
        <v>2402</v>
      </c>
      <c r="C626" s="6" t="s">
        <v>1299</v>
      </c>
      <c r="D626" s="7">
        <v>2022335852</v>
      </c>
      <c r="E626" s="7">
        <v>2201010739</v>
      </c>
      <c r="F626" s="7" t="s">
        <v>1802</v>
      </c>
      <c r="G626" s="7" t="s">
        <v>13</v>
      </c>
      <c r="H626" s="6" t="s">
        <v>1300</v>
      </c>
      <c r="I626" s="6" t="s">
        <v>3059</v>
      </c>
      <c r="J626" s="6" t="s">
        <v>3060</v>
      </c>
      <c r="K626" s="6" t="s">
        <v>1276</v>
      </c>
      <c r="L626" s="6" t="s">
        <v>21</v>
      </c>
      <c r="M626" s="6" t="s">
        <v>104</v>
      </c>
      <c r="N626" s="7" t="s">
        <v>18</v>
      </c>
      <c r="O626" s="23" t="s">
        <v>3626</v>
      </c>
      <c r="P626" s="23" t="s">
        <v>3627</v>
      </c>
      <c r="Q626" s="23" t="s">
        <v>3628</v>
      </c>
      <c r="R626" s="23" t="s">
        <v>3612</v>
      </c>
      <c r="S626" s="2" t="s">
        <v>3613</v>
      </c>
      <c r="T626" s="2" t="s">
        <v>3614</v>
      </c>
      <c r="U626" s="2" t="s">
        <v>3615</v>
      </c>
      <c r="V626" s="23" t="s">
        <v>3616</v>
      </c>
      <c r="W626" s="24" t="s">
        <v>3617</v>
      </c>
      <c r="X626" s="23" t="s">
        <v>3618</v>
      </c>
      <c r="Y626" s="23" t="s">
        <v>3620</v>
      </c>
      <c r="Z626" s="23" t="s">
        <v>3621</v>
      </c>
      <c r="AA626" s="23" t="s">
        <v>3629</v>
      </c>
      <c r="AB626" s="8"/>
      <c r="AC626" s="8"/>
      <c r="AD626" s="8"/>
    </row>
    <row r="627" spans="1:30" ht="15.5">
      <c r="A627" s="4" t="s">
        <v>1274</v>
      </c>
      <c r="B627" s="5">
        <v>2402</v>
      </c>
      <c r="C627" s="6" t="s">
        <v>1698</v>
      </c>
      <c r="D627" s="7">
        <v>2022005013</v>
      </c>
      <c r="E627" s="7">
        <v>2201010742</v>
      </c>
      <c r="F627" s="7" t="s">
        <v>1802</v>
      </c>
      <c r="G627" s="7" t="s">
        <v>13</v>
      </c>
      <c r="H627" s="6" t="s">
        <v>1699</v>
      </c>
      <c r="I627" s="6" t="s">
        <v>3061</v>
      </c>
      <c r="J627" s="6" t="s">
        <v>3062</v>
      </c>
      <c r="K627" s="6" t="s">
        <v>1276</v>
      </c>
      <c r="L627" s="6" t="s">
        <v>104</v>
      </c>
      <c r="M627" s="6" t="s">
        <v>21</v>
      </c>
      <c r="N627" s="7" t="s">
        <v>18</v>
      </c>
      <c r="O627" s="23" t="s">
        <v>3626</v>
      </c>
      <c r="P627" s="23" t="s">
        <v>3627</v>
      </c>
      <c r="Q627" s="23" t="s">
        <v>3628</v>
      </c>
      <c r="R627" s="23" t="s">
        <v>3612</v>
      </c>
      <c r="S627" s="2" t="s">
        <v>3613</v>
      </c>
      <c r="T627" s="2" t="s">
        <v>3614</v>
      </c>
      <c r="U627" s="2" t="s">
        <v>3615</v>
      </c>
      <c r="V627" s="23" t="s">
        <v>3616</v>
      </c>
      <c r="W627" s="24" t="s">
        <v>3617</v>
      </c>
      <c r="X627" s="23" t="s">
        <v>3618</v>
      </c>
      <c r="Y627" s="23" t="s">
        <v>3620</v>
      </c>
      <c r="Z627" s="23" t="s">
        <v>3621</v>
      </c>
      <c r="AA627" s="23" t="s">
        <v>3629</v>
      </c>
      <c r="AB627" s="8"/>
      <c r="AC627" s="8"/>
      <c r="AD627" s="8"/>
    </row>
    <row r="628" spans="1:30" ht="15.5">
      <c r="A628" s="4" t="s">
        <v>1274</v>
      </c>
      <c r="B628" s="5">
        <v>2402</v>
      </c>
      <c r="C628" s="6" t="s">
        <v>1336</v>
      </c>
      <c r="D628" s="7">
        <v>2022520199</v>
      </c>
      <c r="E628" s="7">
        <v>2201010744</v>
      </c>
      <c r="F628" s="7" t="s">
        <v>1802</v>
      </c>
      <c r="G628" s="7" t="s">
        <v>13</v>
      </c>
      <c r="H628" s="6" t="s">
        <v>1337</v>
      </c>
      <c r="I628" s="6" t="s">
        <v>3063</v>
      </c>
      <c r="J628" s="6" t="s">
        <v>3064</v>
      </c>
      <c r="K628" s="6" t="s">
        <v>1276</v>
      </c>
      <c r="L628" s="6" t="s">
        <v>104</v>
      </c>
      <c r="M628" s="6" t="s">
        <v>26</v>
      </c>
      <c r="N628" s="7" t="s">
        <v>18</v>
      </c>
      <c r="O628" s="23" t="s">
        <v>3626</v>
      </c>
      <c r="P628" s="23" t="s">
        <v>3627</v>
      </c>
      <c r="Q628" s="23" t="s">
        <v>3628</v>
      </c>
      <c r="R628" s="23" t="s">
        <v>3612</v>
      </c>
      <c r="S628" s="2" t="s">
        <v>3613</v>
      </c>
      <c r="T628" s="2" t="s">
        <v>3614</v>
      </c>
      <c r="U628" s="2" t="s">
        <v>3615</v>
      </c>
      <c r="V628" s="23" t="s">
        <v>3616</v>
      </c>
      <c r="W628" s="24" t="s">
        <v>3617</v>
      </c>
      <c r="X628" s="23" t="s">
        <v>3618</v>
      </c>
      <c r="Y628" s="23" t="s">
        <v>3620</v>
      </c>
      <c r="Z628" s="23" t="s">
        <v>3621</v>
      </c>
      <c r="AA628" s="23" t="s">
        <v>3629</v>
      </c>
      <c r="AB628" s="8"/>
      <c r="AC628" s="8"/>
      <c r="AD628" s="8"/>
    </row>
    <row r="629" spans="1:30" ht="15.5">
      <c r="A629" s="4" t="s">
        <v>1274</v>
      </c>
      <c r="B629" s="5">
        <v>2402</v>
      </c>
      <c r="C629" s="6" t="s">
        <v>1791</v>
      </c>
      <c r="D629" s="7">
        <v>2022823509</v>
      </c>
      <c r="E629" s="7">
        <v>2201010755</v>
      </c>
      <c r="F629" s="7" t="s">
        <v>1802</v>
      </c>
      <c r="G629" s="7" t="s">
        <v>13</v>
      </c>
      <c r="H629" s="6" t="s">
        <v>1792</v>
      </c>
      <c r="I629" s="6" t="s">
        <v>3065</v>
      </c>
      <c r="J629" s="6" t="s">
        <v>3066</v>
      </c>
      <c r="K629" s="6" t="s">
        <v>1276</v>
      </c>
      <c r="L629" s="6" t="s">
        <v>104</v>
      </c>
      <c r="M629" s="6" t="s">
        <v>49</v>
      </c>
      <c r="N629" s="7" t="s">
        <v>18</v>
      </c>
      <c r="O629" s="23" t="s">
        <v>3626</v>
      </c>
      <c r="P629" s="23" t="s">
        <v>3627</v>
      </c>
      <c r="Q629" s="23" t="s">
        <v>3628</v>
      </c>
      <c r="R629" s="23" t="s">
        <v>3612</v>
      </c>
      <c r="S629" s="2" t="s">
        <v>3613</v>
      </c>
      <c r="T629" s="2" t="s">
        <v>3614</v>
      </c>
      <c r="U629" s="2" t="s">
        <v>3615</v>
      </c>
      <c r="V629" s="23" t="s">
        <v>3616</v>
      </c>
      <c r="W629" s="24" t="s">
        <v>3617</v>
      </c>
      <c r="X629" s="23" t="s">
        <v>3618</v>
      </c>
      <c r="Y629" s="23" t="s">
        <v>3620</v>
      </c>
      <c r="Z629" s="23" t="s">
        <v>3621</v>
      </c>
      <c r="AA629" s="23" t="s">
        <v>3629</v>
      </c>
      <c r="AB629" s="8"/>
      <c r="AC629" s="8"/>
      <c r="AD629" s="8"/>
    </row>
    <row r="630" spans="1:30" ht="15.5">
      <c r="A630" s="4" t="s">
        <v>1274</v>
      </c>
      <c r="B630" s="5">
        <v>2402</v>
      </c>
      <c r="C630" s="6" t="s">
        <v>1314</v>
      </c>
      <c r="D630" s="7">
        <v>2022421811</v>
      </c>
      <c r="E630" s="7">
        <v>2201010758</v>
      </c>
      <c r="F630" s="7" t="s">
        <v>1802</v>
      </c>
      <c r="G630" s="7" t="s">
        <v>13</v>
      </c>
      <c r="H630" s="6" t="s">
        <v>1315</v>
      </c>
      <c r="I630" s="6" t="s">
        <v>3067</v>
      </c>
      <c r="J630" s="6" t="s">
        <v>3068</v>
      </c>
      <c r="K630" s="6" t="s">
        <v>1276</v>
      </c>
      <c r="L630" s="6" t="s">
        <v>26</v>
      </c>
      <c r="M630" s="6" t="s">
        <v>104</v>
      </c>
      <c r="N630" s="7" t="s">
        <v>18</v>
      </c>
      <c r="O630" s="23" t="s">
        <v>3626</v>
      </c>
      <c r="P630" s="23" t="s">
        <v>3627</v>
      </c>
      <c r="Q630" s="23" t="s">
        <v>3628</v>
      </c>
      <c r="R630" s="23" t="s">
        <v>3612</v>
      </c>
      <c r="S630" s="2" t="s">
        <v>3613</v>
      </c>
      <c r="T630" s="2" t="s">
        <v>3614</v>
      </c>
      <c r="U630" s="2" t="s">
        <v>3615</v>
      </c>
      <c r="V630" s="23" t="s">
        <v>3616</v>
      </c>
      <c r="W630" s="24" t="s">
        <v>3617</v>
      </c>
      <c r="X630" s="23" t="s">
        <v>3618</v>
      </c>
      <c r="Y630" s="23" t="s">
        <v>3620</v>
      </c>
      <c r="Z630" s="23" t="s">
        <v>3621</v>
      </c>
      <c r="AA630" s="23" t="s">
        <v>3629</v>
      </c>
      <c r="AB630" s="8"/>
      <c r="AC630" s="8"/>
      <c r="AD630" s="8"/>
    </row>
    <row r="631" spans="1:30" ht="15.5">
      <c r="A631" s="4" t="s">
        <v>1274</v>
      </c>
      <c r="B631" s="5">
        <v>2402</v>
      </c>
      <c r="C631" s="6" t="s">
        <v>1767</v>
      </c>
      <c r="D631" s="7">
        <v>2022477719</v>
      </c>
      <c r="E631" s="7">
        <v>2201010759</v>
      </c>
      <c r="F631" s="7" t="s">
        <v>1802</v>
      </c>
      <c r="G631" s="7" t="s">
        <v>13</v>
      </c>
      <c r="H631" s="6" t="s">
        <v>1768</v>
      </c>
      <c r="I631" s="6" t="s">
        <v>3069</v>
      </c>
      <c r="J631" s="6" t="s">
        <v>3070</v>
      </c>
      <c r="K631" s="6" t="s">
        <v>1276</v>
      </c>
      <c r="L631" s="6" t="s">
        <v>104</v>
      </c>
      <c r="M631" s="6" t="s">
        <v>26</v>
      </c>
      <c r="N631" s="7" t="s">
        <v>18</v>
      </c>
      <c r="O631" s="23" t="s">
        <v>3626</v>
      </c>
      <c r="P631" s="23" t="s">
        <v>3627</v>
      </c>
      <c r="Q631" s="23" t="s">
        <v>3628</v>
      </c>
      <c r="R631" s="23" t="s">
        <v>3612</v>
      </c>
      <c r="S631" s="2" t="s">
        <v>3613</v>
      </c>
      <c r="T631" s="2" t="s">
        <v>3614</v>
      </c>
      <c r="U631" s="2" t="s">
        <v>3615</v>
      </c>
      <c r="V631" s="23" t="s">
        <v>3616</v>
      </c>
      <c r="W631" s="24" t="s">
        <v>3617</v>
      </c>
      <c r="X631" s="23" t="s">
        <v>3618</v>
      </c>
      <c r="Y631" s="23" t="s">
        <v>3620</v>
      </c>
      <c r="Z631" s="23" t="s">
        <v>3621</v>
      </c>
      <c r="AA631" s="23" t="s">
        <v>3629</v>
      </c>
      <c r="AB631" s="8"/>
      <c r="AC631" s="8"/>
      <c r="AD631" s="8"/>
    </row>
    <row r="632" spans="1:30" ht="15.5">
      <c r="A632" s="4" t="s">
        <v>1274</v>
      </c>
      <c r="B632" s="5">
        <v>2402</v>
      </c>
      <c r="C632" s="6" t="s">
        <v>1303</v>
      </c>
      <c r="D632" s="7">
        <v>2022374380</v>
      </c>
      <c r="E632" s="7">
        <v>2201010768</v>
      </c>
      <c r="F632" s="7" t="s">
        <v>1802</v>
      </c>
      <c r="G632" s="7" t="s">
        <v>13</v>
      </c>
      <c r="H632" s="6" t="s">
        <v>1304</v>
      </c>
      <c r="I632" s="6" t="s">
        <v>3071</v>
      </c>
      <c r="J632" s="6" t="s">
        <v>3072</v>
      </c>
      <c r="K632" s="6" t="s">
        <v>1276</v>
      </c>
      <c r="L632" s="6" t="s">
        <v>21</v>
      </c>
      <c r="M632" s="6" t="s">
        <v>104</v>
      </c>
      <c r="N632" s="7" t="s">
        <v>18</v>
      </c>
      <c r="O632" s="23" t="s">
        <v>3626</v>
      </c>
      <c r="P632" s="23" t="s">
        <v>3627</v>
      </c>
      <c r="Q632" s="23" t="s">
        <v>3628</v>
      </c>
      <c r="R632" s="23" t="s">
        <v>3612</v>
      </c>
      <c r="S632" s="2" t="s">
        <v>3613</v>
      </c>
      <c r="T632" s="2" t="s">
        <v>3614</v>
      </c>
      <c r="U632" s="2" t="s">
        <v>3615</v>
      </c>
      <c r="V632" s="23" t="s">
        <v>3616</v>
      </c>
      <c r="W632" s="24" t="s">
        <v>3617</v>
      </c>
      <c r="X632" s="23" t="s">
        <v>3618</v>
      </c>
      <c r="Y632" s="23" t="s">
        <v>3620</v>
      </c>
      <c r="Z632" s="23" t="s">
        <v>3621</v>
      </c>
      <c r="AA632" s="23" t="s">
        <v>3629</v>
      </c>
      <c r="AB632" s="8"/>
      <c r="AC632" s="8"/>
      <c r="AD632" s="8"/>
    </row>
    <row r="633" spans="1:30" ht="15.5">
      <c r="A633" s="4" t="s">
        <v>1274</v>
      </c>
      <c r="B633" s="5">
        <v>2402</v>
      </c>
      <c r="C633" s="6" t="s">
        <v>1322</v>
      </c>
      <c r="D633" s="7">
        <v>2022495156</v>
      </c>
      <c r="E633" s="7">
        <v>2201010775</v>
      </c>
      <c r="F633" s="7" t="s">
        <v>1802</v>
      </c>
      <c r="G633" s="7" t="s">
        <v>13</v>
      </c>
      <c r="H633" s="6" t="s">
        <v>1323</v>
      </c>
      <c r="I633" s="6" t="s">
        <v>3073</v>
      </c>
      <c r="J633" s="6" t="s">
        <v>3074</v>
      </c>
      <c r="K633" s="6" t="s">
        <v>1276</v>
      </c>
      <c r="L633" s="6" t="s">
        <v>104</v>
      </c>
      <c r="M633" s="6" t="s">
        <v>26</v>
      </c>
      <c r="N633" s="7" t="s">
        <v>18</v>
      </c>
      <c r="O633" s="23" t="s">
        <v>3626</v>
      </c>
      <c r="P633" s="23" t="s">
        <v>3627</v>
      </c>
      <c r="Q633" s="23" t="s">
        <v>3628</v>
      </c>
      <c r="R633" s="23" t="s">
        <v>3612</v>
      </c>
      <c r="S633" s="2" t="s">
        <v>3613</v>
      </c>
      <c r="T633" s="2" t="s">
        <v>3614</v>
      </c>
      <c r="U633" s="2" t="s">
        <v>3615</v>
      </c>
      <c r="V633" s="23" t="s">
        <v>3616</v>
      </c>
      <c r="W633" s="24" t="s">
        <v>3617</v>
      </c>
      <c r="X633" s="23" t="s">
        <v>3618</v>
      </c>
      <c r="Y633" s="23" t="s">
        <v>3620</v>
      </c>
      <c r="Z633" s="23" t="s">
        <v>3621</v>
      </c>
      <c r="AA633" s="23" t="s">
        <v>3629</v>
      </c>
      <c r="AB633" s="8"/>
      <c r="AC633" s="8"/>
      <c r="AD633" s="8"/>
    </row>
    <row r="634" spans="1:30" ht="15.5">
      <c r="A634" s="4" t="s">
        <v>1274</v>
      </c>
      <c r="B634" s="5">
        <v>2402</v>
      </c>
      <c r="C634" s="6" t="s">
        <v>1795</v>
      </c>
      <c r="D634" s="7">
        <v>2022006597</v>
      </c>
      <c r="E634" s="7">
        <v>2201010802</v>
      </c>
      <c r="F634" s="7" t="s">
        <v>1802</v>
      </c>
      <c r="G634" s="7" t="s">
        <v>13</v>
      </c>
      <c r="H634" s="6" t="s">
        <v>1796</v>
      </c>
      <c r="I634" s="6" t="s">
        <v>3075</v>
      </c>
      <c r="J634" s="6" t="s">
        <v>3076</v>
      </c>
      <c r="K634" s="6" t="s">
        <v>1276</v>
      </c>
      <c r="L634" s="6" t="s">
        <v>149</v>
      </c>
      <c r="M634" s="6" t="s">
        <v>104</v>
      </c>
      <c r="N634" s="7" t="s">
        <v>18</v>
      </c>
      <c r="O634" s="23" t="s">
        <v>3626</v>
      </c>
      <c r="P634" s="23" t="s">
        <v>3627</v>
      </c>
      <c r="Q634" s="23" t="s">
        <v>3628</v>
      </c>
      <c r="R634" s="23" t="s">
        <v>3612</v>
      </c>
      <c r="S634" s="2" t="s">
        <v>3613</v>
      </c>
      <c r="T634" s="2" t="s">
        <v>3614</v>
      </c>
      <c r="U634" s="2" t="s">
        <v>3615</v>
      </c>
      <c r="V634" s="23" t="s">
        <v>3616</v>
      </c>
      <c r="W634" s="24" t="s">
        <v>3617</v>
      </c>
      <c r="X634" s="23" t="s">
        <v>3618</v>
      </c>
      <c r="Y634" s="23" t="s">
        <v>3620</v>
      </c>
      <c r="Z634" s="23" t="s">
        <v>3621</v>
      </c>
      <c r="AA634" s="23" t="s">
        <v>3629</v>
      </c>
      <c r="AB634" s="8"/>
      <c r="AC634" s="8"/>
      <c r="AD634" s="8"/>
    </row>
    <row r="635" spans="1:30" ht="15.5">
      <c r="A635" s="4" t="s">
        <v>1274</v>
      </c>
      <c r="B635" s="5">
        <v>2402</v>
      </c>
      <c r="C635" s="6" t="s">
        <v>1774</v>
      </c>
      <c r="D635" s="7">
        <v>2022518973</v>
      </c>
      <c r="E635" s="7">
        <v>2201010814</v>
      </c>
      <c r="F635" s="7" t="s">
        <v>1802</v>
      </c>
      <c r="G635" s="7" t="s">
        <v>13</v>
      </c>
      <c r="H635" s="6" t="s">
        <v>1775</v>
      </c>
      <c r="I635" s="6" t="s">
        <v>3077</v>
      </c>
      <c r="J635" s="6" t="s">
        <v>3078</v>
      </c>
      <c r="K635" s="6" t="s">
        <v>1276</v>
      </c>
      <c r="L635" s="6" t="s">
        <v>104</v>
      </c>
      <c r="M635" s="6" t="s">
        <v>26</v>
      </c>
      <c r="N635" s="7" t="s">
        <v>18</v>
      </c>
      <c r="O635" s="23" t="s">
        <v>3626</v>
      </c>
      <c r="P635" s="23" t="s">
        <v>3627</v>
      </c>
      <c r="Q635" s="23" t="s">
        <v>3628</v>
      </c>
      <c r="R635" s="23" t="s">
        <v>3612</v>
      </c>
      <c r="S635" s="2" t="s">
        <v>3613</v>
      </c>
      <c r="T635" s="2" t="s">
        <v>3614</v>
      </c>
      <c r="U635" s="2" t="s">
        <v>3615</v>
      </c>
      <c r="V635" s="23" t="s">
        <v>3616</v>
      </c>
      <c r="W635" s="24" t="s">
        <v>3617</v>
      </c>
      <c r="X635" s="23" t="s">
        <v>3618</v>
      </c>
      <c r="Y635" s="23" t="s">
        <v>3620</v>
      </c>
      <c r="Z635" s="23" t="s">
        <v>3621</v>
      </c>
      <c r="AA635" s="23" t="s">
        <v>3629</v>
      </c>
      <c r="AB635" s="8"/>
      <c r="AC635" s="8"/>
      <c r="AD635" s="8"/>
    </row>
    <row r="636" spans="1:30" ht="15.5">
      <c r="A636" s="4" t="s">
        <v>1274</v>
      </c>
      <c r="B636" s="5">
        <v>2402</v>
      </c>
      <c r="C636" s="6" t="s">
        <v>1320</v>
      </c>
      <c r="D636" s="7">
        <v>2022490281</v>
      </c>
      <c r="E636" s="7">
        <v>2201010824</v>
      </c>
      <c r="F636" s="7" t="s">
        <v>1802</v>
      </c>
      <c r="G636" s="7" t="s">
        <v>13</v>
      </c>
      <c r="H636" s="6" t="s">
        <v>1321</v>
      </c>
      <c r="I636" s="6" t="s">
        <v>3079</v>
      </c>
      <c r="J636" s="6" t="s">
        <v>3080</v>
      </c>
      <c r="K636" s="6" t="s">
        <v>1276</v>
      </c>
      <c r="L636" s="6" t="s">
        <v>104</v>
      </c>
      <c r="M636" s="6" t="s">
        <v>26</v>
      </c>
      <c r="N636" s="7" t="s">
        <v>18</v>
      </c>
      <c r="O636" s="23" t="s">
        <v>3626</v>
      </c>
      <c r="P636" s="23" t="s">
        <v>3627</v>
      </c>
      <c r="Q636" s="23" t="s">
        <v>3628</v>
      </c>
      <c r="R636" s="23" t="s">
        <v>3612</v>
      </c>
      <c r="S636" s="2" t="s">
        <v>3613</v>
      </c>
      <c r="T636" s="2" t="s">
        <v>3614</v>
      </c>
      <c r="U636" s="2" t="s">
        <v>3615</v>
      </c>
      <c r="V636" s="23" t="s">
        <v>3616</v>
      </c>
      <c r="W636" s="24" t="s">
        <v>3617</v>
      </c>
      <c r="X636" s="23" t="s">
        <v>3618</v>
      </c>
      <c r="Y636" s="23" t="s">
        <v>3620</v>
      </c>
      <c r="Z636" s="23" t="s">
        <v>3621</v>
      </c>
      <c r="AA636" s="23" t="s">
        <v>3629</v>
      </c>
      <c r="AB636" s="8"/>
      <c r="AC636" s="8"/>
      <c r="AD636" s="8"/>
    </row>
    <row r="637" spans="1:30" ht="15.5">
      <c r="A637" s="4" t="s">
        <v>1274</v>
      </c>
      <c r="B637" s="5">
        <v>2402</v>
      </c>
      <c r="C637" s="6" t="s">
        <v>1710</v>
      </c>
      <c r="D637" s="7">
        <v>2022006563</v>
      </c>
      <c r="E637" s="7">
        <v>2201010942</v>
      </c>
      <c r="F637" s="7" t="s">
        <v>1802</v>
      </c>
      <c r="G637" s="7" t="s">
        <v>13</v>
      </c>
      <c r="H637" s="6" t="s">
        <v>1711</v>
      </c>
      <c r="I637" s="6" t="s">
        <v>3081</v>
      </c>
      <c r="J637" s="6" t="s">
        <v>3082</v>
      </c>
      <c r="K637" s="6" t="s">
        <v>1276</v>
      </c>
      <c r="L637" s="6" t="s">
        <v>104</v>
      </c>
      <c r="M637" s="6" t="s">
        <v>26</v>
      </c>
      <c r="N637" s="7" t="s">
        <v>18</v>
      </c>
      <c r="O637" s="23" t="s">
        <v>3626</v>
      </c>
      <c r="P637" s="23" t="s">
        <v>3627</v>
      </c>
      <c r="Q637" s="23" t="s">
        <v>3628</v>
      </c>
      <c r="R637" s="23" t="s">
        <v>3612</v>
      </c>
      <c r="S637" s="2" t="s">
        <v>3613</v>
      </c>
      <c r="T637" s="2" t="s">
        <v>3614</v>
      </c>
      <c r="U637" s="2" t="s">
        <v>3615</v>
      </c>
      <c r="V637" s="23" t="s">
        <v>3616</v>
      </c>
      <c r="W637" s="24" t="s">
        <v>3617</v>
      </c>
      <c r="X637" s="23" t="s">
        <v>3618</v>
      </c>
      <c r="Y637" s="23" t="s">
        <v>3620</v>
      </c>
      <c r="Z637" s="23" t="s">
        <v>3621</v>
      </c>
      <c r="AA637" s="23" t="s">
        <v>3629</v>
      </c>
      <c r="AB637" s="8"/>
      <c r="AC637" s="8"/>
      <c r="AD637" s="8"/>
    </row>
    <row r="638" spans="1:30" ht="15.5">
      <c r="A638" s="4" t="s">
        <v>1274</v>
      </c>
      <c r="B638" s="5">
        <v>2402</v>
      </c>
      <c r="C638" s="6" t="s">
        <v>1714</v>
      </c>
      <c r="D638" s="7">
        <v>2022006893</v>
      </c>
      <c r="E638" s="7">
        <v>2201010943</v>
      </c>
      <c r="F638" s="7" t="s">
        <v>1802</v>
      </c>
      <c r="G638" s="7" t="s">
        <v>13</v>
      </c>
      <c r="H638" s="6" t="s">
        <v>1715</v>
      </c>
      <c r="I638" s="6" t="s">
        <v>3083</v>
      </c>
      <c r="J638" s="6" t="s">
        <v>3084</v>
      </c>
      <c r="K638" s="6" t="s">
        <v>1276</v>
      </c>
      <c r="L638" s="6" t="s">
        <v>104</v>
      </c>
      <c r="M638" s="6" t="s">
        <v>26</v>
      </c>
      <c r="N638" s="7" t="s">
        <v>18</v>
      </c>
      <c r="O638" s="23" t="s">
        <v>3626</v>
      </c>
      <c r="P638" s="23" t="s">
        <v>3627</v>
      </c>
      <c r="Q638" s="23" t="s">
        <v>3628</v>
      </c>
      <c r="R638" s="23" t="s">
        <v>3612</v>
      </c>
      <c r="S638" s="2" t="s">
        <v>3613</v>
      </c>
      <c r="T638" s="2" t="s">
        <v>3614</v>
      </c>
      <c r="U638" s="2" t="s">
        <v>3615</v>
      </c>
      <c r="V638" s="23" t="s">
        <v>3616</v>
      </c>
      <c r="W638" s="24" t="s">
        <v>3617</v>
      </c>
      <c r="X638" s="23" t="s">
        <v>3618</v>
      </c>
      <c r="Y638" s="23" t="s">
        <v>3620</v>
      </c>
      <c r="Z638" s="23" t="s">
        <v>3621</v>
      </c>
      <c r="AA638" s="23" t="s">
        <v>3629</v>
      </c>
      <c r="AB638" s="8"/>
      <c r="AC638" s="8"/>
      <c r="AD638" s="8"/>
    </row>
    <row r="639" spans="1:30" ht="15.5">
      <c r="A639" s="4" t="s">
        <v>1274</v>
      </c>
      <c r="B639" s="5">
        <v>2402</v>
      </c>
      <c r="C639" s="6" t="s">
        <v>1720</v>
      </c>
      <c r="D639" s="7">
        <v>2022007789</v>
      </c>
      <c r="E639" s="7">
        <v>2201010945</v>
      </c>
      <c r="F639" s="7" t="s">
        <v>1802</v>
      </c>
      <c r="G639" s="7" t="s">
        <v>13</v>
      </c>
      <c r="H639" s="6" t="s">
        <v>1721</v>
      </c>
      <c r="I639" s="6" t="s">
        <v>3085</v>
      </c>
      <c r="J639" s="6" t="s">
        <v>3086</v>
      </c>
      <c r="K639" s="6" t="s">
        <v>1276</v>
      </c>
      <c r="L639" s="6" t="s">
        <v>104</v>
      </c>
      <c r="M639" s="6" t="s">
        <v>26</v>
      </c>
      <c r="N639" s="7" t="s">
        <v>18</v>
      </c>
      <c r="O639" s="23" t="s">
        <v>3626</v>
      </c>
      <c r="P639" s="23" t="s">
        <v>3627</v>
      </c>
      <c r="Q639" s="23" t="s">
        <v>3628</v>
      </c>
      <c r="R639" s="23" t="s">
        <v>3612</v>
      </c>
      <c r="S639" s="2" t="s">
        <v>3613</v>
      </c>
      <c r="T639" s="2" t="s">
        <v>3614</v>
      </c>
      <c r="U639" s="2" t="s">
        <v>3615</v>
      </c>
      <c r="V639" s="23" t="s">
        <v>3616</v>
      </c>
      <c r="W639" s="24" t="s">
        <v>3617</v>
      </c>
      <c r="X639" s="23" t="s">
        <v>3618</v>
      </c>
      <c r="Y639" s="23" t="s">
        <v>3620</v>
      </c>
      <c r="Z639" s="23" t="s">
        <v>3621</v>
      </c>
      <c r="AA639" s="23" t="s">
        <v>3629</v>
      </c>
      <c r="AB639" s="8"/>
      <c r="AC639" s="8"/>
      <c r="AD639" s="8"/>
    </row>
    <row r="640" spans="1:30" ht="15.5">
      <c r="A640" s="4" t="s">
        <v>1274</v>
      </c>
      <c r="B640" s="5">
        <v>2402</v>
      </c>
      <c r="C640" s="6" t="s">
        <v>1780</v>
      </c>
      <c r="D640" s="7">
        <v>2022565521</v>
      </c>
      <c r="E640" s="7">
        <v>2201010948</v>
      </c>
      <c r="F640" s="7" t="s">
        <v>1802</v>
      </c>
      <c r="G640" s="7" t="s">
        <v>13</v>
      </c>
      <c r="H640" s="6" t="s">
        <v>1781</v>
      </c>
      <c r="I640" s="6" t="s">
        <v>3087</v>
      </c>
      <c r="J640" s="6" t="s">
        <v>3088</v>
      </c>
      <c r="K640" s="6" t="s">
        <v>1276</v>
      </c>
      <c r="L640" s="6" t="s">
        <v>104</v>
      </c>
      <c r="M640" s="6" t="s">
        <v>26</v>
      </c>
      <c r="N640" s="7" t="s">
        <v>18</v>
      </c>
      <c r="O640" s="23" t="s">
        <v>3626</v>
      </c>
      <c r="P640" s="23" t="s">
        <v>3627</v>
      </c>
      <c r="Q640" s="23" t="s">
        <v>3628</v>
      </c>
      <c r="R640" s="23" t="s">
        <v>3612</v>
      </c>
      <c r="S640" s="2" t="s">
        <v>3613</v>
      </c>
      <c r="T640" s="2" t="s">
        <v>3614</v>
      </c>
      <c r="U640" s="2" t="s">
        <v>3615</v>
      </c>
      <c r="V640" s="23" t="s">
        <v>3616</v>
      </c>
      <c r="W640" s="24" t="s">
        <v>3617</v>
      </c>
      <c r="X640" s="23" t="s">
        <v>3618</v>
      </c>
      <c r="Y640" s="23" t="s">
        <v>3620</v>
      </c>
      <c r="Z640" s="23" t="s">
        <v>3621</v>
      </c>
      <c r="AA640" s="23" t="s">
        <v>3629</v>
      </c>
      <c r="AB640" s="8"/>
      <c r="AC640" s="8"/>
      <c r="AD640" s="8"/>
    </row>
    <row r="641" spans="1:30" ht="15.5">
      <c r="A641" s="4" t="s">
        <v>1274</v>
      </c>
      <c r="B641" s="5">
        <v>2402</v>
      </c>
      <c r="C641" s="6" t="s">
        <v>1782</v>
      </c>
      <c r="D641" s="7">
        <v>2022573142</v>
      </c>
      <c r="E641" s="7">
        <v>2201010949</v>
      </c>
      <c r="F641" s="7" t="s">
        <v>1802</v>
      </c>
      <c r="G641" s="7" t="s">
        <v>13</v>
      </c>
      <c r="H641" s="6" t="s">
        <v>1783</v>
      </c>
      <c r="I641" s="6" t="s">
        <v>3089</v>
      </c>
      <c r="J641" s="6" t="s">
        <v>3090</v>
      </c>
      <c r="K641" s="6" t="s">
        <v>1276</v>
      </c>
      <c r="L641" s="6" t="s">
        <v>104</v>
      </c>
      <c r="M641" s="6" t="s">
        <v>104</v>
      </c>
      <c r="N641" s="7" t="s">
        <v>18</v>
      </c>
      <c r="O641" s="23" t="s">
        <v>3626</v>
      </c>
      <c r="P641" s="23" t="s">
        <v>3627</v>
      </c>
      <c r="Q641" s="23" t="s">
        <v>3628</v>
      </c>
      <c r="R641" s="23" t="s">
        <v>3612</v>
      </c>
      <c r="S641" s="2" t="s">
        <v>3613</v>
      </c>
      <c r="T641" s="2" t="s">
        <v>3614</v>
      </c>
      <c r="U641" s="2" t="s">
        <v>3615</v>
      </c>
      <c r="V641" s="23" t="s">
        <v>3616</v>
      </c>
      <c r="W641" s="24" t="s">
        <v>3617</v>
      </c>
      <c r="X641" s="23" t="s">
        <v>3618</v>
      </c>
      <c r="Y641" s="23" t="s">
        <v>3620</v>
      </c>
      <c r="Z641" s="23" t="s">
        <v>3621</v>
      </c>
      <c r="AA641" s="23" t="s">
        <v>3629</v>
      </c>
      <c r="AB641" s="8"/>
      <c r="AC641" s="8"/>
      <c r="AD641" s="8"/>
    </row>
    <row r="642" spans="1:30" ht="15.5">
      <c r="A642" s="4" t="s">
        <v>1274</v>
      </c>
      <c r="B642" s="5">
        <v>2402</v>
      </c>
      <c r="C642" s="6" t="s">
        <v>1784</v>
      </c>
      <c r="D642" s="7">
        <v>2022586591</v>
      </c>
      <c r="E642" s="7">
        <v>2201010950</v>
      </c>
      <c r="F642" s="7" t="s">
        <v>1802</v>
      </c>
      <c r="G642" s="7" t="s">
        <v>13</v>
      </c>
      <c r="H642" s="6" t="s">
        <v>1785</v>
      </c>
      <c r="I642" s="6" t="s">
        <v>3091</v>
      </c>
      <c r="J642" s="6" t="s">
        <v>3092</v>
      </c>
      <c r="K642" s="6" t="s">
        <v>1276</v>
      </c>
      <c r="L642" s="6" t="s">
        <v>104</v>
      </c>
      <c r="M642" s="6" t="s">
        <v>117</v>
      </c>
      <c r="N642" s="7" t="s">
        <v>18</v>
      </c>
      <c r="O642" s="23" t="s">
        <v>3626</v>
      </c>
      <c r="P642" s="23" t="s">
        <v>3627</v>
      </c>
      <c r="Q642" s="23" t="s">
        <v>3628</v>
      </c>
      <c r="R642" s="23" t="s">
        <v>3612</v>
      </c>
      <c r="S642" s="2" t="s">
        <v>3613</v>
      </c>
      <c r="T642" s="2" t="s">
        <v>3614</v>
      </c>
      <c r="U642" s="2" t="s">
        <v>3615</v>
      </c>
      <c r="V642" s="23" t="s">
        <v>3616</v>
      </c>
      <c r="W642" s="24" t="s">
        <v>3617</v>
      </c>
      <c r="X642" s="23" t="s">
        <v>3618</v>
      </c>
      <c r="Y642" s="23" t="s">
        <v>3620</v>
      </c>
      <c r="Z642" s="23" t="s">
        <v>3621</v>
      </c>
      <c r="AA642" s="23" t="s">
        <v>3629</v>
      </c>
      <c r="AB642" s="8"/>
      <c r="AC642" s="8"/>
      <c r="AD642" s="8"/>
    </row>
    <row r="643" spans="1:30" ht="15.5">
      <c r="A643" s="4" t="s">
        <v>1274</v>
      </c>
      <c r="B643" s="5">
        <v>2402</v>
      </c>
      <c r="C643" s="6" t="s">
        <v>1359</v>
      </c>
      <c r="D643" s="7">
        <v>2022599098</v>
      </c>
      <c r="E643" s="7">
        <v>2201010951</v>
      </c>
      <c r="F643" s="7" t="s">
        <v>1802</v>
      </c>
      <c r="G643" s="7" t="s">
        <v>13</v>
      </c>
      <c r="H643" s="6" t="s">
        <v>1360</v>
      </c>
      <c r="I643" s="6" t="s">
        <v>3093</v>
      </c>
      <c r="J643" s="6" t="s">
        <v>3094</v>
      </c>
      <c r="K643" s="6" t="s">
        <v>1276</v>
      </c>
      <c r="L643" s="6" t="s">
        <v>104</v>
      </c>
      <c r="M643" s="6" t="s">
        <v>21</v>
      </c>
      <c r="N643" s="7" t="s">
        <v>18</v>
      </c>
      <c r="O643" s="23" t="s">
        <v>3626</v>
      </c>
      <c r="P643" s="23" t="s">
        <v>3627</v>
      </c>
      <c r="Q643" s="23" t="s">
        <v>3628</v>
      </c>
      <c r="R643" s="23" t="s">
        <v>3612</v>
      </c>
      <c r="S643" s="2" t="s">
        <v>3613</v>
      </c>
      <c r="T643" s="2" t="s">
        <v>3614</v>
      </c>
      <c r="U643" s="2" t="s">
        <v>3615</v>
      </c>
      <c r="V643" s="23" t="s">
        <v>3616</v>
      </c>
      <c r="W643" s="24" t="s">
        <v>3617</v>
      </c>
      <c r="X643" s="23" t="s">
        <v>3618</v>
      </c>
      <c r="Y643" s="23" t="s">
        <v>3620</v>
      </c>
      <c r="Z643" s="23" t="s">
        <v>3621</v>
      </c>
      <c r="AA643" s="23" t="s">
        <v>3629</v>
      </c>
      <c r="AB643" s="8"/>
      <c r="AC643" s="8"/>
      <c r="AD643" s="8"/>
    </row>
    <row r="644" spans="1:30" ht="15.5">
      <c r="A644" s="4" t="s">
        <v>1274</v>
      </c>
      <c r="B644" s="5">
        <v>2402</v>
      </c>
      <c r="C644" s="6" t="s">
        <v>1366</v>
      </c>
      <c r="D644" s="7">
        <v>2022603519</v>
      </c>
      <c r="E644" s="7">
        <v>2201010952</v>
      </c>
      <c r="F644" s="7" t="s">
        <v>1802</v>
      </c>
      <c r="G644" s="7" t="s">
        <v>13</v>
      </c>
      <c r="H644" s="6" t="s">
        <v>1367</v>
      </c>
      <c r="I644" s="6" t="s">
        <v>3095</v>
      </c>
      <c r="J644" s="6" t="s">
        <v>3096</v>
      </c>
      <c r="K644" s="6" t="s">
        <v>1276</v>
      </c>
      <c r="L644" s="6" t="s">
        <v>104</v>
      </c>
      <c r="M644" s="6" t="s">
        <v>117</v>
      </c>
      <c r="N644" s="7" t="s">
        <v>18</v>
      </c>
      <c r="O644" s="23" t="s">
        <v>3626</v>
      </c>
      <c r="P644" s="23" t="s">
        <v>3627</v>
      </c>
      <c r="Q644" s="23" t="s">
        <v>3628</v>
      </c>
      <c r="R644" s="23" t="s">
        <v>3612</v>
      </c>
      <c r="S644" s="2" t="s">
        <v>3613</v>
      </c>
      <c r="T644" s="2" t="s">
        <v>3614</v>
      </c>
      <c r="U644" s="2" t="s">
        <v>3615</v>
      </c>
      <c r="V644" s="23" t="s">
        <v>3616</v>
      </c>
      <c r="W644" s="24" t="s">
        <v>3617</v>
      </c>
      <c r="X644" s="23" t="s">
        <v>3618</v>
      </c>
      <c r="Y644" s="23" t="s">
        <v>3620</v>
      </c>
      <c r="Z644" s="23" t="s">
        <v>3621</v>
      </c>
      <c r="AA644" s="23" t="s">
        <v>3629</v>
      </c>
      <c r="AB644" s="8"/>
      <c r="AC644" s="8"/>
      <c r="AD644" s="8"/>
    </row>
    <row r="645" spans="1:30" ht="15.5">
      <c r="A645" s="4" t="s">
        <v>1274</v>
      </c>
      <c r="B645" s="5">
        <v>2402</v>
      </c>
      <c r="C645" s="6" t="s">
        <v>705</v>
      </c>
      <c r="D645" s="7">
        <v>2022617520</v>
      </c>
      <c r="E645" s="7">
        <v>2201010954</v>
      </c>
      <c r="F645" s="7" t="s">
        <v>1802</v>
      </c>
      <c r="G645" s="7" t="s">
        <v>13</v>
      </c>
      <c r="H645" s="6" t="s">
        <v>1786</v>
      </c>
      <c r="I645" s="6" t="s">
        <v>3097</v>
      </c>
      <c r="J645" s="6" t="s">
        <v>3098</v>
      </c>
      <c r="K645" s="6" t="s">
        <v>1276</v>
      </c>
      <c r="L645" s="6" t="s">
        <v>104</v>
      </c>
      <c r="M645" s="6" t="s">
        <v>149</v>
      </c>
      <c r="N645" s="7" t="s">
        <v>18</v>
      </c>
      <c r="O645" s="23" t="s">
        <v>3626</v>
      </c>
      <c r="P645" s="23" t="s">
        <v>3627</v>
      </c>
      <c r="Q645" s="23" t="s">
        <v>3628</v>
      </c>
      <c r="R645" s="23" t="s">
        <v>3612</v>
      </c>
      <c r="S645" s="2" t="s">
        <v>3613</v>
      </c>
      <c r="T645" s="2" t="s">
        <v>3614</v>
      </c>
      <c r="U645" s="2" t="s">
        <v>3615</v>
      </c>
      <c r="V645" s="23" t="s">
        <v>3616</v>
      </c>
      <c r="W645" s="24" t="s">
        <v>3617</v>
      </c>
      <c r="X645" s="23" t="s">
        <v>3618</v>
      </c>
      <c r="Y645" s="23" t="s">
        <v>3620</v>
      </c>
      <c r="Z645" s="23" t="s">
        <v>3621</v>
      </c>
      <c r="AA645" s="23" t="s">
        <v>3629</v>
      </c>
      <c r="AB645" s="8"/>
      <c r="AC645" s="8"/>
      <c r="AD645" s="8"/>
    </row>
    <row r="646" spans="1:30" ht="15.5">
      <c r="A646" s="4" t="s">
        <v>1274</v>
      </c>
      <c r="B646" s="5">
        <v>2402</v>
      </c>
      <c r="C646" s="6" t="s">
        <v>1787</v>
      </c>
      <c r="D646" s="7">
        <v>2022618106</v>
      </c>
      <c r="E646" s="7">
        <v>2201010955</v>
      </c>
      <c r="F646" s="7" t="s">
        <v>1802</v>
      </c>
      <c r="G646" s="7" t="s">
        <v>13</v>
      </c>
      <c r="H646" s="6" t="s">
        <v>1788</v>
      </c>
      <c r="I646" s="6" t="s">
        <v>3099</v>
      </c>
      <c r="J646" s="6" t="s">
        <v>3100</v>
      </c>
      <c r="K646" s="6" t="s">
        <v>1276</v>
      </c>
      <c r="L646" s="6" t="s">
        <v>104</v>
      </c>
      <c r="M646" s="6" t="s">
        <v>21</v>
      </c>
      <c r="N646" s="7" t="s">
        <v>18</v>
      </c>
      <c r="O646" s="23" t="s">
        <v>3626</v>
      </c>
      <c r="P646" s="23" t="s">
        <v>3627</v>
      </c>
      <c r="Q646" s="23" t="s">
        <v>3628</v>
      </c>
      <c r="R646" s="23" t="s">
        <v>3612</v>
      </c>
      <c r="S646" s="2" t="s">
        <v>3613</v>
      </c>
      <c r="T646" s="2" t="s">
        <v>3614</v>
      </c>
      <c r="U646" s="2" t="s">
        <v>3615</v>
      </c>
      <c r="V646" s="23" t="s">
        <v>3616</v>
      </c>
      <c r="W646" s="24" t="s">
        <v>3617</v>
      </c>
      <c r="X646" s="23" t="s">
        <v>3618</v>
      </c>
      <c r="Y646" s="23" t="s">
        <v>3620</v>
      </c>
      <c r="Z646" s="23" t="s">
        <v>3621</v>
      </c>
      <c r="AA646" s="23" t="s">
        <v>3629</v>
      </c>
      <c r="AB646" s="8"/>
      <c r="AC646" s="8"/>
      <c r="AD646" s="8"/>
    </row>
    <row r="647" spans="1:30" ht="15.5">
      <c r="A647" s="4" t="s">
        <v>1255</v>
      </c>
      <c r="B647" s="5">
        <v>2402</v>
      </c>
      <c r="C647" s="6" t="s">
        <v>1753</v>
      </c>
      <c r="D647" s="7">
        <v>2022435623</v>
      </c>
      <c r="E647" s="7">
        <v>2201010108</v>
      </c>
      <c r="F647" s="7" t="s">
        <v>1812</v>
      </c>
      <c r="G647" s="7" t="s">
        <v>13</v>
      </c>
      <c r="H647" s="6" t="s">
        <v>1754</v>
      </c>
      <c r="I647" s="6" t="s">
        <v>3101</v>
      </c>
      <c r="J647" s="6" t="s">
        <v>3102</v>
      </c>
      <c r="K647" s="6" t="s">
        <v>1401</v>
      </c>
      <c r="L647" s="6" t="s">
        <v>26</v>
      </c>
      <c r="M647" s="6" t="s">
        <v>16</v>
      </c>
      <c r="N647" s="7" t="s">
        <v>18</v>
      </c>
      <c r="O647" s="25" t="s">
        <v>3638</v>
      </c>
      <c r="P647" s="25" t="s">
        <v>3639</v>
      </c>
      <c r="R647" s="23" t="s">
        <v>3612</v>
      </c>
      <c r="S647" s="2" t="s">
        <v>3613</v>
      </c>
      <c r="T647" s="2" t="s">
        <v>3614</v>
      </c>
      <c r="U647" s="2" t="s">
        <v>3615</v>
      </c>
      <c r="V647" s="23" t="s">
        <v>3616</v>
      </c>
      <c r="W647" s="24" t="s">
        <v>3617</v>
      </c>
      <c r="X647" s="23" t="s">
        <v>3618</v>
      </c>
      <c r="Y647" s="23" t="s">
        <v>3620</v>
      </c>
      <c r="Z647" s="23" t="s">
        <v>3621</v>
      </c>
    </row>
    <row r="648" spans="1:30" ht="15.5">
      <c r="A648" s="4" t="s">
        <v>1255</v>
      </c>
      <c r="B648" s="5">
        <v>2402</v>
      </c>
      <c r="C648" s="6" t="s">
        <v>668</v>
      </c>
      <c r="D648" s="7">
        <v>2022431018</v>
      </c>
      <c r="E648" s="7">
        <v>2201010421</v>
      </c>
      <c r="F648" s="7" t="s">
        <v>1812</v>
      </c>
      <c r="G648" s="7" t="s">
        <v>13</v>
      </c>
      <c r="H648" s="6" t="s">
        <v>1748</v>
      </c>
      <c r="I648" s="6" t="s">
        <v>3103</v>
      </c>
      <c r="J648" s="6" t="s">
        <v>3104</v>
      </c>
      <c r="K648" s="6" t="s">
        <v>1401</v>
      </c>
      <c r="L648" s="6" t="s">
        <v>117</v>
      </c>
      <c r="M648" s="6" t="s">
        <v>104</v>
      </c>
      <c r="N648" s="7" t="s">
        <v>18</v>
      </c>
      <c r="O648" s="25" t="s">
        <v>3638</v>
      </c>
      <c r="P648" s="25" t="s">
        <v>3639</v>
      </c>
      <c r="R648" s="23" t="s">
        <v>3612</v>
      </c>
      <c r="S648" s="2" t="s">
        <v>3613</v>
      </c>
      <c r="T648" s="2" t="s">
        <v>3614</v>
      </c>
      <c r="U648" s="2" t="s">
        <v>3615</v>
      </c>
      <c r="V648" s="23" t="s">
        <v>3616</v>
      </c>
      <c r="W648" s="24" t="s">
        <v>3617</v>
      </c>
      <c r="X648" s="23" t="s">
        <v>3618</v>
      </c>
      <c r="Y648" s="23" t="s">
        <v>3620</v>
      </c>
      <c r="Z648" s="23" t="s">
        <v>3621</v>
      </c>
    </row>
    <row r="649" spans="1:30" ht="15.5">
      <c r="A649" s="4" t="s">
        <v>1255</v>
      </c>
      <c r="B649" s="5">
        <v>2402</v>
      </c>
      <c r="C649" s="6" t="s">
        <v>1751</v>
      </c>
      <c r="D649" s="7">
        <v>2022434137</v>
      </c>
      <c r="E649" s="7">
        <v>2201010501</v>
      </c>
      <c r="F649" s="7" t="s">
        <v>1812</v>
      </c>
      <c r="G649" s="7" t="s">
        <v>13</v>
      </c>
      <c r="H649" s="6" t="s">
        <v>1752</v>
      </c>
      <c r="I649" s="6" t="s">
        <v>3105</v>
      </c>
      <c r="J649" s="6" t="s">
        <v>3106</v>
      </c>
      <c r="K649" s="6" t="s">
        <v>1401</v>
      </c>
      <c r="L649" s="6" t="s">
        <v>26</v>
      </c>
      <c r="M649" s="6" t="s">
        <v>16</v>
      </c>
      <c r="N649" s="7" t="s">
        <v>18</v>
      </c>
      <c r="O649" s="25" t="s">
        <v>3638</v>
      </c>
      <c r="P649" s="25" t="s">
        <v>3639</v>
      </c>
      <c r="R649" s="23" t="s">
        <v>3612</v>
      </c>
      <c r="S649" s="2" t="s">
        <v>3613</v>
      </c>
      <c r="T649" s="2" t="s">
        <v>3614</v>
      </c>
      <c r="U649" s="2" t="s">
        <v>3615</v>
      </c>
      <c r="V649" s="23" t="s">
        <v>3616</v>
      </c>
      <c r="W649" s="24" t="s">
        <v>3617</v>
      </c>
      <c r="X649" s="23" t="s">
        <v>3618</v>
      </c>
      <c r="Y649" s="23" t="s">
        <v>3620</v>
      </c>
      <c r="Z649" s="23" t="s">
        <v>3621</v>
      </c>
    </row>
    <row r="650" spans="1:30" ht="15.5">
      <c r="A650" s="10" t="s">
        <v>1255</v>
      </c>
      <c r="B650" s="5">
        <v>2402</v>
      </c>
      <c r="C650" s="6" t="s">
        <v>1375</v>
      </c>
      <c r="D650" s="7">
        <v>2021362606</v>
      </c>
      <c r="E650" s="7">
        <v>210101044</v>
      </c>
      <c r="F650" s="7" t="s">
        <v>1812</v>
      </c>
      <c r="G650" s="7" t="s">
        <v>13</v>
      </c>
      <c r="H650" s="6" t="s">
        <v>1376</v>
      </c>
      <c r="I650" s="6" t="s">
        <v>3107</v>
      </c>
      <c r="J650" s="6" t="s">
        <v>3108</v>
      </c>
      <c r="K650" s="6" t="s">
        <v>532</v>
      </c>
      <c r="L650" s="6" t="e">
        <v>#N/A</v>
      </c>
      <c r="M650" s="6" t="e">
        <v>#N/A</v>
      </c>
      <c r="N650" s="7" t="e">
        <v>#N/A</v>
      </c>
      <c r="O650" s="23" t="s">
        <v>3622</v>
      </c>
      <c r="P650" s="23" t="s">
        <v>3623</v>
      </c>
      <c r="R650" s="23" t="s">
        <v>3624</v>
      </c>
      <c r="S650" s="2" t="s">
        <v>3613</v>
      </c>
      <c r="T650" s="2" t="s">
        <v>3614</v>
      </c>
      <c r="U650" s="2" t="s">
        <v>3615</v>
      </c>
      <c r="V650" s="23" t="s">
        <v>3616</v>
      </c>
      <c r="W650" s="24" t="s">
        <v>3617</v>
      </c>
      <c r="X650" s="23" t="s">
        <v>3618</v>
      </c>
      <c r="Y650" s="23" t="s">
        <v>3620</v>
      </c>
      <c r="Z650" s="23" t="s">
        <v>3621</v>
      </c>
      <c r="AA650" s="23" t="s">
        <v>3625</v>
      </c>
    </row>
    <row r="651" spans="1:30" ht="15.5">
      <c r="A651" s="10" t="s">
        <v>1255</v>
      </c>
      <c r="B651" s="5">
        <v>2402</v>
      </c>
      <c r="C651" s="6" t="s">
        <v>377</v>
      </c>
      <c r="D651" s="7">
        <v>2021518169</v>
      </c>
      <c r="E651" s="7">
        <v>210101063</v>
      </c>
      <c r="F651" s="7" t="s">
        <v>1812</v>
      </c>
      <c r="G651" s="7" t="s">
        <v>13</v>
      </c>
      <c r="H651" s="11" t="s">
        <v>1504</v>
      </c>
      <c r="I651" s="6" t="s">
        <v>3109</v>
      </c>
      <c r="J651" s="6" t="s">
        <v>3110</v>
      </c>
      <c r="K651" s="6" t="s">
        <v>532</v>
      </c>
      <c r="L651" s="6" t="e">
        <v>#N/A</v>
      </c>
      <c r="M651" s="6" t="e">
        <v>#N/A</v>
      </c>
      <c r="N651" s="7" t="e">
        <v>#N/A</v>
      </c>
      <c r="O651" s="23" t="s">
        <v>3622</v>
      </c>
      <c r="P651" s="23" t="s">
        <v>3623</v>
      </c>
      <c r="R651" s="23" t="s">
        <v>3624</v>
      </c>
      <c r="S651" s="2" t="s">
        <v>3613</v>
      </c>
      <c r="T651" s="2" t="s">
        <v>3614</v>
      </c>
      <c r="U651" s="2" t="s">
        <v>3615</v>
      </c>
      <c r="V651" s="23" t="s">
        <v>3616</v>
      </c>
      <c r="W651" s="24" t="s">
        <v>3617</v>
      </c>
      <c r="X651" s="23" t="s">
        <v>3618</v>
      </c>
      <c r="Y651" s="23" t="s">
        <v>3620</v>
      </c>
      <c r="Z651" s="23" t="s">
        <v>3621</v>
      </c>
      <c r="AA651" s="23" t="s">
        <v>3625</v>
      </c>
    </row>
    <row r="652" spans="1:30" ht="15.5">
      <c r="A652" s="15" t="s">
        <v>1255</v>
      </c>
      <c r="B652" s="5">
        <v>2402</v>
      </c>
      <c r="C652" s="16" t="s">
        <v>47</v>
      </c>
      <c r="D652" s="16">
        <v>2021455580</v>
      </c>
      <c r="E652" s="7">
        <v>210101114</v>
      </c>
      <c r="F652" s="7" t="s">
        <v>1812</v>
      </c>
      <c r="G652" s="7" t="s">
        <v>13</v>
      </c>
      <c r="H652" s="16"/>
      <c r="I652" s="6" t="s">
        <v>3111</v>
      </c>
      <c r="J652" s="6">
        <v>8707071635</v>
      </c>
      <c r="K652" s="6" t="s">
        <v>532</v>
      </c>
      <c r="L652" s="16"/>
      <c r="M652" s="16"/>
      <c r="N652" s="16"/>
      <c r="O652" s="23" t="s">
        <v>3622</v>
      </c>
      <c r="P652" s="23" t="s">
        <v>3623</v>
      </c>
      <c r="R652" s="23" t="s">
        <v>3624</v>
      </c>
      <c r="S652" s="2" t="s">
        <v>3613</v>
      </c>
      <c r="T652" s="2" t="s">
        <v>3614</v>
      </c>
      <c r="U652" s="2" t="s">
        <v>3615</v>
      </c>
      <c r="V652" s="23" t="s">
        <v>3616</v>
      </c>
      <c r="W652" s="24" t="s">
        <v>3617</v>
      </c>
      <c r="X652" s="23" t="s">
        <v>3618</v>
      </c>
      <c r="Y652" s="23" t="s">
        <v>3620</v>
      </c>
      <c r="Z652" s="23" t="s">
        <v>3621</v>
      </c>
      <c r="AA652" s="23" t="s">
        <v>3625</v>
      </c>
    </row>
    <row r="653" spans="1:30" ht="15.5">
      <c r="A653" s="10" t="s">
        <v>1255</v>
      </c>
      <c r="B653" s="5">
        <v>2402</v>
      </c>
      <c r="C653" s="6" t="s">
        <v>1498</v>
      </c>
      <c r="D653" s="7">
        <v>2021341739</v>
      </c>
      <c r="E653" s="7">
        <v>210101150</v>
      </c>
      <c r="F653" s="7" t="s">
        <v>1812</v>
      </c>
      <c r="G653" s="7" t="s">
        <v>13</v>
      </c>
      <c r="H653" s="11" t="s">
        <v>1499</v>
      </c>
      <c r="I653" s="6" t="s">
        <v>3112</v>
      </c>
      <c r="J653" s="6" t="s">
        <v>3113</v>
      </c>
      <c r="K653" s="6" t="s">
        <v>532</v>
      </c>
      <c r="L653" s="6" t="e">
        <v>#N/A</v>
      </c>
      <c r="M653" s="6" t="e">
        <v>#N/A</v>
      </c>
      <c r="N653" s="7" t="e">
        <v>#N/A</v>
      </c>
      <c r="O653" s="23" t="s">
        <v>3622</v>
      </c>
      <c r="P653" s="23" t="s">
        <v>3623</v>
      </c>
      <c r="R653" s="23" t="s">
        <v>3624</v>
      </c>
      <c r="S653" s="2" t="s">
        <v>3613</v>
      </c>
      <c r="T653" s="2" t="s">
        <v>3614</v>
      </c>
      <c r="U653" s="2" t="s">
        <v>3615</v>
      </c>
      <c r="V653" s="23" t="s">
        <v>3616</v>
      </c>
      <c r="W653" s="24" t="s">
        <v>3617</v>
      </c>
      <c r="X653" s="23" t="s">
        <v>3618</v>
      </c>
      <c r="Y653" s="23" t="s">
        <v>3620</v>
      </c>
      <c r="Z653" s="23" t="s">
        <v>3621</v>
      </c>
      <c r="AA653" s="23" t="s">
        <v>3625</v>
      </c>
    </row>
    <row r="654" spans="1:30" ht="15.5">
      <c r="A654" s="10" t="s">
        <v>1255</v>
      </c>
      <c r="B654" s="5">
        <v>2402</v>
      </c>
      <c r="C654" s="6" t="s">
        <v>1502</v>
      </c>
      <c r="D654" s="7">
        <v>2021399162</v>
      </c>
      <c r="E654" s="7">
        <v>210101172</v>
      </c>
      <c r="F654" s="7" t="s">
        <v>1812</v>
      </c>
      <c r="G654" s="7" t="s">
        <v>13</v>
      </c>
      <c r="H654" s="6" t="s">
        <v>1503</v>
      </c>
      <c r="I654" s="6" t="s">
        <v>3114</v>
      </c>
      <c r="J654" s="6" t="s">
        <v>3115</v>
      </c>
      <c r="K654" s="6" t="s">
        <v>532</v>
      </c>
      <c r="L654" s="6" t="e">
        <v>#N/A</v>
      </c>
      <c r="M654" s="6" t="e">
        <v>#N/A</v>
      </c>
      <c r="N654" s="7" t="e">
        <v>#N/A</v>
      </c>
      <c r="O654" s="23" t="s">
        <v>3622</v>
      </c>
      <c r="P654" s="23" t="s">
        <v>3623</v>
      </c>
      <c r="R654" s="23" t="s">
        <v>3624</v>
      </c>
      <c r="S654" s="2" t="s">
        <v>3613</v>
      </c>
      <c r="T654" s="2" t="s">
        <v>3614</v>
      </c>
      <c r="U654" s="2" t="s">
        <v>3615</v>
      </c>
      <c r="V654" s="23" t="s">
        <v>3616</v>
      </c>
      <c r="W654" s="24" t="s">
        <v>3617</v>
      </c>
      <c r="X654" s="23" t="s">
        <v>3618</v>
      </c>
      <c r="Y654" s="23" t="s">
        <v>3620</v>
      </c>
      <c r="Z654" s="23" t="s">
        <v>3621</v>
      </c>
      <c r="AA654" s="23" t="s">
        <v>3625</v>
      </c>
    </row>
    <row r="655" spans="1:30" ht="15.5">
      <c r="A655" s="15" t="s">
        <v>1255</v>
      </c>
      <c r="B655" s="5">
        <v>2402</v>
      </c>
      <c r="C655" s="16" t="s">
        <v>1800</v>
      </c>
      <c r="D655" s="16">
        <v>2021411743</v>
      </c>
      <c r="E655" s="7">
        <v>210101211</v>
      </c>
      <c r="F655" s="7" t="s">
        <v>1812</v>
      </c>
      <c r="G655" s="7" t="s">
        <v>13</v>
      </c>
      <c r="H655" s="16"/>
      <c r="I655" s="6" t="s">
        <v>3116</v>
      </c>
      <c r="J655" s="6">
        <v>9399130373</v>
      </c>
      <c r="K655" s="6" t="s">
        <v>532</v>
      </c>
      <c r="L655" s="16"/>
      <c r="M655" s="16"/>
      <c r="N655" s="16"/>
      <c r="O655" s="23" t="s">
        <v>3622</v>
      </c>
      <c r="P655" s="23" t="s">
        <v>3623</v>
      </c>
      <c r="R655" s="23" t="s">
        <v>3624</v>
      </c>
      <c r="S655" s="2" t="s">
        <v>3613</v>
      </c>
      <c r="T655" s="2" t="s">
        <v>3614</v>
      </c>
      <c r="U655" s="2" t="s">
        <v>3615</v>
      </c>
      <c r="V655" s="23" t="s">
        <v>3616</v>
      </c>
      <c r="W655" s="24" t="s">
        <v>3617</v>
      </c>
      <c r="X655" s="23" t="s">
        <v>3618</v>
      </c>
      <c r="Y655" s="23" t="s">
        <v>3620</v>
      </c>
      <c r="Z655" s="23" t="s">
        <v>3621</v>
      </c>
      <c r="AA655" s="23" t="s">
        <v>3625</v>
      </c>
    </row>
    <row r="656" spans="1:30" ht="15.5">
      <c r="A656" s="10" t="s">
        <v>1255</v>
      </c>
      <c r="B656" s="5">
        <v>2402</v>
      </c>
      <c r="C656" s="6" t="s">
        <v>1500</v>
      </c>
      <c r="D656" s="7">
        <v>2021344584</v>
      </c>
      <c r="E656" s="7">
        <v>210101214</v>
      </c>
      <c r="F656" s="7" t="s">
        <v>1812</v>
      </c>
      <c r="G656" s="7" t="s">
        <v>13</v>
      </c>
      <c r="H656" s="11" t="s">
        <v>1501</v>
      </c>
      <c r="I656" s="6" t="s">
        <v>3117</v>
      </c>
      <c r="J656" s="6" t="s">
        <v>3118</v>
      </c>
      <c r="K656" s="6" t="s">
        <v>532</v>
      </c>
      <c r="L656" s="6" t="e">
        <v>#N/A</v>
      </c>
      <c r="M656" s="6" t="e">
        <v>#N/A</v>
      </c>
      <c r="N656" s="7" t="e">
        <v>#N/A</v>
      </c>
      <c r="O656" s="23" t="s">
        <v>3622</v>
      </c>
      <c r="P656" s="23" t="s">
        <v>3623</v>
      </c>
      <c r="R656" s="23" t="s">
        <v>3624</v>
      </c>
      <c r="S656" s="2" t="s">
        <v>3613</v>
      </c>
      <c r="T656" s="2" t="s">
        <v>3614</v>
      </c>
      <c r="U656" s="2" t="s">
        <v>3615</v>
      </c>
      <c r="V656" s="23" t="s">
        <v>3616</v>
      </c>
      <c r="W656" s="24" t="s">
        <v>3617</v>
      </c>
      <c r="X656" s="23" t="s">
        <v>3618</v>
      </c>
      <c r="Y656" s="23" t="s">
        <v>3620</v>
      </c>
      <c r="Z656" s="23" t="s">
        <v>3621</v>
      </c>
      <c r="AA656" s="23" t="s">
        <v>3625</v>
      </c>
    </row>
    <row r="657" spans="1:30" ht="15.5">
      <c r="A657" s="4" t="s">
        <v>1255</v>
      </c>
      <c r="B657" s="5">
        <v>2402</v>
      </c>
      <c r="C657" s="6" t="s">
        <v>1268</v>
      </c>
      <c r="D657" s="7">
        <v>2021390811</v>
      </c>
      <c r="E657" s="7">
        <v>210101238</v>
      </c>
      <c r="F657" s="7" t="s">
        <v>1812</v>
      </c>
      <c r="G657" s="7" t="s">
        <v>13</v>
      </c>
      <c r="H657" s="6" t="s">
        <v>1269</v>
      </c>
      <c r="I657" s="6" t="s">
        <v>3119</v>
      </c>
      <c r="J657" s="6" t="s">
        <v>3120</v>
      </c>
      <c r="K657" s="6" t="s">
        <v>532</v>
      </c>
      <c r="L657" s="6" t="e">
        <v>#N/A</v>
      </c>
      <c r="M657" s="6" t="e">
        <v>#N/A</v>
      </c>
      <c r="N657" s="7" t="e">
        <v>#N/A</v>
      </c>
      <c r="O657" s="23" t="s">
        <v>3622</v>
      </c>
      <c r="P657" s="23" t="s">
        <v>3623</v>
      </c>
      <c r="R657" s="23" t="s">
        <v>3624</v>
      </c>
      <c r="S657" s="2" t="s">
        <v>3613</v>
      </c>
      <c r="T657" s="2" t="s">
        <v>3614</v>
      </c>
      <c r="U657" s="2" t="s">
        <v>3615</v>
      </c>
      <c r="V657" s="23" t="s">
        <v>3616</v>
      </c>
      <c r="W657" s="24" t="s">
        <v>3617</v>
      </c>
      <c r="X657" s="23" t="s">
        <v>3618</v>
      </c>
      <c r="Y657" s="23" t="s">
        <v>3620</v>
      </c>
      <c r="Z657" s="23" t="s">
        <v>3621</v>
      </c>
      <c r="AA657" s="23" t="s">
        <v>3625</v>
      </c>
    </row>
    <row r="658" spans="1:30" ht="15.5">
      <c r="A658" s="4" t="s">
        <v>1255</v>
      </c>
      <c r="B658" s="5">
        <v>2402</v>
      </c>
      <c r="C658" s="6" t="s">
        <v>1266</v>
      </c>
      <c r="D658" s="7">
        <v>2021369165</v>
      </c>
      <c r="E658" s="7">
        <v>2101134004</v>
      </c>
      <c r="F658" s="7" t="s">
        <v>1812</v>
      </c>
      <c r="G658" s="7" t="s">
        <v>13</v>
      </c>
      <c r="H658" s="11" t="s">
        <v>1267</v>
      </c>
      <c r="I658" s="6" t="s">
        <v>3121</v>
      </c>
      <c r="J658" s="6" t="s">
        <v>3122</v>
      </c>
      <c r="K658" s="6" t="s">
        <v>532</v>
      </c>
      <c r="L658" s="6" t="s">
        <v>26</v>
      </c>
      <c r="M658" s="6" t="s">
        <v>21</v>
      </c>
      <c r="N658" s="7" t="s">
        <v>174</v>
      </c>
      <c r="O658" s="23" t="s">
        <v>3622</v>
      </c>
      <c r="P658" s="23" t="s">
        <v>3623</v>
      </c>
      <c r="R658" s="23" t="s">
        <v>3624</v>
      </c>
      <c r="S658" s="2" t="s">
        <v>3613</v>
      </c>
      <c r="T658" s="2" t="s">
        <v>3614</v>
      </c>
      <c r="U658" s="2" t="s">
        <v>3615</v>
      </c>
      <c r="V658" s="23" t="s">
        <v>3616</v>
      </c>
      <c r="W658" s="24" t="s">
        <v>3617</v>
      </c>
      <c r="X658" s="23" t="s">
        <v>3618</v>
      </c>
      <c r="Y658" s="23" t="s">
        <v>3620</v>
      </c>
      <c r="Z658" s="23" t="s">
        <v>3621</v>
      </c>
      <c r="AA658" s="23" t="s">
        <v>3625</v>
      </c>
    </row>
    <row r="659" spans="1:30" ht="15.5">
      <c r="A659" s="4" t="s">
        <v>1255</v>
      </c>
      <c r="B659" s="5">
        <v>2402</v>
      </c>
      <c r="C659" s="6" t="s">
        <v>1277</v>
      </c>
      <c r="D659" s="7">
        <v>2022004949</v>
      </c>
      <c r="E659" s="7">
        <v>2201010006</v>
      </c>
      <c r="F659" s="7" t="s">
        <v>1812</v>
      </c>
      <c r="G659" s="7" t="s">
        <v>13</v>
      </c>
      <c r="H659" s="6" t="s">
        <v>1278</v>
      </c>
      <c r="I659" s="6" t="s">
        <v>3123</v>
      </c>
      <c r="J659" s="6" t="s">
        <v>3124</v>
      </c>
      <c r="K659" s="6" t="s">
        <v>532</v>
      </c>
      <c r="L659" s="6" t="s">
        <v>26</v>
      </c>
      <c r="M659" s="6" t="s">
        <v>104</v>
      </c>
      <c r="N659" s="7" t="s">
        <v>18</v>
      </c>
      <c r="O659" s="23" t="s">
        <v>3622</v>
      </c>
      <c r="P659" s="23" t="s">
        <v>3623</v>
      </c>
      <c r="R659" s="23" t="s">
        <v>3624</v>
      </c>
      <c r="S659" s="2" t="s">
        <v>3613</v>
      </c>
      <c r="T659" s="2" t="s">
        <v>3614</v>
      </c>
      <c r="U659" s="2" t="s">
        <v>3615</v>
      </c>
      <c r="V659" s="23" t="s">
        <v>3616</v>
      </c>
      <c r="W659" s="24" t="s">
        <v>3617</v>
      </c>
      <c r="X659" s="23" t="s">
        <v>3618</v>
      </c>
      <c r="Y659" s="23" t="s">
        <v>3620</v>
      </c>
      <c r="Z659" s="23" t="s">
        <v>3621</v>
      </c>
      <c r="AA659" s="23" t="s">
        <v>3625</v>
      </c>
      <c r="AB659" s="9"/>
      <c r="AC659" s="9"/>
      <c r="AD659" s="9"/>
    </row>
    <row r="660" spans="1:30" ht="15.5">
      <c r="A660" s="4" t="s">
        <v>1255</v>
      </c>
      <c r="B660" s="5">
        <v>2402</v>
      </c>
      <c r="C660" s="6" t="s">
        <v>1287</v>
      </c>
      <c r="D660" s="7">
        <v>2022006849</v>
      </c>
      <c r="E660" s="7">
        <v>2201010092</v>
      </c>
      <c r="F660" s="7" t="s">
        <v>1812</v>
      </c>
      <c r="G660" s="7" t="s">
        <v>13</v>
      </c>
      <c r="H660" s="6" t="s">
        <v>1288</v>
      </c>
      <c r="I660" s="6" t="s">
        <v>3125</v>
      </c>
      <c r="J660" s="6" t="s">
        <v>3126</v>
      </c>
      <c r="K660" s="6" t="s">
        <v>532</v>
      </c>
      <c r="L660" s="6" t="s">
        <v>26</v>
      </c>
      <c r="M660" s="6" t="s">
        <v>149</v>
      </c>
      <c r="N660" s="7" t="s">
        <v>18</v>
      </c>
      <c r="O660" s="23" t="s">
        <v>3622</v>
      </c>
      <c r="P660" s="23" t="s">
        <v>3623</v>
      </c>
      <c r="R660" s="23" t="s">
        <v>3624</v>
      </c>
      <c r="S660" s="2" t="s">
        <v>3613</v>
      </c>
      <c r="T660" s="2" t="s">
        <v>3614</v>
      </c>
      <c r="U660" s="2" t="s">
        <v>3615</v>
      </c>
      <c r="V660" s="23" t="s">
        <v>3616</v>
      </c>
      <c r="W660" s="24" t="s">
        <v>3617</v>
      </c>
      <c r="X660" s="23" t="s">
        <v>3618</v>
      </c>
      <c r="Y660" s="23" t="s">
        <v>3620</v>
      </c>
      <c r="Z660" s="23" t="s">
        <v>3621</v>
      </c>
      <c r="AA660" s="23" t="s">
        <v>3625</v>
      </c>
      <c r="AB660" s="9"/>
      <c r="AC660" s="9"/>
      <c r="AD660" s="9"/>
    </row>
    <row r="661" spans="1:30" ht="15.5">
      <c r="A661" s="4" t="s">
        <v>1255</v>
      </c>
      <c r="B661" s="5">
        <v>2402</v>
      </c>
      <c r="C661" s="6" t="s">
        <v>1357</v>
      </c>
      <c r="D661" s="7">
        <v>2022589100</v>
      </c>
      <c r="E661" s="7">
        <v>2201010107</v>
      </c>
      <c r="F661" s="7" t="s">
        <v>1812</v>
      </c>
      <c r="G661" s="7" t="s">
        <v>13</v>
      </c>
      <c r="H661" s="6" t="s">
        <v>1358</v>
      </c>
      <c r="I661" s="6" t="s">
        <v>3127</v>
      </c>
      <c r="J661" s="6" t="s">
        <v>3128</v>
      </c>
      <c r="K661" s="6" t="s">
        <v>532</v>
      </c>
      <c r="L661" s="6" t="s">
        <v>26</v>
      </c>
      <c r="M661" s="6" t="s">
        <v>21</v>
      </c>
      <c r="N661" s="7" t="s">
        <v>18</v>
      </c>
      <c r="O661" s="23" t="s">
        <v>3622</v>
      </c>
      <c r="P661" s="23" t="s">
        <v>3623</v>
      </c>
      <c r="R661" s="23" t="s">
        <v>3624</v>
      </c>
      <c r="S661" s="2" t="s">
        <v>3613</v>
      </c>
      <c r="T661" s="2" t="s">
        <v>3614</v>
      </c>
      <c r="U661" s="2" t="s">
        <v>3615</v>
      </c>
      <c r="V661" s="23" t="s">
        <v>3616</v>
      </c>
      <c r="W661" s="24" t="s">
        <v>3617</v>
      </c>
      <c r="X661" s="23" t="s">
        <v>3618</v>
      </c>
      <c r="Y661" s="23" t="s">
        <v>3620</v>
      </c>
      <c r="Z661" s="23" t="s">
        <v>3621</v>
      </c>
      <c r="AA661" s="23" t="s">
        <v>3625</v>
      </c>
      <c r="AB661" s="9"/>
      <c r="AC661" s="9"/>
      <c r="AD661" s="9"/>
    </row>
    <row r="662" spans="1:30" ht="15.5">
      <c r="A662" s="4" t="s">
        <v>1255</v>
      </c>
      <c r="B662" s="5">
        <v>2402</v>
      </c>
      <c r="C662" s="6" t="s">
        <v>1328</v>
      </c>
      <c r="D662" s="7">
        <v>2022512918</v>
      </c>
      <c r="E662" s="7">
        <v>2201010170</v>
      </c>
      <c r="F662" s="7" t="s">
        <v>1812</v>
      </c>
      <c r="G662" s="7" t="s">
        <v>13</v>
      </c>
      <c r="H662" s="6" t="s">
        <v>1329</v>
      </c>
      <c r="I662" s="6" t="s">
        <v>3129</v>
      </c>
      <c r="J662" s="6" t="s">
        <v>3130</v>
      </c>
      <c r="K662" s="6" t="s">
        <v>532</v>
      </c>
      <c r="L662" s="6" t="s">
        <v>21</v>
      </c>
      <c r="M662" s="6" t="s">
        <v>26</v>
      </c>
      <c r="N662" s="7" t="s">
        <v>18</v>
      </c>
      <c r="O662" s="23" t="s">
        <v>3622</v>
      </c>
      <c r="P662" s="23" t="s">
        <v>3623</v>
      </c>
      <c r="R662" s="23" t="s">
        <v>3624</v>
      </c>
      <c r="S662" s="2" t="s">
        <v>3613</v>
      </c>
      <c r="T662" s="2" t="s">
        <v>3614</v>
      </c>
      <c r="U662" s="2" t="s">
        <v>3615</v>
      </c>
      <c r="V662" s="23" t="s">
        <v>3616</v>
      </c>
      <c r="W662" s="24" t="s">
        <v>3617</v>
      </c>
      <c r="X662" s="23" t="s">
        <v>3618</v>
      </c>
      <c r="Y662" s="23" t="s">
        <v>3620</v>
      </c>
      <c r="Z662" s="23" t="s">
        <v>3621</v>
      </c>
      <c r="AA662" s="23" t="s">
        <v>3625</v>
      </c>
    </row>
    <row r="663" spans="1:30" ht="15.5">
      <c r="A663" s="4" t="s">
        <v>1255</v>
      </c>
      <c r="B663" s="5">
        <v>2402</v>
      </c>
      <c r="C663" s="6" t="s">
        <v>1293</v>
      </c>
      <c r="D663" s="7">
        <v>2022309968</v>
      </c>
      <c r="E663" s="7">
        <v>2201010192</v>
      </c>
      <c r="F663" s="7" t="s">
        <v>1812</v>
      </c>
      <c r="G663" s="7" t="s">
        <v>13</v>
      </c>
      <c r="H663" s="6" t="s">
        <v>1294</v>
      </c>
      <c r="I663" s="6" t="s">
        <v>3131</v>
      </c>
      <c r="J663" s="6" t="s">
        <v>3132</v>
      </c>
      <c r="K663" s="6" t="s">
        <v>532</v>
      </c>
      <c r="L663" s="6" t="s">
        <v>21</v>
      </c>
      <c r="M663" s="6" t="s">
        <v>104</v>
      </c>
      <c r="N663" s="7" t="s">
        <v>18</v>
      </c>
      <c r="O663" s="23" t="s">
        <v>3622</v>
      </c>
      <c r="P663" s="23" t="s">
        <v>3623</v>
      </c>
      <c r="R663" s="23" t="s">
        <v>3624</v>
      </c>
      <c r="S663" s="2" t="s">
        <v>3613</v>
      </c>
      <c r="T663" s="2" t="s">
        <v>3614</v>
      </c>
      <c r="U663" s="2" t="s">
        <v>3615</v>
      </c>
      <c r="V663" s="23" t="s">
        <v>3616</v>
      </c>
      <c r="W663" s="24" t="s">
        <v>3617</v>
      </c>
      <c r="X663" s="23" t="s">
        <v>3618</v>
      </c>
      <c r="Y663" s="23" t="s">
        <v>3620</v>
      </c>
      <c r="Z663" s="23" t="s">
        <v>3621</v>
      </c>
      <c r="AA663" s="23" t="s">
        <v>3625</v>
      </c>
    </row>
    <row r="664" spans="1:30" ht="15.5">
      <c r="A664" s="10" t="s">
        <v>1255</v>
      </c>
      <c r="B664" s="5">
        <v>2402</v>
      </c>
      <c r="C664" s="6" t="s">
        <v>1505</v>
      </c>
      <c r="D664" s="7">
        <v>2022473465</v>
      </c>
      <c r="E664" s="7">
        <v>2201010205</v>
      </c>
      <c r="F664" s="7" t="s">
        <v>1812</v>
      </c>
      <c r="G664" s="7" t="s">
        <v>13</v>
      </c>
      <c r="H664" s="6" t="s">
        <v>1506</v>
      </c>
      <c r="I664" s="6" t="s">
        <v>3133</v>
      </c>
      <c r="J664" s="6" t="s">
        <v>3134</v>
      </c>
      <c r="K664" s="6" t="s">
        <v>532</v>
      </c>
      <c r="L664" s="6" t="e">
        <v>#N/A</v>
      </c>
      <c r="M664" s="6" t="e">
        <v>#N/A</v>
      </c>
      <c r="N664" s="7" t="e">
        <v>#N/A</v>
      </c>
      <c r="O664" s="23" t="s">
        <v>3622</v>
      </c>
      <c r="P664" s="23" t="s">
        <v>3623</v>
      </c>
      <c r="R664" s="23" t="s">
        <v>3624</v>
      </c>
      <c r="S664" s="2" t="s">
        <v>3613</v>
      </c>
      <c r="T664" s="2" t="s">
        <v>3614</v>
      </c>
      <c r="U664" s="2" t="s">
        <v>3615</v>
      </c>
      <c r="V664" s="23" t="s">
        <v>3616</v>
      </c>
      <c r="W664" s="24" t="s">
        <v>3617</v>
      </c>
      <c r="X664" s="23" t="s">
        <v>3618</v>
      </c>
      <c r="Y664" s="23" t="s">
        <v>3620</v>
      </c>
      <c r="Z664" s="23" t="s">
        <v>3621</v>
      </c>
      <c r="AA664" s="23" t="s">
        <v>3625</v>
      </c>
    </row>
    <row r="665" spans="1:30" ht="15.5">
      <c r="A665" s="10" t="s">
        <v>1255</v>
      </c>
      <c r="B665" s="5">
        <v>2402</v>
      </c>
      <c r="C665" s="6" t="s">
        <v>1543</v>
      </c>
      <c r="D665" s="7">
        <v>2022340865</v>
      </c>
      <c r="E665" s="7">
        <v>2201010208</v>
      </c>
      <c r="F665" s="7" t="s">
        <v>1812</v>
      </c>
      <c r="G665" s="7" t="s">
        <v>13</v>
      </c>
      <c r="H665" s="6" t="s">
        <v>1544</v>
      </c>
      <c r="I665" s="6" t="s">
        <v>3135</v>
      </c>
      <c r="J665" s="6" t="s">
        <v>3136</v>
      </c>
      <c r="K665" s="6" t="s">
        <v>532</v>
      </c>
      <c r="L665" s="6" t="e">
        <v>#N/A</v>
      </c>
      <c r="M665" s="6" t="e">
        <v>#N/A</v>
      </c>
      <c r="N665" s="7" t="e">
        <v>#N/A</v>
      </c>
      <c r="O665" s="23" t="s">
        <v>3622</v>
      </c>
      <c r="P665" s="23" t="s">
        <v>3623</v>
      </c>
      <c r="R665" s="23" t="s">
        <v>3624</v>
      </c>
      <c r="S665" s="2" t="s">
        <v>3613</v>
      </c>
      <c r="T665" s="2" t="s">
        <v>3614</v>
      </c>
      <c r="U665" s="2" t="s">
        <v>3615</v>
      </c>
      <c r="V665" s="23" t="s">
        <v>3616</v>
      </c>
      <c r="W665" s="24" t="s">
        <v>3617</v>
      </c>
      <c r="X665" s="23" t="s">
        <v>3618</v>
      </c>
      <c r="Y665" s="23" t="s">
        <v>3620</v>
      </c>
      <c r="Z665" s="23" t="s">
        <v>3621</v>
      </c>
      <c r="AA665" s="23" t="s">
        <v>3625</v>
      </c>
    </row>
    <row r="666" spans="1:30" ht="15.5">
      <c r="A666" s="4" t="s">
        <v>1255</v>
      </c>
      <c r="B666" s="5">
        <v>2402</v>
      </c>
      <c r="C666" s="6" t="s">
        <v>730</v>
      </c>
      <c r="D666" s="7">
        <v>2022527313</v>
      </c>
      <c r="E666" s="7">
        <v>2201010267</v>
      </c>
      <c r="F666" s="7" t="s">
        <v>1812</v>
      </c>
      <c r="G666" s="7" t="s">
        <v>13</v>
      </c>
      <c r="H666" s="6" t="s">
        <v>1338</v>
      </c>
      <c r="I666" s="6" t="s">
        <v>3137</v>
      </c>
      <c r="J666" s="6" t="s">
        <v>3138</v>
      </c>
      <c r="K666" s="6" t="s">
        <v>532</v>
      </c>
      <c r="L666" s="6" t="e">
        <v>#N/A</v>
      </c>
      <c r="M666" s="6" t="e">
        <v>#N/A</v>
      </c>
      <c r="N666" s="7" t="e">
        <v>#N/A</v>
      </c>
      <c r="O666" s="23" t="s">
        <v>3622</v>
      </c>
      <c r="P666" s="23" t="s">
        <v>3623</v>
      </c>
      <c r="R666" s="23" t="s">
        <v>3624</v>
      </c>
      <c r="S666" s="2" t="s">
        <v>3613</v>
      </c>
      <c r="T666" s="2" t="s">
        <v>3614</v>
      </c>
      <c r="U666" s="2" t="s">
        <v>3615</v>
      </c>
      <c r="V666" s="23" t="s">
        <v>3616</v>
      </c>
      <c r="W666" s="24" t="s">
        <v>3617</v>
      </c>
      <c r="X666" s="23" t="s">
        <v>3618</v>
      </c>
      <c r="Y666" s="23" t="s">
        <v>3620</v>
      </c>
      <c r="Z666" s="23" t="s">
        <v>3621</v>
      </c>
      <c r="AA666" s="23" t="s">
        <v>3625</v>
      </c>
    </row>
    <row r="667" spans="1:30" ht="15.5">
      <c r="A667" s="4" t="s">
        <v>1255</v>
      </c>
      <c r="B667" s="5">
        <v>2402</v>
      </c>
      <c r="C667" s="6" t="s">
        <v>1353</v>
      </c>
      <c r="D667" s="7">
        <v>2022572764</v>
      </c>
      <c r="E667" s="7">
        <v>2201010290</v>
      </c>
      <c r="F667" s="7" t="s">
        <v>1812</v>
      </c>
      <c r="G667" s="7" t="s">
        <v>13</v>
      </c>
      <c r="H667" s="6" t="s">
        <v>1354</v>
      </c>
      <c r="I667" s="6" t="s">
        <v>3139</v>
      </c>
      <c r="J667" s="6" t="s">
        <v>3140</v>
      </c>
      <c r="K667" s="6" t="s">
        <v>532</v>
      </c>
      <c r="L667" s="6" t="s">
        <v>26</v>
      </c>
      <c r="M667" s="6" t="s">
        <v>21</v>
      </c>
      <c r="N667" s="7" t="s">
        <v>18</v>
      </c>
      <c r="O667" s="23" t="s">
        <v>3622</v>
      </c>
      <c r="P667" s="23" t="s">
        <v>3623</v>
      </c>
      <c r="R667" s="23" t="s">
        <v>3624</v>
      </c>
      <c r="S667" s="2" t="s">
        <v>3613</v>
      </c>
      <c r="T667" s="2" t="s">
        <v>3614</v>
      </c>
      <c r="U667" s="2" t="s">
        <v>3615</v>
      </c>
      <c r="V667" s="23" t="s">
        <v>3616</v>
      </c>
      <c r="W667" s="24" t="s">
        <v>3617</v>
      </c>
      <c r="X667" s="23" t="s">
        <v>3618</v>
      </c>
      <c r="Y667" s="23" t="s">
        <v>3620</v>
      </c>
      <c r="Z667" s="23" t="s">
        <v>3621</v>
      </c>
      <c r="AA667" s="23" t="s">
        <v>3625</v>
      </c>
    </row>
    <row r="668" spans="1:30" ht="15.5">
      <c r="A668" s="4" t="s">
        <v>1255</v>
      </c>
      <c r="B668" s="5">
        <v>2402</v>
      </c>
      <c r="C668" s="6" t="s">
        <v>1312</v>
      </c>
      <c r="D668" s="7">
        <v>2022416375</v>
      </c>
      <c r="E668" s="7">
        <v>2201010295</v>
      </c>
      <c r="F668" s="7" t="s">
        <v>1812</v>
      </c>
      <c r="G668" s="7" t="s">
        <v>13</v>
      </c>
      <c r="H668" s="6" t="s">
        <v>1313</v>
      </c>
      <c r="I668" s="6" t="s">
        <v>3141</v>
      </c>
      <c r="J668" s="6" t="s">
        <v>3142</v>
      </c>
      <c r="K668" s="6" t="s">
        <v>532</v>
      </c>
      <c r="L668" s="6" t="s">
        <v>26</v>
      </c>
      <c r="M668" s="6" t="s">
        <v>104</v>
      </c>
      <c r="N668" s="7" t="s">
        <v>18</v>
      </c>
      <c r="O668" s="23" t="s">
        <v>3622</v>
      </c>
      <c r="P668" s="23" t="s">
        <v>3623</v>
      </c>
      <c r="R668" s="23" t="s">
        <v>3624</v>
      </c>
      <c r="S668" s="2" t="s">
        <v>3613</v>
      </c>
      <c r="T668" s="2" t="s">
        <v>3614</v>
      </c>
      <c r="U668" s="2" t="s">
        <v>3615</v>
      </c>
      <c r="V668" s="23" t="s">
        <v>3616</v>
      </c>
      <c r="W668" s="24" t="s">
        <v>3617</v>
      </c>
      <c r="X668" s="23" t="s">
        <v>3618</v>
      </c>
      <c r="Y668" s="23" t="s">
        <v>3620</v>
      </c>
      <c r="Z668" s="23" t="s">
        <v>3621</v>
      </c>
      <c r="AA668" s="23" t="s">
        <v>3625</v>
      </c>
    </row>
    <row r="669" spans="1:30" ht="15.5">
      <c r="A669" s="4" t="s">
        <v>1255</v>
      </c>
      <c r="B669" s="5">
        <v>2402</v>
      </c>
      <c r="C669" s="6" t="s">
        <v>1270</v>
      </c>
      <c r="D669" s="7">
        <v>2022000628</v>
      </c>
      <c r="E669" s="7">
        <v>2201010313</v>
      </c>
      <c r="F669" s="7" t="s">
        <v>1812</v>
      </c>
      <c r="G669" s="7" t="s">
        <v>13</v>
      </c>
      <c r="H669" s="6" t="s">
        <v>1271</v>
      </c>
      <c r="I669" s="6" t="s">
        <v>3143</v>
      </c>
      <c r="J669" s="6" t="s">
        <v>3144</v>
      </c>
      <c r="K669" s="6" t="s">
        <v>532</v>
      </c>
      <c r="L669" s="6" t="s">
        <v>26</v>
      </c>
      <c r="M669" s="6" t="s">
        <v>149</v>
      </c>
      <c r="N669" s="7" t="s">
        <v>18</v>
      </c>
      <c r="O669" s="23" t="s">
        <v>3622</v>
      </c>
      <c r="P669" s="23" t="s">
        <v>3623</v>
      </c>
      <c r="R669" s="23" t="s">
        <v>3624</v>
      </c>
      <c r="S669" s="2" t="s">
        <v>3613</v>
      </c>
      <c r="T669" s="2" t="s">
        <v>3614</v>
      </c>
      <c r="U669" s="2" t="s">
        <v>3615</v>
      </c>
      <c r="V669" s="23" t="s">
        <v>3616</v>
      </c>
      <c r="W669" s="24" t="s">
        <v>3617</v>
      </c>
      <c r="X669" s="23" t="s">
        <v>3618</v>
      </c>
      <c r="Y669" s="23" t="s">
        <v>3620</v>
      </c>
      <c r="Z669" s="23" t="s">
        <v>3621</v>
      </c>
      <c r="AA669" s="23" t="s">
        <v>3625</v>
      </c>
    </row>
    <row r="670" spans="1:30" ht="15.5">
      <c r="A670" s="4" t="s">
        <v>1255</v>
      </c>
      <c r="B670" s="5">
        <v>2402</v>
      </c>
      <c r="C670" s="6" t="s">
        <v>1262</v>
      </c>
      <c r="D670" s="7">
        <v>2022512289</v>
      </c>
      <c r="E670" s="7">
        <v>2201010366</v>
      </c>
      <c r="F670" s="7" t="s">
        <v>1812</v>
      </c>
      <c r="G670" s="7" t="s">
        <v>13</v>
      </c>
      <c r="H670" s="6" t="s">
        <v>1263</v>
      </c>
      <c r="I670" s="6" t="s">
        <v>3145</v>
      </c>
      <c r="J670" s="6" t="s">
        <v>3146</v>
      </c>
      <c r="K670" s="6" t="s">
        <v>532</v>
      </c>
      <c r="L670" s="6" t="s">
        <v>149</v>
      </c>
      <c r="M670" s="6" t="s">
        <v>26</v>
      </c>
      <c r="N670" s="7" t="s">
        <v>18</v>
      </c>
      <c r="O670" s="23" t="s">
        <v>3622</v>
      </c>
      <c r="P670" s="23" t="s">
        <v>3623</v>
      </c>
      <c r="R670" s="23" t="s">
        <v>3624</v>
      </c>
      <c r="S670" s="2" t="s">
        <v>3613</v>
      </c>
      <c r="T670" s="2" t="s">
        <v>3614</v>
      </c>
      <c r="U670" s="2" t="s">
        <v>3615</v>
      </c>
      <c r="V670" s="23" t="s">
        <v>3616</v>
      </c>
      <c r="W670" s="24" t="s">
        <v>3617</v>
      </c>
      <c r="X670" s="23" t="s">
        <v>3618</v>
      </c>
      <c r="Y670" s="23" t="s">
        <v>3620</v>
      </c>
      <c r="Z670" s="23" t="s">
        <v>3621</v>
      </c>
      <c r="AA670" s="23" t="s">
        <v>3625</v>
      </c>
    </row>
    <row r="671" spans="1:30" ht="15.75" customHeight="1">
      <c r="A671" s="10" t="s">
        <v>1255</v>
      </c>
      <c r="B671" s="5">
        <v>2402</v>
      </c>
      <c r="C671" s="6" t="s">
        <v>1507</v>
      </c>
      <c r="D671" s="7">
        <v>2022510361</v>
      </c>
      <c r="E671" s="7">
        <v>2201010385</v>
      </c>
      <c r="F671" s="7" t="s">
        <v>1812</v>
      </c>
      <c r="G671" s="7" t="s">
        <v>13</v>
      </c>
      <c r="H671" s="6" t="s">
        <v>1508</v>
      </c>
      <c r="I671" s="6" t="s">
        <v>3147</v>
      </c>
      <c r="J671" s="6" t="s">
        <v>3148</v>
      </c>
      <c r="K671" s="6" t="s">
        <v>532</v>
      </c>
      <c r="L671" s="6" t="e">
        <v>#N/A</v>
      </c>
      <c r="M671" s="6" t="e">
        <v>#N/A</v>
      </c>
      <c r="N671" s="7" t="e">
        <v>#N/A</v>
      </c>
      <c r="O671" s="23" t="s">
        <v>3622</v>
      </c>
      <c r="P671" s="23" t="s">
        <v>3623</v>
      </c>
      <c r="R671" s="23" t="s">
        <v>3624</v>
      </c>
      <c r="S671" s="2" t="s">
        <v>3613</v>
      </c>
      <c r="T671" s="2" t="s">
        <v>3614</v>
      </c>
      <c r="U671" s="2" t="s">
        <v>3615</v>
      </c>
      <c r="V671" s="23" t="s">
        <v>3616</v>
      </c>
      <c r="W671" s="24" t="s">
        <v>3617</v>
      </c>
      <c r="X671" s="23" t="s">
        <v>3618</v>
      </c>
      <c r="Y671" s="23" t="s">
        <v>3620</v>
      </c>
      <c r="Z671" s="23" t="s">
        <v>3621</v>
      </c>
      <c r="AA671" s="23" t="s">
        <v>3625</v>
      </c>
    </row>
    <row r="672" spans="1:30" ht="15.75" customHeight="1">
      <c r="A672" s="4" t="s">
        <v>1255</v>
      </c>
      <c r="B672" s="5">
        <v>2402</v>
      </c>
      <c r="C672" s="6" t="s">
        <v>1260</v>
      </c>
      <c r="D672" s="7">
        <v>2022449092</v>
      </c>
      <c r="E672" s="7">
        <v>2201010400</v>
      </c>
      <c r="F672" s="7" t="s">
        <v>1812</v>
      </c>
      <c r="G672" s="7" t="s">
        <v>13</v>
      </c>
      <c r="H672" s="6" t="s">
        <v>1261</v>
      </c>
      <c r="I672" s="6" t="s">
        <v>3149</v>
      </c>
      <c r="J672" s="6" t="s">
        <v>3150</v>
      </c>
      <c r="K672" s="6" t="s">
        <v>532</v>
      </c>
      <c r="L672" s="6" t="s">
        <v>21</v>
      </c>
      <c r="M672" s="6" t="s">
        <v>26</v>
      </c>
      <c r="N672" s="7" t="s">
        <v>18</v>
      </c>
      <c r="O672" s="23" t="s">
        <v>3622</v>
      </c>
      <c r="P672" s="23" t="s">
        <v>3623</v>
      </c>
      <c r="R672" s="23" t="s">
        <v>3624</v>
      </c>
      <c r="S672" s="2" t="s">
        <v>3613</v>
      </c>
      <c r="T672" s="2" t="s">
        <v>3614</v>
      </c>
      <c r="U672" s="2" t="s">
        <v>3615</v>
      </c>
      <c r="V672" s="23" t="s">
        <v>3616</v>
      </c>
      <c r="W672" s="24" t="s">
        <v>3617</v>
      </c>
      <c r="X672" s="23" t="s">
        <v>3618</v>
      </c>
      <c r="Y672" s="23" t="s">
        <v>3620</v>
      </c>
      <c r="Z672" s="23" t="s">
        <v>3621</v>
      </c>
      <c r="AA672" s="23" t="s">
        <v>3625</v>
      </c>
    </row>
    <row r="673" spans="1:30" ht="15.75" customHeight="1">
      <c r="A673" s="4" t="s">
        <v>1255</v>
      </c>
      <c r="B673" s="5">
        <v>2402</v>
      </c>
      <c r="C673" s="6" t="s">
        <v>1326</v>
      </c>
      <c r="D673" s="7">
        <v>2022505589</v>
      </c>
      <c r="E673" s="7">
        <v>2201010407</v>
      </c>
      <c r="F673" s="7" t="s">
        <v>1812</v>
      </c>
      <c r="G673" s="7" t="s">
        <v>13</v>
      </c>
      <c r="H673" s="6" t="s">
        <v>1327</v>
      </c>
      <c r="I673" s="6" t="s">
        <v>3151</v>
      </c>
      <c r="J673" s="6" t="s">
        <v>3152</v>
      </c>
      <c r="K673" s="6" t="s">
        <v>532</v>
      </c>
      <c r="L673" s="6" t="s">
        <v>26</v>
      </c>
      <c r="M673" s="6" t="s">
        <v>104</v>
      </c>
      <c r="N673" s="7" t="s">
        <v>18</v>
      </c>
      <c r="O673" s="23" t="s">
        <v>3622</v>
      </c>
      <c r="P673" s="23" t="s">
        <v>3623</v>
      </c>
      <c r="R673" s="23" t="s">
        <v>3624</v>
      </c>
      <c r="S673" s="2" t="s">
        <v>3613</v>
      </c>
      <c r="T673" s="2" t="s">
        <v>3614</v>
      </c>
      <c r="U673" s="2" t="s">
        <v>3615</v>
      </c>
      <c r="V673" s="23" t="s">
        <v>3616</v>
      </c>
      <c r="W673" s="24" t="s">
        <v>3617</v>
      </c>
      <c r="X673" s="23" t="s">
        <v>3618</v>
      </c>
      <c r="Y673" s="23" t="s">
        <v>3620</v>
      </c>
      <c r="Z673" s="23" t="s">
        <v>3621</v>
      </c>
      <c r="AA673" s="23" t="s">
        <v>3625</v>
      </c>
    </row>
    <row r="674" spans="1:30" ht="15.75" customHeight="1">
      <c r="A674" s="4" t="s">
        <v>1255</v>
      </c>
      <c r="B674" s="5">
        <v>2402</v>
      </c>
      <c r="C674" s="6" t="s">
        <v>1355</v>
      </c>
      <c r="D674" s="7">
        <v>2022574378</v>
      </c>
      <c r="E674" s="7">
        <v>2201010426</v>
      </c>
      <c r="F674" s="7" t="s">
        <v>1812</v>
      </c>
      <c r="G674" s="7" t="s">
        <v>13</v>
      </c>
      <c r="H674" s="6" t="s">
        <v>1356</v>
      </c>
      <c r="I674" s="6" t="s">
        <v>3153</v>
      </c>
      <c r="J674" s="6" t="s">
        <v>3154</v>
      </c>
      <c r="K674" s="6" t="s">
        <v>532</v>
      </c>
      <c r="L674" s="6" t="s">
        <v>26</v>
      </c>
      <c r="M674" s="6" t="s">
        <v>104</v>
      </c>
      <c r="N674" s="7" t="s">
        <v>18</v>
      </c>
      <c r="O674" s="23" t="s">
        <v>3622</v>
      </c>
      <c r="P674" s="23" t="s">
        <v>3623</v>
      </c>
      <c r="R674" s="23" t="s">
        <v>3624</v>
      </c>
      <c r="S674" s="2" t="s">
        <v>3613</v>
      </c>
      <c r="T674" s="2" t="s">
        <v>3614</v>
      </c>
      <c r="U674" s="2" t="s">
        <v>3615</v>
      </c>
      <c r="V674" s="23" t="s">
        <v>3616</v>
      </c>
      <c r="W674" s="24" t="s">
        <v>3617</v>
      </c>
      <c r="X674" s="23" t="s">
        <v>3618</v>
      </c>
      <c r="Y674" s="23" t="s">
        <v>3620</v>
      </c>
      <c r="Z674" s="23" t="s">
        <v>3621</v>
      </c>
      <c r="AA674" s="23" t="s">
        <v>3625</v>
      </c>
    </row>
    <row r="675" spans="1:30" ht="15.75" customHeight="1">
      <c r="A675" s="4" t="s">
        <v>1255</v>
      </c>
      <c r="B675" s="5">
        <v>2402</v>
      </c>
      <c r="C675" s="6" t="s">
        <v>1345</v>
      </c>
      <c r="D675" s="7">
        <v>2022539044</v>
      </c>
      <c r="E675" s="7">
        <v>2201010434</v>
      </c>
      <c r="F675" s="7" t="s">
        <v>1812</v>
      </c>
      <c r="G675" s="7" t="s">
        <v>13</v>
      </c>
      <c r="H675" s="6" t="s">
        <v>1346</v>
      </c>
      <c r="I675" s="6" t="s">
        <v>3155</v>
      </c>
      <c r="J675" s="6" t="s">
        <v>3156</v>
      </c>
      <c r="K675" s="6" t="s">
        <v>532</v>
      </c>
      <c r="L675" s="6" t="s">
        <v>26</v>
      </c>
      <c r="M675" s="6" t="s">
        <v>21</v>
      </c>
      <c r="N675" s="7" t="s">
        <v>18</v>
      </c>
      <c r="O675" s="23" t="s">
        <v>3622</v>
      </c>
      <c r="P675" s="23" t="s">
        <v>3623</v>
      </c>
      <c r="R675" s="23" t="s">
        <v>3624</v>
      </c>
      <c r="S675" s="2" t="s">
        <v>3613</v>
      </c>
      <c r="T675" s="2" t="s">
        <v>3614</v>
      </c>
      <c r="U675" s="2" t="s">
        <v>3615</v>
      </c>
      <c r="V675" s="23" t="s">
        <v>3616</v>
      </c>
      <c r="W675" s="24" t="s">
        <v>3617</v>
      </c>
      <c r="X675" s="23" t="s">
        <v>3618</v>
      </c>
      <c r="Y675" s="23" t="s">
        <v>3620</v>
      </c>
      <c r="Z675" s="23" t="s">
        <v>3621</v>
      </c>
      <c r="AA675" s="23" t="s">
        <v>3625</v>
      </c>
      <c r="AB675" s="8"/>
      <c r="AC675" s="8"/>
      <c r="AD675" s="8"/>
    </row>
    <row r="676" spans="1:30" ht="15.75" customHeight="1">
      <c r="A676" s="4" t="s">
        <v>1255</v>
      </c>
      <c r="B676" s="5">
        <v>2402</v>
      </c>
      <c r="C676" s="6" t="s">
        <v>1272</v>
      </c>
      <c r="D676" s="7">
        <v>2022001306</v>
      </c>
      <c r="E676" s="7">
        <v>2201010469</v>
      </c>
      <c r="F676" s="7" t="s">
        <v>1812</v>
      </c>
      <c r="G676" s="7" t="s">
        <v>13</v>
      </c>
      <c r="H676" s="6" t="s">
        <v>1273</v>
      </c>
      <c r="I676" s="6" t="s">
        <v>3157</v>
      </c>
      <c r="J676" s="6" t="s">
        <v>3158</v>
      </c>
      <c r="K676" s="6" t="s">
        <v>532</v>
      </c>
      <c r="L676" s="6" t="s">
        <v>21</v>
      </c>
      <c r="M676" s="6" t="s">
        <v>17</v>
      </c>
      <c r="N676" s="7" t="s">
        <v>18</v>
      </c>
      <c r="O676" s="23" t="s">
        <v>3622</v>
      </c>
      <c r="P676" s="23" t="s">
        <v>3623</v>
      </c>
      <c r="R676" s="23" t="s">
        <v>3624</v>
      </c>
      <c r="S676" s="2" t="s">
        <v>3613</v>
      </c>
      <c r="T676" s="2" t="s">
        <v>3614</v>
      </c>
      <c r="U676" s="2" t="s">
        <v>3615</v>
      </c>
      <c r="V676" s="23" t="s">
        <v>3616</v>
      </c>
      <c r="W676" s="24" t="s">
        <v>3617</v>
      </c>
      <c r="X676" s="23" t="s">
        <v>3618</v>
      </c>
      <c r="Y676" s="23" t="s">
        <v>3620</v>
      </c>
      <c r="Z676" s="23" t="s">
        <v>3621</v>
      </c>
      <c r="AA676" s="23" t="s">
        <v>3625</v>
      </c>
      <c r="AB676" s="9"/>
      <c r="AC676" s="9"/>
      <c r="AD676" s="9"/>
    </row>
    <row r="677" spans="1:30" ht="15.75" customHeight="1">
      <c r="A677" s="4" t="s">
        <v>1255</v>
      </c>
      <c r="B677" s="5">
        <v>2402</v>
      </c>
      <c r="C677" s="6" t="s">
        <v>1332</v>
      </c>
      <c r="D677" s="7">
        <v>2022515421</v>
      </c>
      <c r="E677" s="7">
        <v>2201010484</v>
      </c>
      <c r="F677" s="7" t="s">
        <v>1812</v>
      </c>
      <c r="G677" s="7" t="s">
        <v>13</v>
      </c>
      <c r="H677" s="6" t="s">
        <v>1333</v>
      </c>
      <c r="I677" s="6" t="s">
        <v>3159</v>
      </c>
      <c r="J677" s="6" t="s">
        <v>3160</v>
      </c>
      <c r="K677" s="6" t="s">
        <v>532</v>
      </c>
      <c r="L677" s="6" t="s">
        <v>26</v>
      </c>
      <c r="M677" s="6" t="s">
        <v>21</v>
      </c>
      <c r="N677" s="7" t="s">
        <v>18</v>
      </c>
      <c r="O677" s="23" t="s">
        <v>3622</v>
      </c>
      <c r="P677" s="23" t="s">
        <v>3623</v>
      </c>
      <c r="R677" s="23" t="s">
        <v>3624</v>
      </c>
      <c r="S677" s="2" t="s">
        <v>3613</v>
      </c>
      <c r="T677" s="2" t="s">
        <v>3614</v>
      </c>
      <c r="U677" s="2" t="s">
        <v>3615</v>
      </c>
      <c r="V677" s="23" t="s">
        <v>3616</v>
      </c>
      <c r="W677" s="24" t="s">
        <v>3617</v>
      </c>
      <c r="X677" s="23" t="s">
        <v>3618</v>
      </c>
      <c r="Y677" s="23" t="s">
        <v>3620</v>
      </c>
      <c r="Z677" s="23" t="s">
        <v>3621</v>
      </c>
      <c r="AA677" s="23" t="s">
        <v>3625</v>
      </c>
      <c r="AB677" s="9"/>
      <c r="AC677" s="9"/>
      <c r="AD677" s="9"/>
    </row>
    <row r="678" spans="1:30" ht="15.75" customHeight="1">
      <c r="A678" s="4" t="s">
        <v>1255</v>
      </c>
      <c r="B678" s="5">
        <v>2402</v>
      </c>
      <c r="C678" s="6" t="s">
        <v>1351</v>
      </c>
      <c r="D678" s="7">
        <v>2022563312</v>
      </c>
      <c r="E678" s="7">
        <v>2201010532</v>
      </c>
      <c r="F678" s="7" t="s">
        <v>1812</v>
      </c>
      <c r="G678" s="7" t="s">
        <v>13</v>
      </c>
      <c r="H678" s="6" t="s">
        <v>1352</v>
      </c>
      <c r="I678" s="6" t="s">
        <v>3161</v>
      </c>
      <c r="J678" s="6" t="s">
        <v>3162</v>
      </c>
      <c r="K678" s="6" t="s">
        <v>532</v>
      </c>
      <c r="L678" s="6" t="s">
        <v>26</v>
      </c>
      <c r="M678" s="6" t="s">
        <v>21</v>
      </c>
      <c r="N678" s="7" t="s">
        <v>18</v>
      </c>
      <c r="O678" s="23" t="s">
        <v>3622</v>
      </c>
      <c r="P678" s="23" t="s">
        <v>3623</v>
      </c>
      <c r="R678" s="23" t="s">
        <v>3624</v>
      </c>
      <c r="S678" s="2" t="s">
        <v>3613</v>
      </c>
      <c r="T678" s="2" t="s">
        <v>3614</v>
      </c>
      <c r="U678" s="2" t="s">
        <v>3615</v>
      </c>
      <c r="V678" s="23" t="s">
        <v>3616</v>
      </c>
      <c r="W678" s="24" t="s">
        <v>3617</v>
      </c>
      <c r="X678" s="23" t="s">
        <v>3618</v>
      </c>
      <c r="Y678" s="23" t="s">
        <v>3620</v>
      </c>
      <c r="Z678" s="23" t="s">
        <v>3621</v>
      </c>
      <c r="AA678" s="23" t="s">
        <v>3625</v>
      </c>
      <c r="AB678" s="9"/>
      <c r="AC678" s="9"/>
      <c r="AD678" s="9"/>
    </row>
    <row r="679" spans="1:30" ht="15.75" customHeight="1">
      <c r="A679" s="10" t="s">
        <v>1255</v>
      </c>
      <c r="B679" s="5">
        <v>2402</v>
      </c>
      <c r="C679" s="6" t="s">
        <v>1496</v>
      </c>
      <c r="D679" s="7">
        <v>2022483967</v>
      </c>
      <c r="E679" s="7">
        <v>2201010573</v>
      </c>
      <c r="F679" s="7" t="s">
        <v>1812</v>
      </c>
      <c r="G679" s="7" t="s">
        <v>13</v>
      </c>
      <c r="H679" s="6" t="s">
        <v>1497</v>
      </c>
      <c r="I679" s="6" t="s">
        <v>3163</v>
      </c>
      <c r="J679" s="6" t="s">
        <v>3164</v>
      </c>
      <c r="K679" s="6" t="s">
        <v>532</v>
      </c>
      <c r="L679" s="6" t="e">
        <v>#N/A</v>
      </c>
      <c r="M679" s="6" t="e">
        <v>#N/A</v>
      </c>
      <c r="N679" s="7" t="e">
        <v>#N/A</v>
      </c>
      <c r="O679" s="23" t="s">
        <v>3622</v>
      </c>
      <c r="P679" s="23" t="s">
        <v>3623</v>
      </c>
      <c r="R679" s="23" t="s">
        <v>3624</v>
      </c>
      <c r="S679" s="2" t="s">
        <v>3613</v>
      </c>
      <c r="T679" s="2" t="s">
        <v>3614</v>
      </c>
      <c r="U679" s="2" t="s">
        <v>3615</v>
      </c>
      <c r="V679" s="23" t="s">
        <v>3616</v>
      </c>
      <c r="W679" s="24" t="s">
        <v>3617</v>
      </c>
      <c r="X679" s="23" t="s">
        <v>3618</v>
      </c>
      <c r="Y679" s="23" t="s">
        <v>3620</v>
      </c>
      <c r="Z679" s="23" t="s">
        <v>3621</v>
      </c>
      <c r="AA679" s="23" t="s">
        <v>3625</v>
      </c>
    </row>
    <row r="680" spans="1:30" ht="15.75" customHeight="1">
      <c r="A680" s="4" t="s">
        <v>1255</v>
      </c>
      <c r="B680" s="5">
        <v>2402</v>
      </c>
      <c r="C680" s="6" t="s">
        <v>1256</v>
      </c>
      <c r="D680" s="7">
        <v>2022330451</v>
      </c>
      <c r="E680" s="7">
        <v>2201010576</v>
      </c>
      <c r="F680" s="7" t="s">
        <v>1812</v>
      </c>
      <c r="G680" s="7" t="s">
        <v>13</v>
      </c>
      <c r="H680" s="6" t="s">
        <v>1257</v>
      </c>
      <c r="I680" s="6" t="s">
        <v>3165</v>
      </c>
      <c r="J680" s="6" t="s">
        <v>3166</v>
      </c>
      <c r="K680" s="6" t="s">
        <v>532</v>
      </c>
      <c r="L680" s="6" t="s">
        <v>21</v>
      </c>
      <c r="M680" s="6" t="s">
        <v>149</v>
      </c>
      <c r="N680" s="7" t="s">
        <v>18</v>
      </c>
      <c r="O680" s="23" t="s">
        <v>3622</v>
      </c>
      <c r="P680" s="23" t="s">
        <v>3623</v>
      </c>
      <c r="R680" s="23" t="s">
        <v>3624</v>
      </c>
      <c r="S680" s="2" t="s">
        <v>3613</v>
      </c>
      <c r="T680" s="2" t="s">
        <v>3614</v>
      </c>
      <c r="U680" s="2" t="s">
        <v>3615</v>
      </c>
      <c r="V680" s="23" t="s">
        <v>3616</v>
      </c>
      <c r="W680" s="24" t="s">
        <v>3617</v>
      </c>
      <c r="X680" s="23" t="s">
        <v>3618</v>
      </c>
      <c r="Y680" s="23" t="s">
        <v>3620</v>
      </c>
      <c r="Z680" s="23" t="s">
        <v>3621</v>
      </c>
      <c r="AA680" s="23" t="s">
        <v>3625</v>
      </c>
      <c r="AB680" s="9"/>
      <c r="AC680" s="9"/>
      <c r="AD680" s="9"/>
    </row>
    <row r="681" spans="1:30" ht="15.75" customHeight="1">
      <c r="A681" s="4" t="s">
        <v>1255</v>
      </c>
      <c r="B681" s="5">
        <v>2402</v>
      </c>
      <c r="C681" s="6" t="s">
        <v>1283</v>
      </c>
      <c r="D681" s="7">
        <v>2022006324</v>
      </c>
      <c r="E681" s="7">
        <v>2201010593</v>
      </c>
      <c r="F681" s="7" t="s">
        <v>1812</v>
      </c>
      <c r="G681" s="7" t="s">
        <v>13</v>
      </c>
      <c r="H681" s="6" t="s">
        <v>1284</v>
      </c>
      <c r="I681" s="6" t="s">
        <v>3167</v>
      </c>
      <c r="J681" s="6" t="s">
        <v>3168</v>
      </c>
      <c r="K681" s="6" t="s">
        <v>532</v>
      </c>
      <c r="L681" s="6" t="s">
        <v>26</v>
      </c>
      <c r="M681" s="6" t="s">
        <v>17</v>
      </c>
      <c r="N681" s="7" t="s">
        <v>18</v>
      </c>
      <c r="O681" s="23" t="s">
        <v>3622</v>
      </c>
      <c r="P681" s="23" t="s">
        <v>3623</v>
      </c>
      <c r="R681" s="23" t="s">
        <v>3624</v>
      </c>
      <c r="S681" s="2" t="s">
        <v>3613</v>
      </c>
      <c r="T681" s="2" t="s">
        <v>3614</v>
      </c>
      <c r="U681" s="2" t="s">
        <v>3615</v>
      </c>
      <c r="V681" s="23" t="s">
        <v>3616</v>
      </c>
      <c r="W681" s="24" t="s">
        <v>3617</v>
      </c>
      <c r="X681" s="23" t="s">
        <v>3618</v>
      </c>
      <c r="Y681" s="23" t="s">
        <v>3620</v>
      </c>
      <c r="Z681" s="23" t="s">
        <v>3621</v>
      </c>
      <c r="AA681" s="23" t="s">
        <v>3625</v>
      </c>
    </row>
    <row r="682" spans="1:30" ht="15.75" customHeight="1">
      <c r="A682" s="4" t="s">
        <v>1255</v>
      </c>
      <c r="B682" s="5">
        <v>2402</v>
      </c>
      <c r="C682" s="6" t="s">
        <v>1324</v>
      </c>
      <c r="D682" s="7">
        <v>2022495866</v>
      </c>
      <c r="E682" s="7">
        <v>2201010613</v>
      </c>
      <c r="F682" s="7" t="s">
        <v>1812</v>
      </c>
      <c r="G682" s="7" t="s">
        <v>13</v>
      </c>
      <c r="H682" s="6" t="s">
        <v>1325</v>
      </c>
      <c r="I682" s="6" t="s">
        <v>3169</v>
      </c>
      <c r="J682" s="6" t="s">
        <v>3170</v>
      </c>
      <c r="K682" s="6" t="s">
        <v>532</v>
      </c>
      <c r="L682" s="6" t="s">
        <v>26</v>
      </c>
      <c r="M682" s="6" t="s">
        <v>21</v>
      </c>
      <c r="N682" s="7" t="s">
        <v>18</v>
      </c>
      <c r="O682" s="23" t="s">
        <v>3622</v>
      </c>
      <c r="P682" s="23" t="s">
        <v>3623</v>
      </c>
      <c r="R682" s="23" t="s">
        <v>3624</v>
      </c>
      <c r="S682" s="2" t="s">
        <v>3613</v>
      </c>
      <c r="T682" s="2" t="s">
        <v>3614</v>
      </c>
      <c r="U682" s="2" t="s">
        <v>3615</v>
      </c>
      <c r="V682" s="23" t="s">
        <v>3616</v>
      </c>
      <c r="W682" s="24" t="s">
        <v>3617</v>
      </c>
      <c r="X682" s="23" t="s">
        <v>3618</v>
      </c>
      <c r="Y682" s="23" t="s">
        <v>3620</v>
      </c>
      <c r="Z682" s="23" t="s">
        <v>3621</v>
      </c>
      <c r="AA682" s="23" t="s">
        <v>3625</v>
      </c>
      <c r="AB682" s="8"/>
      <c r="AC682" s="8"/>
      <c r="AD682" s="8"/>
    </row>
    <row r="683" spans="1:30" ht="15.75" customHeight="1">
      <c r="A683" s="4" t="s">
        <v>1255</v>
      </c>
      <c r="B683" s="5">
        <v>2402</v>
      </c>
      <c r="C683" s="6" t="s">
        <v>1285</v>
      </c>
      <c r="D683" s="7">
        <v>2022006712</v>
      </c>
      <c r="E683" s="7">
        <v>2201010633</v>
      </c>
      <c r="F683" s="7" t="s">
        <v>1812</v>
      </c>
      <c r="G683" s="7" t="s">
        <v>13</v>
      </c>
      <c r="H683" s="6" t="s">
        <v>1286</v>
      </c>
      <c r="I683" s="6" t="s">
        <v>3171</v>
      </c>
      <c r="J683" s="6" t="s">
        <v>3172</v>
      </c>
      <c r="K683" s="6" t="s">
        <v>532</v>
      </c>
      <c r="L683" s="6" t="s">
        <v>26</v>
      </c>
      <c r="M683" s="6" t="s">
        <v>16</v>
      </c>
      <c r="N683" s="7" t="s">
        <v>174</v>
      </c>
      <c r="O683" s="23" t="s">
        <v>3622</v>
      </c>
      <c r="P683" s="23" t="s">
        <v>3623</v>
      </c>
      <c r="R683" s="23" t="s">
        <v>3624</v>
      </c>
      <c r="S683" s="2" t="s">
        <v>3613</v>
      </c>
      <c r="T683" s="2" t="s">
        <v>3614</v>
      </c>
      <c r="U683" s="2" t="s">
        <v>3615</v>
      </c>
      <c r="V683" s="23" t="s">
        <v>3616</v>
      </c>
      <c r="W683" s="24" t="s">
        <v>3617</v>
      </c>
      <c r="X683" s="23" t="s">
        <v>3618</v>
      </c>
      <c r="Y683" s="23" t="s">
        <v>3620</v>
      </c>
      <c r="Z683" s="23" t="s">
        <v>3621</v>
      </c>
      <c r="AA683" s="23" t="s">
        <v>3625</v>
      </c>
      <c r="AB683" s="8"/>
      <c r="AC683" s="8"/>
      <c r="AD683" s="8"/>
    </row>
    <row r="684" spans="1:30" ht="15.75" customHeight="1">
      <c r="A684" s="4" t="s">
        <v>1255</v>
      </c>
      <c r="B684" s="5">
        <v>2402</v>
      </c>
      <c r="C684" s="6" t="s">
        <v>1258</v>
      </c>
      <c r="D684" s="7">
        <v>2022434098</v>
      </c>
      <c r="E684" s="7">
        <v>2201010727</v>
      </c>
      <c r="F684" s="7" t="s">
        <v>1812</v>
      </c>
      <c r="G684" s="7" t="s">
        <v>13</v>
      </c>
      <c r="H684" s="6" t="s">
        <v>1259</v>
      </c>
      <c r="I684" s="6" t="s">
        <v>3173</v>
      </c>
      <c r="J684" s="6" t="s">
        <v>3174</v>
      </c>
      <c r="K684" s="6" t="s">
        <v>532</v>
      </c>
      <c r="L684" s="6" t="s">
        <v>21</v>
      </c>
      <c r="M684" s="6" t="s">
        <v>26</v>
      </c>
      <c r="N684" s="7" t="s">
        <v>18</v>
      </c>
      <c r="O684" s="23" t="s">
        <v>3622</v>
      </c>
      <c r="P684" s="23" t="s">
        <v>3623</v>
      </c>
      <c r="R684" s="23" t="s">
        <v>3624</v>
      </c>
      <c r="S684" s="2" t="s">
        <v>3613</v>
      </c>
      <c r="T684" s="2" t="s">
        <v>3614</v>
      </c>
      <c r="U684" s="2" t="s">
        <v>3615</v>
      </c>
      <c r="V684" s="23" t="s">
        <v>3616</v>
      </c>
      <c r="W684" s="24" t="s">
        <v>3617</v>
      </c>
      <c r="X684" s="23" t="s">
        <v>3618</v>
      </c>
      <c r="Y684" s="23" t="s">
        <v>3620</v>
      </c>
      <c r="Z684" s="23" t="s">
        <v>3621</v>
      </c>
      <c r="AA684" s="23" t="s">
        <v>3625</v>
      </c>
      <c r="AB684" s="8"/>
      <c r="AC684" s="8"/>
      <c r="AD684" s="8"/>
    </row>
    <row r="685" spans="1:30" ht="15.75" customHeight="1">
      <c r="A685" s="4" t="s">
        <v>1255</v>
      </c>
      <c r="B685" s="5">
        <v>2402</v>
      </c>
      <c r="C685" s="6" t="s">
        <v>1364</v>
      </c>
      <c r="D685" s="7">
        <v>2022368174</v>
      </c>
      <c r="E685" s="7">
        <v>2201010728</v>
      </c>
      <c r="F685" s="7" t="s">
        <v>1812</v>
      </c>
      <c r="G685" s="7" t="s">
        <v>13</v>
      </c>
      <c r="H685" s="6" t="s">
        <v>1365</v>
      </c>
      <c r="I685" s="6" t="s">
        <v>3175</v>
      </c>
      <c r="J685" s="6" t="s">
        <v>3176</v>
      </c>
      <c r="K685" s="6" t="s">
        <v>532</v>
      </c>
      <c r="L685" s="6" t="s">
        <v>21</v>
      </c>
      <c r="M685" s="6" t="s">
        <v>26</v>
      </c>
      <c r="N685" s="7" t="s">
        <v>18</v>
      </c>
      <c r="O685" s="23" t="s">
        <v>3622</v>
      </c>
      <c r="P685" s="23" t="s">
        <v>3623</v>
      </c>
      <c r="R685" s="23" t="s">
        <v>3624</v>
      </c>
      <c r="S685" s="2" t="s">
        <v>3613</v>
      </c>
      <c r="T685" s="2" t="s">
        <v>3614</v>
      </c>
      <c r="U685" s="2" t="s">
        <v>3615</v>
      </c>
      <c r="V685" s="23" t="s">
        <v>3616</v>
      </c>
      <c r="W685" s="24" t="s">
        <v>3617</v>
      </c>
      <c r="X685" s="23" t="s">
        <v>3618</v>
      </c>
      <c r="Y685" s="23" t="s">
        <v>3620</v>
      </c>
      <c r="Z685" s="23" t="s">
        <v>3621</v>
      </c>
      <c r="AA685" s="23" t="s">
        <v>3625</v>
      </c>
      <c r="AB685" s="8"/>
      <c r="AC685" s="8"/>
      <c r="AD685" s="8"/>
    </row>
    <row r="686" spans="1:30" ht="15.75" customHeight="1">
      <c r="A686" s="10" t="s">
        <v>1255</v>
      </c>
      <c r="B686" s="5">
        <v>2402</v>
      </c>
      <c r="C686" s="6" t="s">
        <v>1558</v>
      </c>
      <c r="D686" s="7">
        <v>2022484153</v>
      </c>
      <c r="E686" s="7">
        <v>2201010767</v>
      </c>
      <c r="F686" s="7" t="s">
        <v>1812</v>
      </c>
      <c r="G686" s="7" t="s">
        <v>13</v>
      </c>
      <c r="H686" s="6" t="s">
        <v>1559</v>
      </c>
      <c r="I686" s="6" t="s">
        <v>3177</v>
      </c>
      <c r="J686" s="6" t="s">
        <v>3178</v>
      </c>
      <c r="K686" s="6" t="s">
        <v>532</v>
      </c>
      <c r="L686" s="6" t="e">
        <v>#N/A</v>
      </c>
      <c r="M686" s="6" t="e">
        <v>#N/A</v>
      </c>
      <c r="N686" s="7" t="e">
        <v>#N/A</v>
      </c>
      <c r="O686" s="23" t="s">
        <v>3622</v>
      </c>
      <c r="P686" s="23" t="s">
        <v>3623</v>
      </c>
      <c r="R686" s="23" t="s">
        <v>3624</v>
      </c>
      <c r="S686" s="2" t="s">
        <v>3613</v>
      </c>
      <c r="T686" s="2" t="s">
        <v>3614</v>
      </c>
      <c r="U686" s="2" t="s">
        <v>3615</v>
      </c>
      <c r="V686" s="23" t="s">
        <v>3616</v>
      </c>
      <c r="W686" s="24" t="s">
        <v>3617</v>
      </c>
      <c r="X686" s="23" t="s">
        <v>3618</v>
      </c>
      <c r="Y686" s="23" t="s">
        <v>3620</v>
      </c>
      <c r="Z686" s="23" t="s">
        <v>3621</v>
      </c>
      <c r="AA686" s="23" t="s">
        <v>3625</v>
      </c>
      <c r="AB686" s="8"/>
      <c r="AC686" s="8"/>
      <c r="AD686" s="8"/>
    </row>
    <row r="687" spans="1:30" ht="15.75" customHeight="1">
      <c r="A687" s="10" t="s">
        <v>1255</v>
      </c>
      <c r="B687" s="5">
        <v>2402</v>
      </c>
      <c r="C687" s="6" t="s">
        <v>1519</v>
      </c>
      <c r="D687" s="7">
        <v>2022003650</v>
      </c>
      <c r="E687" s="7">
        <v>2201010806</v>
      </c>
      <c r="F687" s="7" t="s">
        <v>1812</v>
      </c>
      <c r="G687" s="7" t="s">
        <v>13</v>
      </c>
      <c r="H687" s="6" t="s">
        <v>1520</v>
      </c>
      <c r="I687" s="6" t="s">
        <v>3179</v>
      </c>
      <c r="J687" s="6" t="s">
        <v>3180</v>
      </c>
      <c r="K687" s="6" t="s">
        <v>532</v>
      </c>
      <c r="L687" s="6" t="e">
        <v>#N/A</v>
      </c>
      <c r="M687" s="6" t="e">
        <v>#N/A</v>
      </c>
      <c r="N687" s="7" t="e">
        <v>#N/A</v>
      </c>
      <c r="O687" s="23" t="s">
        <v>3622</v>
      </c>
      <c r="P687" s="23" t="s">
        <v>3623</v>
      </c>
      <c r="R687" s="23" t="s">
        <v>3624</v>
      </c>
      <c r="S687" s="2" t="s">
        <v>3613</v>
      </c>
      <c r="T687" s="2" t="s">
        <v>3614</v>
      </c>
      <c r="U687" s="2" t="s">
        <v>3615</v>
      </c>
      <c r="V687" s="23" t="s">
        <v>3616</v>
      </c>
      <c r="W687" s="24" t="s">
        <v>3617</v>
      </c>
      <c r="X687" s="23" t="s">
        <v>3618</v>
      </c>
      <c r="Y687" s="23" t="s">
        <v>3620</v>
      </c>
      <c r="Z687" s="23" t="s">
        <v>3621</v>
      </c>
      <c r="AA687" s="23" t="s">
        <v>3625</v>
      </c>
      <c r="AB687" s="8"/>
      <c r="AC687" s="8"/>
      <c r="AD687" s="8"/>
    </row>
    <row r="688" spans="1:30" ht="15.75" customHeight="1">
      <c r="A688" s="4" t="s">
        <v>1255</v>
      </c>
      <c r="B688" s="5">
        <v>2402</v>
      </c>
      <c r="C688" s="6" t="s">
        <v>1281</v>
      </c>
      <c r="D688" s="7">
        <v>2022005848</v>
      </c>
      <c r="E688" s="7">
        <v>2201010922</v>
      </c>
      <c r="F688" s="7" t="s">
        <v>1812</v>
      </c>
      <c r="G688" s="7" t="s">
        <v>13</v>
      </c>
      <c r="H688" s="6" t="s">
        <v>1282</v>
      </c>
      <c r="I688" s="6" t="s">
        <v>3181</v>
      </c>
      <c r="J688" s="6" t="s">
        <v>3182</v>
      </c>
      <c r="K688" s="6" t="s">
        <v>532</v>
      </c>
      <c r="L688" s="6" t="s">
        <v>21</v>
      </c>
      <c r="M688" s="6" t="s">
        <v>26</v>
      </c>
      <c r="N688" s="7" t="s">
        <v>18</v>
      </c>
      <c r="O688" s="23" t="s">
        <v>3622</v>
      </c>
      <c r="P688" s="23" t="s">
        <v>3623</v>
      </c>
      <c r="R688" s="23" t="s">
        <v>3624</v>
      </c>
      <c r="S688" s="2" t="s">
        <v>3613</v>
      </c>
      <c r="T688" s="2" t="s">
        <v>3614</v>
      </c>
      <c r="U688" s="2" t="s">
        <v>3615</v>
      </c>
      <c r="V688" s="23" t="s">
        <v>3616</v>
      </c>
      <c r="W688" s="24" t="s">
        <v>3617</v>
      </c>
      <c r="X688" s="23" t="s">
        <v>3618</v>
      </c>
      <c r="Y688" s="23" t="s">
        <v>3620</v>
      </c>
      <c r="Z688" s="23" t="s">
        <v>3621</v>
      </c>
      <c r="AA688" s="23" t="s">
        <v>3625</v>
      </c>
      <c r="AB688" s="8"/>
      <c r="AC688" s="8"/>
      <c r="AD688" s="8"/>
    </row>
    <row r="689" spans="1:30" ht="15.75" customHeight="1">
      <c r="A689" s="4" t="s">
        <v>1255</v>
      </c>
      <c r="B689" s="5">
        <v>2402</v>
      </c>
      <c r="C689" s="6" t="s">
        <v>1289</v>
      </c>
      <c r="D689" s="7">
        <v>2022007324</v>
      </c>
      <c r="E689" s="7">
        <v>2201010924</v>
      </c>
      <c r="F689" s="7" t="s">
        <v>1812</v>
      </c>
      <c r="G689" s="7" t="s">
        <v>13</v>
      </c>
      <c r="H689" s="6" t="s">
        <v>1290</v>
      </c>
      <c r="I689" s="6" t="s">
        <v>3183</v>
      </c>
      <c r="J689" s="6" t="s">
        <v>3184</v>
      </c>
      <c r="K689" s="6" t="s">
        <v>532</v>
      </c>
      <c r="L689" s="6" t="s">
        <v>26</v>
      </c>
      <c r="M689" s="6" t="s">
        <v>21</v>
      </c>
      <c r="N689" s="7" t="s">
        <v>18</v>
      </c>
      <c r="O689" s="23" t="s">
        <v>3622</v>
      </c>
      <c r="P689" s="23" t="s">
        <v>3623</v>
      </c>
      <c r="R689" s="23" t="s">
        <v>3624</v>
      </c>
      <c r="S689" s="2" t="s">
        <v>3613</v>
      </c>
      <c r="T689" s="2" t="s">
        <v>3614</v>
      </c>
      <c r="U689" s="2" t="s">
        <v>3615</v>
      </c>
      <c r="V689" s="23" t="s">
        <v>3616</v>
      </c>
      <c r="W689" s="24" t="s">
        <v>3617</v>
      </c>
      <c r="X689" s="23" t="s">
        <v>3618</v>
      </c>
      <c r="Y689" s="23" t="s">
        <v>3620</v>
      </c>
      <c r="Z689" s="23" t="s">
        <v>3621</v>
      </c>
      <c r="AA689" s="23" t="s">
        <v>3625</v>
      </c>
      <c r="AB689" s="8"/>
      <c r="AC689" s="8"/>
      <c r="AD689" s="8"/>
    </row>
    <row r="690" spans="1:30" ht="15.75" customHeight="1">
      <c r="A690" s="4" t="s">
        <v>1255</v>
      </c>
      <c r="B690" s="5">
        <v>2402</v>
      </c>
      <c r="C690" s="6" t="s">
        <v>1291</v>
      </c>
      <c r="D690" s="7">
        <v>2022007387</v>
      </c>
      <c r="E690" s="7">
        <v>2201010925</v>
      </c>
      <c r="F690" s="7" t="s">
        <v>1812</v>
      </c>
      <c r="G690" s="7" t="s">
        <v>13</v>
      </c>
      <c r="H690" s="6" t="s">
        <v>1292</v>
      </c>
      <c r="I690" s="6" t="s">
        <v>3185</v>
      </c>
      <c r="J690" s="6" t="s">
        <v>3186</v>
      </c>
      <c r="K690" s="6" t="s">
        <v>532</v>
      </c>
      <c r="L690" s="6" t="s">
        <v>26</v>
      </c>
      <c r="M690" s="6" t="s">
        <v>21</v>
      </c>
      <c r="N690" s="7" t="s">
        <v>18</v>
      </c>
      <c r="O690" s="23" t="s">
        <v>3622</v>
      </c>
      <c r="P690" s="23" t="s">
        <v>3623</v>
      </c>
      <c r="R690" s="23" t="s">
        <v>3624</v>
      </c>
      <c r="S690" s="2" t="s">
        <v>3613</v>
      </c>
      <c r="T690" s="2" t="s">
        <v>3614</v>
      </c>
      <c r="U690" s="2" t="s">
        <v>3615</v>
      </c>
      <c r="V690" s="23" t="s">
        <v>3616</v>
      </c>
      <c r="W690" s="24" t="s">
        <v>3617</v>
      </c>
      <c r="X690" s="23" t="s">
        <v>3618</v>
      </c>
      <c r="Y690" s="23" t="s">
        <v>3620</v>
      </c>
      <c r="Z690" s="23" t="s">
        <v>3621</v>
      </c>
      <c r="AA690" s="23" t="s">
        <v>3625</v>
      </c>
      <c r="AB690" s="9"/>
      <c r="AC690" s="9"/>
      <c r="AD690" s="9"/>
    </row>
    <row r="691" spans="1:30" ht="15.75" customHeight="1">
      <c r="A691" s="4" t="s">
        <v>1255</v>
      </c>
      <c r="B691" s="5">
        <v>2402</v>
      </c>
      <c r="C691" s="6" t="s">
        <v>1295</v>
      </c>
      <c r="D691" s="7">
        <v>2022311612</v>
      </c>
      <c r="E691" s="7">
        <v>2201010927</v>
      </c>
      <c r="F691" s="7" t="s">
        <v>1812</v>
      </c>
      <c r="G691" s="7" t="s">
        <v>13</v>
      </c>
      <c r="H691" s="6" t="s">
        <v>1296</v>
      </c>
      <c r="I691" s="6" t="s">
        <v>3187</v>
      </c>
      <c r="J691" s="6" t="s">
        <v>3188</v>
      </c>
      <c r="K691" s="6" t="s">
        <v>532</v>
      </c>
      <c r="L691" s="6" t="e">
        <v>#N/A</v>
      </c>
      <c r="M691" s="6" t="e">
        <v>#N/A</v>
      </c>
      <c r="N691" s="7" t="e">
        <v>#N/A</v>
      </c>
      <c r="O691" s="23" t="s">
        <v>3622</v>
      </c>
      <c r="P691" s="23" t="s">
        <v>3623</v>
      </c>
      <c r="R691" s="23" t="s">
        <v>3624</v>
      </c>
      <c r="S691" s="2" t="s">
        <v>3613</v>
      </c>
      <c r="T691" s="2" t="s">
        <v>3614</v>
      </c>
      <c r="U691" s="2" t="s">
        <v>3615</v>
      </c>
      <c r="V691" s="23" t="s">
        <v>3616</v>
      </c>
      <c r="W691" s="24" t="s">
        <v>3617</v>
      </c>
      <c r="X691" s="23" t="s">
        <v>3618</v>
      </c>
      <c r="Y691" s="23" t="s">
        <v>3620</v>
      </c>
      <c r="Z691" s="23" t="s">
        <v>3621</v>
      </c>
      <c r="AA691" s="23" t="s">
        <v>3625</v>
      </c>
      <c r="AB691" s="8"/>
      <c r="AC691" s="8"/>
      <c r="AD691" s="8"/>
    </row>
    <row r="692" spans="1:30" ht="15.75" customHeight="1">
      <c r="A692" s="4" t="s">
        <v>1255</v>
      </c>
      <c r="B692" s="5">
        <v>2402</v>
      </c>
      <c r="C692" s="6" t="s">
        <v>1339</v>
      </c>
      <c r="D692" s="7">
        <v>2022530497</v>
      </c>
      <c r="E692" s="7">
        <v>2201010932</v>
      </c>
      <c r="F692" s="7" t="s">
        <v>1812</v>
      </c>
      <c r="G692" s="7" t="s">
        <v>13</v>
      </c>
      <c r="H692" s="6" t="s">
        <v>1340</v>
      </c>
      <c r="I692" s="6" t="s">
        <v>3189</v>
      </c>
      <c r="J692" s="6" t="s">
        <v>3190</v>
      </c>
      <c r="K692" s="6" t="s">
        <v>532</v>
      </c>
      <c r="L692" s="6" t="s">
        <v>26</v>
      </c>
      <c r="M692" s="6" t="s">
        <v>16</v>
      </c>
      <c r="N692" s="7" t="s">
        <v>18</v>
      </c>
      <c r="O692" s="23" t="s">
        <v>3622</v>
      </c>
      <c r="P692" s="23" t="s">
        <v>3623</v>
      </c>
      <c r="R692" s="23" t="s">
        <v>3624</v>
      </c>
      <c r="S692" s="2" t="s">
        <v>3613</v>
      </c>
      <c r="T692" s="2" t="s">
        <v>3614</v>
      </c>
      <c r="U692" s="2" t="s">
        <v>3615</v>
      </c>
      <c r="V692" s="23" t="s">
        <v>3616</v>
      </c>
      <c r="W692" s="24" t="s">
        <v>3617</v>
      </c>
      <c r="X692" s="23" t="s">
        <v>3618</v>
      </c>
      <c r="Y692" s="23" t="s">
        <v>3620</v>
      </c>
      <c r="Z692" s="23" t="s">
        <v>3621</v>
      </c>
      <c r="AA692" s="23" t="s">
        <v>3625</v>
      </c>
    </row>
    <row r="693" spans="1:30" ht="15.75" customHeight="1">
      <c r="A693" s="4" t="s">
        <v>1255</v>
      </c>
      <c r="B693" s="5">
        <v>2402</v>
      </c>
      <c r="C693" s="6" t="s">
        <v>1116</v>
      </c>
      <c r="D693" s="7">
        <v>2022608097</v>
      </c>
      <c r="E693" s="7">
        <v>2201010935</v>
      </c>
      <c r="F693" s="7" t="s">
        <v>1812</v>
      </c>
      <c r="G693" s="7" t="s">
        <v>13</v>
      </c>
      <c r="H693" s="6" t="s">
        <v>1361</v>
      </c>
      <c r="I693" s="6" t="s">
        <v>3191</v>
      </c>
      <c r="J693" s="6" t="s">
        <v>3192</v>
      </c>
      <c r="K693" s="6" t="s">
        <v>532</v>
      </c>
      <c r="L693" s="6" t="s">
        <v>26</v>
      </c>
      <c r="M693" s="6" t="s">
        <v>26</v>
      </c>
      <c r="N693" s="7" t="s">
        <v>18</v>
      </c>
      <c r="O693" s="23" t="s">
        <v>3622</v>
      </c>
      <c r="P693" s="23" t="s">
        <v>3623</v>
      </c>
      <c r="R693" s="23" t="s">
        <v>3624</v>
      </c>
      <c r="S693" s="2" t="s">
        <v>3613</v>
      </c>
      <c r="T693" s="2" t="s">
        <v>3614</v>
      </c>
      <c r="U693" s="2" t="s">
        <v>3615</v>
      </c>
      <c r="V693" s="23" t="s">
        <v>3616</v>
      </c>
      <c r="W693" s="24" t="s">
        <v>3617</v>
      </c>
      <c r="X693" s="23" t="s">
        <v>3618</v>
      </c>
      <c r="Y693" s="23" t="s">
        <v>3620</v>
      </c>
      <c r="Z693" s="23" t="s">
        <v>3621</v>
      </c>
      <c r="AA693" s="23" t="s">
        <v>3625</v>
      </c>
      <c r="AB693" s="8"/>
      <c r="AC693" s="8"/>
      <c r="AD693" s="8"/>
    </row>
    <row r="694" spans="1:30" ht="15.75" customHeight="1">
      <c r="A694" s="4" t="s">
        <v>1255</v>
      </c>
      <c r="B694" s="5">
        <v>2402</v>
      </c>
      <c r="C694" s="6" t="s">
        <v>1692</v>
      </c>
      <c r="D694" s="7">
        <v>2021365266</v>
      </c>
      <c r="E694" s="7">
        <v>210101054</v>
      </c>
      <c r="F694" s="7" t="s">
        <v>1812</v>
      </c>
      <c r="G694" s="7" t="s">
        <v>13</v>
      </c>
      <c r="H694" s="6" t="s">
        <v>1693</v>
      </c>
      <c r="I694" s="6" t="s">
        <v>3193</v>
      </c>
      <c r="J694" s="6" t="s">
        <v>3194</v>
      </c>
      <c r="K694" s="6" t="s">
        <v>1276</v>
      </c>
      <c r="L694" s="6" t="e">
        <v>#N/A</v>
      </c>
      <c r="M694" s="6" t="e">
        <v>#N/A</v>
      </c>
      <c r="N694" s="7" t="e">
        <v>#N/A</v>
      </c>
      <c r="O694" s="23" t="s">
        <v>3626</v>
      </c>
      <c r="P694" s="23" t="s">
        <v>3627</v>
      </c>
      <c r="R694" s="23" t="s">
        <v>3628</v>
      </c>
      <c r="S694" s="2" t="s">
        <v>3613</v>
      </c>
      <c r="T694" s="2" t="s">
        <v>3614</v>
      </c>
      <c r="U694" s="2" t="s">
        <v>3615</v>
      </c>
      <c r="V694" s="23" t="s">
        <v>3616</v>
      </c>
      <c r="W694" s="24" t="s">
        <v>3617</v>
      </c>
      <c r="X694" s="23" t="s">
        <v>3618</v>
      </c>
      <c r="Y694" s="23" t="s">
        <v>3620</v>
      </c>
      <c r="Z694" s="23" t="s">
        <v>3621</v>
      </c>
      <c r="AA694" s="23" t="s">
        <v>3629</v>
      </c>
      <c r="AB694" s="8"/>
      <c r="AC694" s="8"/>
      <c r="AD694" s="8"/>
    </row>
    <row r="695" spans="1:30" ht="0.9" customHeight="1">
      <c r="A695" s="10" t="s">
        <v>1255</v>
      </c>
      <c r="B695" s="5">
        <v>2402</v>
      </c>
      <c r="C695" s="6" t="s">
        <v>1586</v>
      </c>
      <c r="D695" s="7">
        <v>2021424420</v>
      </c>
      <c r="E695" s="7">
        <v>210101151</v>
      </c>
      <c r="F695" s="7" t="s">
        <v>1812</v>
      </c>
      <c r="G695" s="7" t="s">
        <v>13</v>
      </c>
      <c r="H695" s="6" t="s">
        <v>1587</v>
      </c>
      <c r="I695" s="6" t="s">
        <v>3195</v>
      </c>
      <c r="J695" s="6" t="s">
        <v>3196</v>
      </c>
      <c r="K695" s="6" t="s">
        <v>1276</v>
      </c>
      <c r="L695" s="6" t="e">
        <v>#N/A</v>
      </c>
      <c r="M695" s="6" t="e">
        <v>#N/A</v>
      </c>
      <c r="N695" s="7" t="e">
        <v>#N/A</v>
      </c>
      <c r="O695" s="23" t="s">
        <v>3626</v>
      </c>
      <c r="P695" s="23" t="s">
        <v>3627</v>
      </c>
      <c r="R695" s="23" t="s">
        <v>3628</v>
      </c>
      <c r="S695" s="2" t="s">
        <v>3613</v>
      </c>
      <c r="T695" s="2" t="s">
        <v>3614</v>
      </c>
      <c r="U695" s="2" t="s">
        <v>3615</v>
      </c>
      <c r="V695" s="23" t="s">
        <v>3616</v>
      </c>
      <c r="W695" s="24" t="s">
        <v>3617</v>
      </c>
      <c r="X695" s="23" t="s">
        <v>3618</v>
      </c>
      <c r="Y695" s="23" t="s">
        <v>3620</v>
      </c>
      <c r="Z695" s="23" t="s">
        <v>3621</v>
      </c>
      <c r="AA695" s="23" t="s">
        <v>3629</v>
      </c>
      <c r="AB695" s="8"/>
      <c r="AC695" s="8"/>
      <c r="AD695" s="8"/>
    </row>
    <row r="696" spans="1:30" ht="15.65" customHeight="1">
      <c r="A696" s="4" t="s">
        <v>1255</v>
      </c>
      <c r="B696" s="5">
        <v>2402</v>
      </c>
      <c r="C696" s="6" t="s">
        <v>1694</v>
      </c>
      <c r="D696" s="7">
        <v>2021373851</v>
      </c>
      <c r="E696" s="7">
        <v>210101339</v>
      </c>
      <c r="F696" s="7" t="s">
        <v>1812</v>
      </c>
      <c r="G696" s="7" t="s">
        <v>13</v>
      </c>
      <c r="H696" s="6" t="s">
        <v>1695</v>
      </c>
      <c r="I696" s="6" t="s">
        <v>3197</v>
      </c>
      <c r="J696" s="6" t="s">
        <v>3198</v>
      </c>
      <c r="K696" s="6" t="s">
        <v>1276</v>
      </c>
      <c r="L696" s="6" t="e">
        <v>#N/A</v>
      </c>
      <c r="M696" s="6" t="e">
        <v>#N/A</v>
      </c>
      <c r="N696" s="7" t="e">
        <v>#N/A</v>
      </c>
      <c r="O696" s="23" t="s">
        <v>3626</v>
      </c>
      <c r="P696" s="23" t="s">
        <v>3627</v>
      </c>
      <c r="R696" s="23" t="s">
        <v>3628</v>
      </c>
      <c r="S696" s="2" t="s">
        <v>3613</v>
      </c>
      <c r="T696" s="2" t="s">
        <v>3614</v>
      </c>
      <c r="U696" s="2" t="s">
        <v>3615</v>
      </c>
      <c r="V696" s="23" t="s">
        <v>3616</v>
      </c>
      <c r="W696" s="24" t="s">
        <v>3617</v>
      </c>
      <c r="X696" s="23" t="s">
        <v>3618</v>
      </c>
      <c r="Y696" s="23" t="s">
        <v>3620</v>
      </c>
      <c r="Z696" s="23" t="s">
        <v>3621</v>
      </c>
      <c r="AA696" s="23" t="s">
        <v>3629</v>
      </c>
      <c r="AB696" s="8"/>
      <c r="AC696" s="8"/>
      <c r="AD696" s="8"/>
    </row>
    <row r="697" spans="1:30" ht="15.65" customHeight="1">
      <c r="A697" s="4" t="s">
        <v>1255</v>
      </c>
      <c r="B697" s="5">
        <v>2402</v>
      </c>
      <c r="C697" s="6" t="s">
        <v>1706</v>
      </c>
      <c r="D697" s="7">
        <v>2022005947</v>
      </c>
      <c r="E697" s="7">
        <v>2201010179</v>
      </c>
      <c r="F697" s="7" t="s">
        <v>1812</v>
      </c>
      <c r="G697" s="7" t="s">
        <v>13</v>
      </c>
      <c r="H697" s="6" t="s">
        <v>1707</v>
      </c>
      <c r="I697" s="6" t="s">
        <v>3199</v>
      </c>
      <c r="J697" s="6" t="s">
        <v>3200</v>
      </c>
      <c r="K697" s="6" t="s">
        <v>1276</v>
      </c>
      <c r="L697" s="6" t="e">
        <v>#N/A</v>
      </c>
      <c r="M697" s="6" t="e">
        <v>#N/A</v>
      </c>
      <c r="N697" s="7" t="e">
        <v>#N/A</v>
      </c>
      <c r="O697" s="23" t="s">
        <v>3626</v>
      </c>
      <c r="P697" s="23" t="s">
        <v>3627</v>
      </c>
      <c r="R697" s="23" t="s">
        <v>3628</v>
      </c>
      <c r="S697" s="2" t="s">
        <v>3613</v>
      </c>
      <c r="T697" s="2" t="s">
        <v>3614</v>
      </c>
      <c r="U697" s="2" t="s">
        <v>3615</v>
      </c>
      <c r="V697" s="23" t="s">
        <v>3616</v>
      </c>
      <c r="W697" s="24" t="s">
        <v>3617</v>
      </c>
      <c r="X697" s="23" t="s">
        <v>3618</v>
      </c>
      <c r="Y697" s="23" t="s">
        <v>3620</v>
      </c>
      <c r="Z697" s="23" t="s">
        <v>3621</v>
      </c>
      <c r="AA697" s="23" t="s">
        <v>3629</v>
      </c>
      <c r="AB697" s="8"/>
      <c r="AC697" s="8"/>
      <c r="AD697" s="8"/>
    </row>
    <row r="698" spans="1:30" ht="15.65" customHeight="1">
      <c r="A698" s="4" t="s">
        <v>1255</v>
      </c>
      <c r="B698" s="5">
        <v>2402</v>
      </c>
      <c r="C698" s="6" t="s">
        <v>1744</v>
      </c>
      <c r="D698" s="7">
        <v>2022404832</v>
      </c>
      <c r="E698" s="7">
        <v>2201010494</v>
      </c>
      <c r="F698" s="7" t="s">
        <v>1812</v>
      </c>
      <c r="G698" s="7" t="s">
        <v>13</v>
      </c>
      <c r="H698" s="6" t="s">
        <v>1745</v>
      </c>
      <c r="I698" s="6" t="s">
        <v>3201</v>
      </c>
      <c r="J698" s="6" t="s">
        <v>3202</v>
      </c>
      <c r="K698" s="6" t="s">
        <v>1276</v>
      </c>
      <c r="L698" s="6" t="e">
        <v>#N/A</v>
      </c>
      <c r="M698" s="6" t="e">
        <v>#N/A</v>
      </c>
      <c r="N698" s="7" t="e">
        <v>#N/A</v>
      </c>
      <c r="O698" s="23" t="s">
        <v>3626</v>
      </c>
      <c r="P698" s="23" t="s">
        <v>3627</v>
      </c>
      <c r="R698" s="23" t="s">
        <v>3628</v>
      </c>
      <c r="S698" s="2" t="s">
        <v>3613</v>
      </c>
      <c r="T698" s="2" t="s">
        <v>3614</v>
      </c>
      <c r="U698" s="2" t="s">
        <v>3615</v>
      </c>
      <c r="V698" s="23" t="s">
        <v>3616</v>
      </c>
      <c r="W698" s="24" t="s">
        <v>3617</v>
      </c>
      <c r="X698" s="23" t="s">
        <v>3618</v>
      </c>
      <c r="Y698" s="23" t="s">
        <v>3620</v>
      </c>
      <c r="Z698" s="23" t="s">
        <v>3621</v>
      </c>
      <c r="AA698" s="23" t="s">
        <v>3629</v>
      </c>
      <c r="AB698" s="8"/>
      <c r="AC698" s="8"/>
      <c r="AD698" s="8"/>
    </row>
    <row r="699" spans="1:30" ht="15.65" customHeight="1">
      <c r="A699" s="4" t="s">
        <v>1255</v>
      </c>
      <c r="B699" s="5">
        <v>2402</v>
      </c>
      <c r="C699" s="6" t="s">
        <v>1734</v>
      </c>
      <c r="D699" s="7">
        <v>2022312671</v>
      </c>
      <c r="E699" s="7">
        <v>2201010549</v>
      </c>
      <c r="F699" s="7" t="s">
        <v>1812</v>
      </c>
      <c r="G699" s="7" t="s">
        <v>13</v>
      </c>
      <c r="H699" s="6" t="s">
        <v>1735</v>
      </c>
      <c r="I699" s="6" t="s">
        <v>3203</v>
      </c>
      <c r="J699" s="6" t="s">
        <v>3204</v>
      </c>
      <c r="K699" s="6" t="s">
        <v>1276</v>
      </c>
      <c r="L699" s="6" t="e">
        <v>#N/A</v>
      </c>
      <c r="M699" s="6" t="e">
        <v>#N/A</v>
      </c>
      <c r="N699" s="7" t="e">
        <v>#N/A</v>
      </c>
      <c r="O699" s="23" t="s">
        <v>3626</v>
      </c>
      <c r="P699" s="23" t="s">
        <v>3627</v>
      </c>
      <c r="R699" s="23" t="s">
        <v>3628</v>
      </c>
      <c r="S699" s="2" t="s">
        <v>3613</v>
      </c>
      <c r="T699" s="2" t="s">
        <v>3614</v>
      </c>
      <c r="U699" s="2" t="s">
        <v>3615</v>
      </c>
      <c r="V699" s="23" t="s">
        <v>3616</v>
      </c>
      <c r="W699" s="24" t="s">
        <v>3617</v>
      </c>
      <c r="X699" s="23" t="s">
        <v>3618</v>
      </c>
      <c r="Y699" s="23" t="s">
        <v>3620</v>
      </c>
      <c r="Z699" s="23" t="s">
        <v>3621</v>
      </c>
      <c r="AA699" s="23" t="s">
        <v>3629</v>
      </c>
      <c r="AB699" s="8"/>
      <c r="AC699" s="8"/>
      <c r="AD699" s="8"/>
    </row>
    <row r="700" spans="1:30" ht="15.65" customHeight="1">
      <c r="A700" s="4" t="s">
        <v>1255</v>
      </c>
      <c r="B700" s="5">
        <v>2402</v>
      </c>
      <c r="C700" s="6" t="s">
        <v>1689</v>
      </c>
      <c r="D700" s="7">
        <v>2022003992</v>
      </c>
      <c r="E700" s="7">
        <v>2201010712</v>
      </c>
      <c r="F700" s="7" t="s">
        <v>1812</v>
      </c>
      <c r="G700" s="7" t="s">
        <v>13</v>
      </c>
      <c r="H700" s="6" t="s">
        <v>1690</v>
      </c>
      <c r="I700" s="6" t="s">
        <v>3205</v>
      </c>
      <c r="J700" s="6" t="s">
        <v>3206</v>
      </c>
      <c r="K700" s="6" t="s">
        <v>1276</v>
      </c>
      <c r="L700" s="6" t="s">
        <v>104</v>
      </c>
      <c r="M700" s="6" t="s">
        <v>139</v>
      </c>
      <c r="N700" s="7" t="s">
        <v>174</v>
      </c>
      <c r="O700" s="23" t="s">
        <v>3626</v>
      </c>
      <c r="P700" s="23" t="s">
        <v>3627</v>
      </c>
      <c r="R700" s="23" t="s">
        <v>3628</v>
      </c>
      <c r="S700" s="2" t="s">
        <v>3613</v>
      </c>
      <c r="T700" s="2" t="s">
        <v>3614</v>
      </c>
      <c r="U700" s="2" t="s">
        <v>3615</v>
      </c>
      <c r="V700" s="23" t="s">
        <v>3616</v>
      </c>
      <c r="W700" s="24" t="s">
        <v>3617</v>
      </c>
      <c r="X700" s="23" t="s">
        <v>3618</v>
      </c>
      <c r="Y700" s="23" t="s">
        <v>3620</v>
      </c>
      <c r="Z700" s="23" t="s">
        <v>3621</v>
      </c>
      <c r="AA700" s="23" t="s">
        <v>3629</v>
      </c>
      <c r="AB700" s="8"/>
      <c r="AC700" s="8"/>
      <c r="AD700" s="8"/>
    </row>
    <row r="701" spans="1:30" ht="15.65" customHeight="1">
      <c r="A701" s="4" t="s">
        <v>1255</v>
      </c>
      <c r="B701" s="5">
        <v>2402</v>
      </c>
      <c r="C701" s="6" t="s">
        <v>1749</v>
      </c>
      <c r="D701" s="7">
        <v>2022432344</v>
      </c>
      <c r="E701" s="7">
        <v>2201010946</v>
      </c>
      <c r="F701" s="7" t="s">
        <v>1812</v>
      </c>
      <c r="G701" s="7" t="s">
        <v>13</v>
      </c>
      <c r="H701" s="6" t="s">
        <v>1750</v>
      </c>
      <c r="I701" s="6" t="s">
        <v>3207</v>
      </c>
      <c r="J701" s="6" t="s">
        <v>3208</v>
      </c>
      <c r="K701" s="6" t="s">
        <v>1276</v>
      </c>
      <c r="L701" s="6" t="e">
        <v>#N/A</v>
      </c>
      <c r="M701" s="6" t="e">
        <v>#N/A</v>
      </c>
      <c r="N701" s="7" t="e">
        <v>#N/A</v>
      </c>
      <c r="O701" s="23" t="s">
        <v>3626</v>
      </c>
      <c r="P701" s="23" t="s">
        <v>3627</v>
      </c>
      <c r="R701" s="23" t="s">
        <v>3628</v>
      </c>
      <c r="S701" s="2" t="s">
        <v>3613</v>
      </c>
      <c r="T701" s="2" t="s">
        <v>3614</v>
      </c>
      <c r="U701" s="2" t="s">
        <v>3615</v>
      </c>
      <c r="V701" s="23" t="s">
        <v>3616</v>
      </c>
      <c r="W701" s="24" t="s">
        <v>3617</v>
      </c>
      <c r="X701" s="23" t="s">
        <v>3618</v>
      </c>
      <c r="Y701" s="23" t="s">
        <v>3620</v>
      </c>
      <c r="Z701" s="23" t="s">
        <v>3621</v>
      </c>
      <c r="AA701" s="23" t="s">
        <v>3629</v>
      </c>
      <c r="AB701" s="8"/>
      <c r="AC701" s="8"/>
      <c r="AD701" s="8"/>
    </row>
    <row r="702" spans="1:30" ht="15.65" customHeight="1">
      <c r="A702" s="4" t="s">
        <v>1255</v>
      </c>
      <c r="B702" s="5">
        <v>2402</v>
      </c>
      <c r="C702" s="6" t="s">
        <v>1793</v>
      </c>
      <c r="D702" s="7">
        <v>2022826376</v>
      </c>
      <c r="E702" s="7">
        <v>2201010064</v>
      </c>
      <c r="F702" s="7" t="s">
        <v>1812</v>
      </c>
      <c r="G702" s="7" t="s">
        <v>13</v>
      </c>
      <c r="H702" s="6" t="s">
        <v>1794</v>
      </c>
      <c r="I702" s="6" t="s">
        <v>3209</v>
      </c>
      <c r="J702" s="6" t="s">
        <v>3210</v>
      </c>
      <c r="K702" s="6" t="s">
        <v>1396</v>
      </c>
      <c r="L702" s="6" t="s">
        <v>104</v>
      </c>
      <c r="M702" s="6" t="s">
        <v>21</v>
      </c>
      <c r="N702" s="7" t="s">
        <v>174</v>
      </c>
      <c r="O702" s="23" t="s">
        <v>3630</v>
      </c>
      <c r="P702" s="25" t="s">
        <v>3631</v>
      </c>
      <c r="R702" s="23" t="s">
        <v>3632</v>
      </c>
      <c r="S702" s="2" t="s">
        <v>3613</v>
      </c>
      <c r="T702" s="2" t="s">
        <v>3614</v>
      </c>
      <c r="U702" s="2" t="s">
        <v>3615</v>
      </c>
      <c r="V702" s="23" t="s">
        <v>3616</v>
      </c>
      <c r="W702" s="24" t="s">
        <v>3617</v>
      </c>
      <c r="X702" s="23" t="s">
        <v>3618</v>
      </c>
      <c r="Y702" s="23" t="s">
        <v>3620</v>
      </c>
      <c r="Z702" s="23" t="s">
        <v>3621</v>
      </c>
      <c r="AA702" s="23" t="s">
        <v>3633</v>
      </c>
      <c r="AB702" s="8"/>
      <c r="AC702" s="8"/>
      <c r="AD702" s="8"/>
    </row>
    <row r="703" spans="1:30" ht="15.75" customHeight="1">
      <c r="A703" s="4" t="s">
        <v>1255</v>
      </c>
      <c r="B703" s="5">
        <v>2402</v>
      </c>
      <c r="C703" s="6" t="s">
        <v>1718</v>
      </c>
      <c r="D703" s="7">
        <v>2022007474</v>
      </c>
      <c r="E703" s="7">
        <v>2201010960</v>
      </c>
      <c r="F703" s="7" t="s">
        <v>1812</v>
      </c>
      <c r="G703" s="7" t="s">
        <v>13</v>
      </c>
      <c r="H703" s="6" t="s">
        <v>1719</v>
      </c>
      <c r="I703" s="6" t="s">
        <v>3211</v>
      </c>
      <c r="J703" s="6" t="s">
        <v>3212</v>
      </c>
      <c r="K703" s="6" t="s">
        <v>1396</v>
      </c>
      <c r="L703" s="6" t="s">
        <v>104</v>
      </c>
      <c r="M703" s="6" t="s">
        <v>16</v>
      </c>
      <c r="N703" s="7" t="s">
        <v>18</v>
      </c>
      <c r="O703" s="23" t="s">
        <v>3630</v>
      </c>
      <c r="P703" s="25" t="s">
        <v>3631</v>
      </c>
      <c r="R703" s="23" t="s">
        <v>3632</v>
      </c>
      <c r="S703" s="2" t="s">
        <v>3613</v>
      </c>
      <c r="T703" s="2" t="s">
        <v>3614</v>
      </c>
      <c r="U703" s="2" t="s">
        <v>3615</v>
      </c>
      <c r="V703" s="23" t="s">
        <v>3616</v>
      </c>
      <c r="W703" s="24" t="s">
        <v>3617</v>
      </c>
      <c r="X703" s="23" t="s">
        <v>3618</v>
      </c>
      <c r="Y703" s="23" t="s">
        <v>3620</v>
      </c>
      <c r="Z703" s="23" t="s">
        <v>3621</v>
      </c>
      <c r="AA703" s="23" t="s">
        <v>3633</v>
      </c>
      <c r="AB703" s="8"/>
      <c r="AC703" s="8"/>
      <c r="AD703" s="8"/>
    </row>
    <row r="704" spans="1:30" ht="15.75" customHeight="1">
      <c r="A704" s="4" t="s">
        <v>1255</v>
      </c>
      <c r="B704" s="5">
        <v>2402</v>
      </c>
      <c r="C704" s="6" t="s">
        <v>1722</v>
      </c>
      <c r="D704" s="7">
        <v>2022008078</v>
      </c>
      <c r="E704" s="7">
        <v>2201010967</v>
      </c>
      <c r="F704" s="7" t="s">
        <v>1812</v>
      </c>
      <c r="G704" s="7" t="s">
        <v>13</v>
      </c>
      <c r="H704" s="6" t="s">
        <v>1723</v>
      </c>
      <c r="I704" s="6" t="s">
        <v>3213</v>
      </c>
      <c r="J704" s="6" t="s">
        <v>3214</v>
      </c>
      <c r="K704" s="6" t="s">
        <v>1396</v>
      </c>
      <c r="L704" s="6" t="s">
        <v>16</v>
      </c>
      <c r="M704" s="6" t="s">
        <v>149</v>
      </c>
      <c r="N704" s="7" t="s">
        <v>18</v>
      </c>
      <c r="O704" s="23" t="s">
        <v>3630</v>
      </c>
      <c r="P704" s="25" t="s">
        <v>3631</v>
      </c>
      <c r="R704" s="23" t="s">
        <v>3632</v>
      </c>
      <c r="S704" s="2" t="s">
        <v>3613</v>
      </c>
      <c r="T704" s="2" t="s">
        <v>3614</v>
      </c>
      <c r="U704" s="2" t="s">
        <v>3615</v>
      </c>
      <c r="V704" s="23" t="s">
        <v>3616</v>
      </c>
      <c r="W704" s="24" t="s">
        <v>3617</v>
      </c>
      <c r="X704" s="23" t="s">
        <v>3618</v>
      </c>
      <c r="Y704" s="23" t="s">
        <v>3620</v>
      </c>
      <c r="Z704" s="23" t="s">
        <v>3621</v>
      </c>
      <c r="AA704" s="23" t="s">
        <v>3633</v>
      </c>
      <c r="AB704" s="8"/>
      <c r="AC704" s="8"/>
      <c r="AD704" s="8"/>
    </row>
    <row r="705" spans="1:30" ht="15.75" customHeight="1">
      <c r="A705" s="4" t="s">
        <v>1255</v>
      </c>
      <c r="B705" s="5">
        <v>2402</v>
      </c>
      <c r="C705" s="6" t="s">
        <v>1724</v>
      </c>
      <c r="D705" s="7">
        <v>2022008085</v>
      </c>
      <c r="E705" s="7">
        <v>2201010968</v>
      </c>
      <c r="F705" s="7" t="s">
        <v>1812</v>
      </c>
      <c r="G705" s="7" t="s">
        <v>13</v>
      </c>
      <c r="H705" s="6" t="s">
        <v>1725</v>
      </c>
      <c r="I705" s="6" t="s">
        <v>3215</v>
      </c>
      <c r="J705" s="6" t="s">
        <v>3216</v>
      </c>
      <c r="K705" s="6" t="s">
        <v>1396</v>
      </c>
      <c r="L705" s="6" t="s">
        <v>21</v>
      </c>
      <c r="M705" s="6" t="s">
        <v>104</v>
      </c>
      <c r="N705" s="7" t="s">
        <v>18</v>
      </c>
      <c r="O705" s="23" t="s">
        <v>3630</v>
      </c>
      <c r="P705" s="25" t="s">
        <v>3631</v>
      </c>
      <c r="R705" s="23" t="s">
        <v>3632</v>
      </c>
      <c r="S705" s="2" t="s">
        <v>3613</v>
      </c>
      <c r="T705" s="2" t="s">
        <v>3614</v>
      </c>
      <c r="U705" s="2" t="s">
        <v>3615</v>
      </c>
      <c r="V705" s="23" t="s">
        <v>3616</v>
      </c>
      <c r="W705" s="24" t="s">
        <v>3617</v>
      </c>
      <c r="X705" s="23" t="s">
        <v>3618</v>
      </c>
      <c r="Y705" s="23" t="s">
        <v>3620</v>
      </c>
      <c r="Z705" s="23" t="s">
        <v>3621</v>
      </c>
      <c r="AA705" s="23" t="s">
        <v>3633</v>
      </c>
      <c r="AB705" s="8"/>
      <c r="AC705" s="8"/>
      <c r="AD705" s="8"/>
    </row>
    <row r="706" spans="1:30" ht="15.75" customHeight="1">
      <c r="A706" s="4" t="s">
        <v>1255</v>
      </c>
      <c r="B706" s="5">
        <v>2402</v>
      </c>
      <c r="C706" s="6" t="s">
        <v>1726</v>
      </c>
      <c r="D706" s="7">
        <v>2022008217</v>
      </c>
      <c r="E706" s="7">
        <v>2201010971</v>
      </c>
      <c r="F706" s="7" t="s">
        <v>1812</v>
      </c>
      <c r="G706" s="7" t="s">
        <v>13</v>
      </c>
      <c r="H706" s="6" t="s">
        <v>1727</v>
      </c>
      <c r="I706" s="6" t="s">
        <v>3217</v>
      </c>
      <c r="J706" s="6" t="s">
        <v>3218</v>
      </c>
      <c r="K706" s="6" t="s">
        <v>1396</v>
      </c>
      <c r="L706" s="6" t="s">
        <v>21</v>
      </c>
      <c r="M706" s="6" t="s">
        <v>104</v>
      </c>
      <c r="N706" s="7" t="s">
        <v>18</v>
      </c>
      <c r="O706" s="23" t="s">
        <v>3630</v>
      </c>
      <c r="P706" s="25" t="s">
        <v>3631</v>
      </c>
      <c r="R706" s="23" t="s">
        <v>3632</v>
      </c>
      <c r="S706" s="2" t="s">
        <v>3613</v>
      </c>
      <c r="T706" s="2" t="s">
        <v>3614</v>
      </c>
      <c r="U706" s="2" t="s">
        <v>3615</v>
      </c>
      <c r="V706" s="23" t="s">
        <v>3616</v>
      </c>
      <c r="W706" s="24" t="s">
        <v>3617</v>
      </c>
      <c r="X706" s="23" t="s">
        <v>3618</v>
      </c>
      <c r="Y706" s="23" t="s">
        <v>3620</v>
      </c>
      <c r="Z706" s="23" t="s">
        <v>3621</v>
      </c>
      <c r="AA706" s="23" t="s">
        <v>3633</v>
      </c>
      <c r="AB706" s="8"/>
      <c r="AC706" s="8"/>
      <c r="AD706" s="8"/>
    </row>
    <row r="707" spans="1:30" ht="15.75" customHeight="1">
      <c r="A707" s="4" t="s">
        <v>1255</v>
      </c>
      <c r="B707" s="5">
        <v>2402</v>
      </c>
      <c r="C707" s="6" t="s">
        <v>1728</v>
      </c>
      <c r="D707" s="7">
        <v>2022008317</v>
      </c>
      <c r="E707" s="7">
        <v>2201010974</v>
      </c>
      <c r="F707" s="7" t="s">
        <v>1812</v>
      </c>
      <c r="G707" s="7" t="s">
        <v>13</v>
      </c>
      <c r="H707" s="6" t="s">
        <v>1729</v>
      </c>
      <c r="I707" s="6" t="s">
        <v>3219</v>
      </c>
      <c r="J707" s="6" t="s">
        <v>3220</v>
      </c>
      <c r="K707" s="6" t="s">
        <v>1396</v>
      </c>
      <c r="L707" s="6" t="s">
        <v>149</v>
      </c>
      <c r="M707" s="6" t="s">
        <v>21</v>
      </c>
      <c r="N707" s="7" t="s">
        <v>18</v>
      </c>
      <c r="O707" s="23" t="s">
        <v>3630</v>
      </c>
      <c r="P707" s="25" t="s">
        <v>3631</v>
      </c>
      <c r="R707" s="23" t="s">
        <v>3632</v>
      </c>
      <c r="S707" s="2" t="s">
        <v>3613</v>
      </c>
      <c r="T707" s="2" t="s">
        <v>3614</v>
      </c>
      <c r="U707" s="2" t="s">
        <v>3615</v>
      </c>
      <c r="V707" s="23" t="s">
        <v>3616</v>
      </c>
      <c r="W707" s="24" t="s">
        <v>3617</v>
      </c>
      <c r="X707" s="23" t="s">
        <v>3618</v>
      </c>
      <c r="Y707" s="23" t="s">
        <v>3620</v>
      </c>
      <c r="Z707" s="23" t="s">
        <v>3621</v>
      </c>
      <c r="AA707" s="23" t="s">
        <v>3633</v>
      </c>
      <c r="AB707" s="8"/>
      <c r="AC707" s="8"/>
      <c r="AD707" s="8"/>
    </row>
    <row r="708" spans="1:30" ht="15.75" customHeight="1">
      <c r="A708" s="4" t="s">
        <v>1255</v>
      </c>
      <c r="B708" s="5">
        <v>2402</v>
      </c>
      <c r="C708" s="6" t="s">
        <v>1730</v>
      </c>
      <c r="D708" s="7">
        <v>2022008331</v>
      </c>
      <c r="E708" s="7">
        <v>2201010975</v>
      </c>
      <c r="F708" s="7" t="s">
        <v>1812</v>
      </c>
      <c r="G708" s="7" t="s">
        <v>13</v>
      </c>
      <c r="H708" s="6" t="s">
        <v>1731</v>
      </c>
      <c r="I708" s="6" t="s">
        <v>3221</v>
      </c>
      <c r="J708" s="6" t="s">
        <v>3222</v>
      </c>
      <c r="K708" s="6" t="s">
        <v>1396</v>
      </c>
      <c r="L708" s="6" t="s">
        <v>21</v>
      </c>
      <c r="M708" s="6" t="s">
        <v>117</v>
      </c>
      <c r="N708" s="7" t="s">
        <v>18</v>
      </c>
      <c r="O708" s="23" t="s">
        <v>3630</v>
      </c>
      <c r="P708" s="25" t="s">
        <v>3631</v>
      </c>
      <c r="R708" s="23" t="s">
        <v>3632</v>
      </c>
      <c r="S708" s="2" t="s">
        <v>3613</v>
      </c>
      <c r="T708" s="2" t="s">
        <v>3614</v>
      </c>
      <c r="U708" s="2" t="s">
        <v>3615</v>
      </c>
      <c r="V708" s="23" t="s">
        <v>3616</v>
      </c>
      <c r="W708" s="24" t="s">
        <v>3617</v>
      </c>
      <c r="X708" s="23" t="s">
        <v>3618</v>
      </c>
      <c r="Y708" s="23" t="s">
        <v>3620</v>
      </c>
      <c r="Z708" s="23" t="s">
        <v>3621</v>
      </c>
      <c r="AA708" s="23" t="s">
        <v>3633</v>
      </c>
      <c r="AB708" s="8"/>
      <c r="AC708" s="8"/>
      <c r="AD708" s="8"/>
    </row>
    <row r="709" spans="1:30" ht="15.75" customHeight="1">
      <c r="A709" s="4" t="s">
        <v>1255</v>
      </c>
      <c r="B709" s="5">
        <v>2402</v>
      </c>
      <c r="C709" s="6" t="s">
        <v>1789</v>
      </c>
      <c r="D709" s="7">
        <v>2022622988</v>
      </c>
      <c r="E709" s="7">
        <v>2201010977</v>
      </c>
      <c r="F709" s="7" t="s">
        <v>1812</v>
      </c>
      <c r="G709" s="7" t="s">
        <v>13</v>
      </c>
      <c r="H709" s="6" t="s">
        <v>1790</v>
      </c>
      <c r="I709" s="6" t="s">
        <v>3223</v>
      </c>
      <c r="J709" s="6" t="s">
        <v>3224</v>
      </c>
      <c r="K709" s="6" t="s">
        <v>1396</v>
      </c>
      <c r="L709" s="6" t="s">
        <v>104</v>
      </c>
      <c r="M709" s="6" t="s">
        <v>49</v>
      </c>
      <c r="N709" s="7" t="s">
        <v>18</v>
      </c>
      <c r="O709" s="23" t="s">
        <v>3630</v>
      </c>
      <c r="P709" s="25" t="s">
        <v>3631</v>
      </c>
      <c r="R709" s="23" t="s">
        <v>3632</v>
      </c>
      <c r="S709" s="2" t="s">
        <v>3613</v>
      </c>
      <c r="T709" s="2" t="s">
        <v>3614</v>
      </c>
      <c r="U709" s="2" t="s">
        <v>3615</v>
      </c>
      <c r="V709" s="23" t="s">
        <v>3616</v>
      </c>
      <c r="W709" s="24" t="s">
        <v>3617</v>
      </c>
      <c r="X709" s="23" t="s">
        <v>3618</v>
      </c>
      <c r="Y709" s="23" t="s">
        <v>3620</v>
      </c>
      <c r="Z709" s="23" t="s">
        <v>3621</v>
      </c>
      <c r="AA709" s="23" t="s">
        <v>3633</v>
      </c>
      <c r="AB709" s="8"/>
      <c r="AC709" s="8"/>
      <c r="AD709" s="8"/>
    </row>
    <row r="710" spans="1:30" ht="15.75" customHeight="1">
      <c r="A710" s="4" t="s">
        <v>1255</v>
      </c>
      <c r="B710" s="5">
        <v>2402</v>
      </c>
      <c r="C710" s="6" t="s">
        <v>1370</v>
      </c>
      <c r="D710" s="7">
        <v>2022513156</v>
      </c>
      <c r="E710" s="7">
        <v>2201010699</v>
      </c>
      <c r="F710" s="7" t="s">
        <v>1812</v>
      </c>
      <c r="G710" s="7" t="s">
        <v>13</v>
      </c>
      <c r="H710" s="6" t="s">
        <v>1371</v>
      </c>
      <c r="I710" s="6" t="s">
        <v>3225</v>
      </c>
      <c r="J710" s="6" t="s">
        <v>3226</v>
      </c>
      <c r="K710" s="6" t="s">
        <v>1372</v>
      </c>
      <c r="L710" s="6" t="s">
        <v>49</v>
      </c>
      <c r="M710" s="6" t="s">
        <v>26</v>
      </c>
      <c r="N710" s="7" t="s">
        <v>18</v>
      </c>
      <c r="O710" s="23" t="s">
        <v>3640</v>
      </c>
      <c r="P710" s="23" t="s">
        <v>3641</v>
      </c>
      <c r="Q710" s="23" t="s">
        <v>3642</v>
      </c>
      <c r="R710" s="23" t="s">
        <v>3612</v>
      </c>
      <c r="S710" s="2" t="s">
        <v>3613</v>
      </c>
      <c r="T710" s="2" t="s">
        <v>3614</v>
      </c>
      <c r="U710" s="2" t="s">
        <v>3615</v>
      </c>
      <c r="V710" s="23" t="s">
        <v>3616</v>
      </c>
      <c r="W710" s="24" t="s">
        <v>3617</v>
      </c>
      <c r="X710" s="23" t="s">
        <v>3618</v>
      </c>
      <c r="Y710" s="23" t="s">
        <v>3620</v>
      </c>
      <c r="Z710" s="23" t="s">
        <v>3621</v>
      </c>
      <c r="AA710" s="23" t="s">
        <v>3643</v>
      </c>
      <c r="AB710" s="8"/>
      <c r="AC710" s="8"/>
      <c r="AD710" s="8"/>
    </row>
    <row r="711" spans="1:30" ht="15.75" customHeight="1">
      <c r="A711" s="14" t="s">
        <v>782</v>
      </c>
      <c r="B711" s="5">
        <v>2402</v>
      </c>
      <c r="C711" s="6" t="s">
        <v>1451</v>
      </c>
      <c r="D711" s="7">
        <v>2022343833</v>
      </c>
      <c r="E711" s="7">
        <v>2201010129</v>
      </c>
      <c r="F711" s="7" t="s">
        <v>1810</v>
      </c>
      <c r="G711" s="7" t="s">
        <v>13</v>
      </c>
      <c r="H711" s="6" t="s">
        <v>1452</v>
      </c>
      <c r="I711" s="6" t="s">
        <v>3227</v>
      </c>
      <c r="J711" s="6" t="s">
        <v>3228</v>
      </c>
      <c r="K711" s="6" t="s">
        <v>1401</v>
      </c>
      <c r="L711" s="6" t="s">
        <v>149</v>
      </c>
      <c r="M711" s="6" t="s">
        <v>17</v>
      </c>
      <c r="N711" s="7" t="s">
        <v>18</v>
      </c>
      <c r="O711" s="25" t="s">
        <v>3638</v>
      </c>
      <c r="P711" s="25" t="s">
        <v>3639</v>
      </c>
      <c r="R711" s="23" t="s">
        <v>3612</v>
      </c>
      <c r="S711" s="2" t="s">
        <v>3613</v>
      </c>
      <c r="T711" s="2" t="s">
        <v>3614</v>
      </c>
      <c r="U711" s="2" t="s">
        <v>3615</v>
      </c>
      <c r="V711" s="23" t="s">
        <v>3616</v>
      </c>
      <c r="W711" s="24" t="s">
        <v>3617</v>
      </c>
      <c r="X711" s="23" t="s">
        <v>3618</v>
      </c>
      <c r="Y711" s="23" t="s">
        <v>3620</v>
      </c>
      <c r="Z711" s="23" t="s">
        <v>3621</v>
      </c>
      <c r="AA711" s="8"/>
      <c r="AB711" s="8"/>
      <c r="AC711" s="8"/>
      <c r="AD711" s="8"/>
    </row>
    <row r="712" spans="1:30" ht="15.75" customHeight="1">
      <c r="A712" s="14" t="s">
        <v>782</v>
      </c>
      <c r="B712" s="5">
        <v>2402</v>
      </c>
      <c r="C712" s="6" t="s">
        <v>1488</v>
      </c>
      <c r="D712" s="7">
        <v>2022601278</v>
      </c>
      <c r="E712" s="7">
        <v>2201010921</v>
      </c>
      <c r="F712" s="7" t="s">
        <v>1810</v>
      </c>
      <c r="G712" s="7" t="s">
        <v>13</v>
      </c>
      <c r="H712" s="6" t="s">
        <v>1489</v>
      </c>
      <c r="I712" s="6" t="s">
        <v>3229</v>
      </c>
      <c r="J712" s="6" t="s">
        <v>3230</v>
      </c>
      <c r="K712" s="6" t="s">
        <v>1401</v>
      </c>
      <c r="L712" s="6" t="s">
        <v>149</v>
      </c>
      <c r="M712" s="6" t="s">
        <v>49</v>
      </c>
      <c r="N712" s="7" t="s">
        <v>18</v>
      </c>
      <c r="O712" s="25" t="s">
        <v>3638</v>
      </c>
      <c r="P712" s="25" t="s">
        <v>3639</v>
      </c>
      <c r="R712" s="23" t="s">
        <v>3612</v>
      </c>
      <c r="S712" s="2" t="s">
        <v>3613</v>
      </c>
      <c r="T712" s="2" t="s">
        <v>3614</v>
      </c>
      <c r="U712" s="2" t="s">
        <v>3615</v>
      </c>
      <c r="V712" s="23" t="s">
        <v>3616</v>
      </c>
      <c r="W712" s="24" t="s">
        <v>3617</v>
      </c>
      <c r="X712" s="23" t="s">
        <v>3618</v>
      </c>
      <c r="Y712" s="23" t="s">
        <v>3620</v>
      </c>
      <c r="Z712" s="23" t="s">
        <v>3621</v>
      </c>
      <c r="AA712" s="8"/>
      <c r="AB712" s="8"/>
      <c r="AC712" s="8"/>
      <c r="AD712" s="8"/>
    </row>
    <row r="713" spans="1:30" ht="15.75" customHeight="1">
      <c r="A713" s="13" t="s">
        <v>782</v>
      </c>
      <c r="B713" s="5">
        <v>2402</v>
      </c>
      <c r="C713" s="6" t="s">
        <v>1377</v>
      </c>
      <c r="D713" s="7">
        <v>2021476666</v>
      </c>
      <c r="E713" s="7">
        <v>210101001</v>
      </c>
      <c r="F713" s="7" t="s">
        <v>1810</v>
      </c>
      <c r="G713" s="7" t="s">
        <v>13</v>
      </c>
      <c r="H713" s="11" t="s">
        <v>1378</v>
      </c>
      <c r="I713" s="6" t="s">
        <v>3231</v>
      </c>
      <c r="J713" s="6" t="s">
        <v>3232</v>
      </c>
      <c r="K713" s="6" t="s">
        <v>532</v>
      </c>
      <c r="L713" s="6" t="s">
        <v>21</v>
      </c>
      <c r="M713" s="6" t="s">
        <v>26</v>
      </c>
      <c r="N713" s="7" t="s">
        <v>18</v>
      </c>
      <c r="O713" s="23" t="s">
        <v>3622</v>
      </c>
      <c r="P713" s="23" t="s">
        <v>3623</v>
      </c>
      <c r="R713" s="23" t="s">
        <v>3624</v>
      </c>
      <c r="S713" s="2" t="s">
        <v>3613</v>
      </c>
      <c r="T713" s="2" t="s">
        <v>3614</v>
      </c>
      <c r="U713" s="2" t="s">
        <v>3615</v>
      </c>
      <c r="V713" s="23" t="s">
        <v>3616</v>
      </c>
      <c r="W713" s="24" t="s">
        <v>3617</v>
      </c>
      <c r="X713" s="23" t="s">
        <v>3618</v>
      </c>
      <c r="Y713" s="23" t="s">
        <v>3620</v>
      </c>
      <c r="Z713" s="23" t="s">
        <v>3621</v>
      </c>
      <c r="AA713" s="23" t="s">
        <v>3625</v>
      </c>
      <c r="AB713" s="8"/>
      <c r="AC713" s="8"/>
      <c r="AD713" s="8"/>
    </row>
    <row r="714" spans="1:30" ht="15.75" customHeight="1">
      <c r="A714" s="13" t="s">
        <v>782</v>
      </c>
      <c r="B714" s="5">
        <v>2402</v>
      </c>
      <c r="C714" s="6" t="s">
        <v>783</v>
      </c>
      <c r="D714" s="7">
        <v>2021406215</v>
      </c>
      <c r="E714" s="7">
        <v>210101266</v>
      </c>
      <c r="F714" s="7" t="s">
        <v>1810</v>
      </c>
      <c r="G714" s="7" t="s">
        <v>13</v>
      </c>
      <c r="H714" s="6" t="s">
        <v>784</v>
      </c>
      <c r="I714" s="6" t="s">
        <v>3233</v>
      </c>
      <c r="J714" s="6" t="s">
        <v>3234</v>
      </c>
      <c r="K714" s="6" t="s">
        <v>532</v>
      </c>
      <c r="L714" s="6" t="s">
        <v>149</v>
      </c>
      <c r="M714" s="6" t="s">
        <v>149</v>
      </c>
      <c r="N714" s="7" t="s">
        <v>174</v>
      </c>
      <c r="O714" s="23" t="s">
        <v>3622</v>
      </c>
      <c r="P714" s="23" t="s">
        <v>3623</v>
      </c>
      <c r="R714" s="23" t="s">
        <v>3624</v>
      </c>
      <c r="S714" s="2" t="s">
        <v>3613</v>
      </c>
      <c r="T714" s="2" t="s">
        <v>3614</v>
      </c>
      <c r="U714" s="2" t="s">
        <v>3615</v>
      </c>
      <c r="V714" s="23" t="s">
        <v>3616</v>
      </c>
      <c r="W714" s="24" t="s">
        <v>3617</v>
      </c>
      <c r="X714" s="23" t="s">
        <v>3618</v>
      </c>
      <c r="Y714" s="23" t="s">
        <v>3620</v>
      </c>
      <c r="Z714" s="23" t="s">
        <v>3621</v>
      </c>
      <c r="AA714" s="23" t="s">
        <v>3625</v>
      </c>
      <c r="AB714" s="8"/>
      <c r="AC714" s="8"/>
      <c r="AD714" s="8"/>
    </row>
    <row r="715" spans="1:30" ht="15.75" customHeight="1">
      <c r="A715" s="13" t="s">
        <v>782</v>
      </c>
      <c r="B715" s="5">
        <v>2402</v>
      </c>
      <c r="C715" s="6" t="s">
        <v>824</v>
      </c>
      <c r="D715" s="7">
        <v>2021826104</v>
      </c>
      <c r="E715" s="7">
        <v>210101272</v>
      </c>
      <c r="F715" s="7" t="s">
        <v>1810</v>
      </c>
      <c r="G715" s="7" t="s">
        <v>13</v>
      </c>
      <c r="H715" s="6" t="s">
        <v>825</v>
      </c>
      <c r="I715" s="6" t="s">
        <v>3235</v>
      </c>
      <c r="J715" s="6" t="s">
        <v>3236</v>
      </c>
      <c r="K715" s="6" t="s">
        <v>532</v>
      </c>
      <c r="L715" s="6" t="s">
        <v>21</v>
      </c>
      <c r="M715" s="6" t="s">
        <v>139</v>
      </c>
      <c r="N715" s="7" t="s">
        <v>18</v>
      </c>
      <c r="O715" s="23" t="s">
        <v>3622</v>
      </c>
      <c r="P715" s="23" t="s">
        <v>3623</v>
      </c>
      <c r="R715" s="23" t="s">
        <v>3624</v>
      </c>
      <c r="S715" s="2" t="s">
        <v>3613</v>
      </c>
      <c r="T715" s="2" t="s">
        <v>3614</v>
      </c>
      <c r="U715" s="2" t="s">
        <v>3615</v>
      </c>
      <c r="V715" s="23" t="s">
        <v>3616</v>
      </c>
      <c r="W715" s="24" t="s">
        <v>3617</v>
      </c>
      <c r="X715" s="23" t="s">
        <v>3618</v>
      </c>
      <c r="Y715" s="23" t="s">
        <v>3620</v>
      </c>
      <c r="Z715" s="23" t="s">
        <v>3621</v>
      </c>
      <c r="AA715" s="23" t="s">
        <v>3625</v>
      </c>
      <c r="AB715" s="9"/>
      <c r="AC715" s="9"/>
      <c r="AD715" s="9"/>
    </row>
    <row r="716" spans="1:30" ht="15.75" customHeight="1">
      <c r="A716" s="13" t="s">
        <v>782</v>
      </c>
      <c r="B716" s="5">
        <v>2402</v>
      </c>
      <c r="C716" s="6" t="s">
        <v>822</v>
      </c>
      <c r="D716" s="7">
        <v>2021472701</v>
      </c>
      <c r="E716" s="7">
        <v>210101476</v>
      </c>
      <c r="F716" s="7" t="s">
        <v>1810</v>
      </c>
      <c r="G716" s="7" t="s">
        <v>13</v>
      </c>
      <c r="H716" s="6" t="s">
        <v>823</v>
      </c>
      <c r="I716" s="6" t="s">
        <v>3237</v>
      </c>
      <c r="J716" s="6" t="s">
        <v>3238</v>
      </c>
      <c r="K716" s="6" t="s">
        <v>532</v>
      </c>
      <c r="L716" s="6" t="s">
        <v>149</v>
      </c>
      <c r="M716" s="6" t="s">
        <v>149</v>
      </c>
      <c r="N716" s="7" t="s">
        <v>174</v>
      </c>
      <c r="O716" s="23" t="s">
        <v>3622</v>
      </c>
      <c r="P716" s="23" t="s">
        <v>3623</v>
      </c>
      <c r="R716" s="23" t="s">
        <v>3624</v>
      </c>
      <c r="S716" s="2" t="s">
        <v>3613</v>
      </c>
      <c r="T716" s="2" t="s">
        <v>3614</v>
      </c>
      <c r="U716" s="2" t="s">
        <v>3615</v>
      </c>
      <c r="V716" s="23" t="s">
        <v>3616</v>
      </c>
      <c r="W716" s="24" t="s">
        <v>3617</v>
      </c>
      <c r="X716" s="23" t="s">
        <v>3618</v>
      </c>
      <c r="Y716" s="23" t="s">
        <v>3620</v>
      </c>
      <c r="Z716" s="23" t="s">
        <v>3621</v>
      </c>
      <c r="AA716" s="23" t="s">
        <v>3625</v>
      </c>
      <c r="AB716" s="9"/>
      <c r="AC716" s="9"/>
      <c r="AD716" s="9"/>
    </row>
    <row r="717" spans="1:30" ht="15.75" customHeight="1">
      <c r="A717" s="13" t="s">
        <v>782</v>
      </c>
      <c r="B717" s="5">
        <v>2402</v>
      </c>
      <c r="C717" s="6" t="s">
        <v>850</v>
      </c>
      <c r="D717" s="7">
        <v>2022398713</v>
      </c>
      <c r="E717" s="7">
        <v>2201010017</v>
      </c>
      <c r="F717" s="7" t="s">
        <v>1810</v>
      </c>
      <c r="G717" s="7" t="s">
        <v>13</v>
      </c>
      <c r="H717" s="6" t="s">
        <v>851</v>
      </c>
      <c r="I717" s="6" t="s">
        <v>3239</v>
      </c>
      <c r="J717" s="6" t="s">
        <v>3240</v>
      </c>
      <c r="K717" s="6" t="s">
        <v>532</v>
      </c>
      <c r="L717" s="6" t="s">
        <v>21</v>
      </c>
      <c r="M717" s="6" t="s">
        <v>149</v>
      </c>
      <c r="N717" s="7" t="s">
        <v>18</v>
      </c>
      <c r="O717" s="23" t="s">
        <v>3622</v>
      </c>
      <c r="P717" s="23" t="s">
        <v>3623</v>
      </c>
      <c r="R717" s="23" t="s">
        <v>3624</v>
      </c>
      <c r="S717" s="2" t="s">
        <v>3613</v>
      </c>
      <c r="T717" s="2" t="s">
        <v>3614</v>
      </c>
      <c r="U717" s="2" t="s">
        <v>3615</v>
      </c>
      <c r="V717" s="23" t="s">
        <v>3616</v>
      </c>
      <c r="W717" s="24" t="s">
        <v>3617</v>
      </c>
      <c r="X717" s="23" t="s">
        <v>3618</v>
      </c>
      <c r="Y717" s="23" t="s">
        <v>3620</v>
      </c>
      <c r="Z717" s="23" t="s">
        <v>3621</v>
      </c>
      <c r="AA717" s="23" t="s">
        <v>3625</v>
      </c>
      <c r="AB717" s="9"/>
      <c r="AC717" s="9"/>
      <c r="AD717" s="9"/>
    </row>
    <row r="718" spans="1:30" ht="15.75" customHeight="1">
      <c r="A718" s="13" t="s">
        <v>782</v>
      </c>
      <c r="B718" s="5">
        <v>2402</v>
      </c>
      <c r="C718" s="6" t="s">
        <v>1385</v>
      </c>
      <c r="D718" s="7">
        <v>2022508386</v>
      </c>
      <c r="E718" s="7">
        <v>2201010025</v>
      </c>
      <c r="F718" s="7" t="s">
        <v>1810</v>
      </c>
      <c r="G718" s="7" t="s">
        <v>13</v>
      </c>
      <c r="H718" s="6" t="s">
        <v>1386</v>
      </c>
      <c r="I718" s="6" t="s">
        <v>3241</v>
      </c>
      <c r="J718" s="6" t="s">
        <v>3242</v>
      </c>
      <c r="K718" s="6" t="s">
        <v>532</v>
      </c>
      <c r="L718" s="6" t="s">
        <v>21</v>
      </c>
      <c r="M718" s="6" t="s">
        <v>17</v>
      </c>
      <c r="N718" s="7" t="s">
        <v>18</v>
      </c>
      <c r="O718" s="23" t="s">
        <v>3622</v>
      </c>
      <c r="P718" s="23" t="s">
        <v>3623</v>
      </c>
      <c r="R718" s="23" t="s">
        <v>3624</v>
      </c>
      <c r="S718" s="2" t="s">
        <v>3613</v>
      </c>
      <c r="T718" s="2" t="s">
        <v>3614</v>
      </c>
      <c r="U718" s="2" t="s">
        <v>3615</v>
      </c>
      <c r="V718" s="23" t="s">
        <v>3616</v>
      </c>
      <c r="W718" s="24" t="s">
        <v>3617</v>
      </c>
      <c r="X718" s="23" t="s">
        <v>3618</v>
      </c>
      <c r="Y718" s="23" t="s">
        <v>3620</v>
      </c>
      <c r="Z718" s="23" t="s">
        <v>3621</v>
      </c>
      <c r="AA718" s="23" t="s">
        <v>3625</v>
      </c>
      <c r="AB718" s="8"/>
      <c r="AC718" s="8"/>
      <c r="AD718" s="8"/>
    </row>
    <row r="719" spans="1:30" ht="15.75" customHeight="1">
      <c r="A719" s="13" t="s">
        <v>782</v>
      </c>
      <c r="B719" s="5">
        <v>2402</v>
      </c>
      <c r="C719" s="6" t="s">
        <v>836</v>
      </c>
      <c r="D719" s="7">
        <v>2022006640</v>
      </c>
      <c r="E719" s="7">
        <v>2201010027</v>
      </c>
      <c r="F719" s="7" t="s">
        <v>1810</v>
      </c>
      <c r="G719" s="7" t="s">
        <v>13</v>
      </c>
      <c r="H719" s="6" t="s">
        <v>837</v>
      </c>
      <c r="I719" s="6" t="s">
        <v>3243</v>
      </c>
      <c r="J719" s="6" t="s">
        <v>3244</v>
      </c>
      <c r="K719" s="6" t="s">
        <v>532</v>
      </c>
      <c r="L719" s="6" t="s">
        <v>21</v>
      </c>
      <c r="M719" s="6" t="s">
        <v>26</v>
      </c>
      <c r="N719" s="7" t="s">
        <v>18</v>
      </c>
      <c r="O719" s="23" t="s">
        <v>3622</v>
      </c>
      <c r="P719" s="23" t="s">
        <v>3623</v>
      </c>
      <c r="R719" s="23" t="s">
        <v>3624</v>
      </c>
      <c r="S719" s="2" t="s">
        <v>3613</v>
      </c>
      <c r="T719" s="2" t="s">
        <v>3614</v>
      </c>
      <c r="U719" s="2" t="s">
        <v>3615</v>
      </c>
      <c r="V719" s="23" t="s">
        <v>3616</v>
      </c>
      <c r="W719" s="24" t="s">
        <v>3617</v>
      </c>
      <c r="X719" s="23" t="s">
        <v>3618</v>
      </c>
      <c r="Y719" s="23" t="s">
        <v>3620</v>
      </c>
      <c r="Z719" s="23" t="s">
        <v>3621</v>
      </c>
      <c r="AA719" s="23" t="s">
        <v>3625</v>
      </c>
      <c r="AB719" s="8"/>
      <c r="AC719" s="8"/>
      <c r="AD719" s="8"/>
    </row>
    <row r="720" spans="1:30" ht="15.75" customHeight="1">
      <c r="A720" s="13" t="s">
        <v>782</v>
      </c>
      <c r="B720" s="5">
        <v>2402</v>
      </c>
      <c r="C720" s="6" t="s">
        <v>826</v>
      </c>
      <c r="D720" s="7">
        <v>2022004657</v>
      </c>
      <c r="E720" s="7">
        <v>2201010035</v>
      </c>
      <c r="F720" s="7" t="s">
        <v>1810</v>
      </c>
      <c r="G720" s="7" t="s">
        <v>13</v>
      </c>
      <c r="H720" s="6" t="s">
        <v>827</v>
      </c>
      <c r="I720" s="6" t="s">
        <v>3245</v>
      </c>
      <c r="J720" s="6" t="s">
        <v>3246</v>
      </c>
      <c r="K720" s="6" t="s">
        <v>532</v>
      </c>
      <c r="L720" s="6" t="s">
        <v>149</v>
      </c>
      <c r="M720" s="6" t="s">
        <v>21</v>
      </c>
      <c r="N720" s="7" t="s">
        <v>18</v>
      </c>
      <c r="O720" s="23" t="s">
        <v>3622</v>
      </c>
      <c r="P720" s="23" t="s">
        <v>3623</v>
      </c>
      <c r="R720" s="23" t="s">
        <v>3624</v>
      </c>
      <c r="S720" s="2" t="s">
        <v>3613</v>
      </c>
      <c r="T720" s="2" t="s">
        <v>3614</v>
      </c>
      <c r="U720" s="2" t="s">
        <v>3615</v>
      </c>
      <c r="V720" s="23" t="s">
        <v>3616</v>
      </c>
      <c r="W720" s="24" t="s">
        <v>3617</v>
      </c>
      <c r="X720" s="23" t="s">
        <v>3618</v>
      </c>
      <c r="Y720" s="23" t="s">
        <v>3620</v>
      </c>
      <c r="Z720" s="23" t="s">
        <v>3621</v>
      </c>
      <c r="AA720" s="23" t="s">
        <v>3625</v>
      </c>
      <c r="AB720" s="8"/>
      <c r="AC720" s="8"/>
      <c r="AD720" s="8"/>
    </row>
    <row r="721" spans="1:30" ht="15.75" customHeight="1">
      <c r="A721" s="13" t="s">
        <v>782</v>
      </c>
      <c r="B721" s="5">
        <v>2402</v>
      </c>
      <c r="C721" s="6" t="s">
        <v>1383</v>
      </c>
      <c r="D721" s="7">
        <v>2022007148</v>
      </c>
      <c r="E721" s="7">
        <v>2201010114</v>
      </c>
      <c r="F721" s="7" t="s">
        <v>1810</v>
      </c>
      <c r="G721" s="7" t="s">
        <v>13</v>
      </c>
      <c r="H721" s="6" t="s">
        <v>1384</v>
      </c>
      <c r="I721" s="6" t="s">
        <v>3247</v>
      </c>
      <c r="J721" s="6" t="s">
        <v>3248</v>
      </c>
      <c r="K721" s="6" t="s">
        <v>532</v>
      </c>
      <c r="L721" s="6" t="s">
        <v>149</v>
      </c>
      <c r="M721" s="6" t="s">
        <v>26</v>
      </c>
      <c r="N721" s="7" t="s">
        <v>18</v>
      </c>
      <c r="O721" s="23" t="s">
        <v>3622</v>
      </c>
      <c r="P721" s="23" t="s">
        <v>3623</v>
      </c>
      <c r="R721" s="23" t="s">
        <v>3624</v>
      </c>
      <c r="S721" s="2" t="s">
        <v>3613</v>
      </c>
      <c r="T721" s="2" t="s">
        <v>3614</v>
      </c>
      <c r="U721" s="2" t="s">
        <v>3615</v>
      </c>
      <c r="V721" s="23" t="s">
        <v>3616</v>
      </c>
      <c r="W721" s="24" t="s">
        <v>3617</v>
      </c>
      <c r="X721" s="23" t="s">
        <v>3618</v>
      </c>
      <c r="Y721" s="23" t="s">
        <v>3620</v>
      </c>
      <c r="Z721" s="23" t="s">
        <v>3621</v>
      </c>
      <c r="AA721" s="23" t="s">
        <v>3625</v>
      </c>
      <c r="AB721" s="8"/>
      <c r="AC721" s="8"/>
      <c r="AD721" s="8"/>
    </row>
    <row r="722" spans="1:30" ht="15.75" customHeight="1">
      <c r="A722" s="13" t="s">
        <v>782</v>
      </c>
      <c r="B722" s="5">
        <v>2402</v>
      </c>
      <c r="C722" s="6" t="s">
        <v>862</v>
      </c>
      <c r="D722" s="7">
        <v>2022459065</v>
      </c>
      <c r="E722" s="7">
        <v>2201010149</v>
      </c>
      <c r="F722" s="7" t="s">
        <v>1810</v>
      </c>
      <c r="G722" s="7" t="s">
        <v>13</v>
      </c>
      <c r="H722" s="6" t="s">
        <v>863</v>
      </c>
      <c r="I722" s="6" t="s">
        <v>3249</v>
      </c>
      <c r="J722" s="6" t="s">
        <v>3250</v>
      </c>
      <c r="K722" s="6" t="s">
        <v>532</v>
      </c>
      <c r="L722" s="6" t="s">
        <v>21</v>
      </c>
      <c r="M722" s="6" t="s">
        <v>149</v>
      </c>
      <c r="N722" s="7" t="s">
        <v>18</v>
      </c>
      <c r="O722" s="23" t="s">
        <v>3622</v>
      </c>
      <c r="P722" s="23" t="s">
        <v>3623</v>
      </c>
      <c r="R722" s="23" t="s">
        <v>3624</v>
      </c>
      <c r="S722" s="2" t="s">
        <v>3613</v>
      </c>
      <c r="T722" s="2" t="s">
        <v>3614</v>
      </c>
      <c r="U722" s="2" t="s">
        <v>3615</v>
      </c>
      <c r="V722" s="23" t="s">
        <v>3616</v>
      </c>
      <c r="W722" s="24" t="s">
        <v>3617</v>
      </c>
      <c r="X722" s="23" t="s">
        <v>3618</v>
      </c>
      <c r="Y722" s="23" t="s">
        <v>3620</v>
      </c>
      <c r="Z722" s="23" t="s">
        <v>3621</v>
      </c>
      <c r="AA722" s="23" t="s">
        <v>3625</v>
      </c>
      <c r="AB722" s="8"/>
      <c r="AC722" s="8"/>
      <c r="AD722" s="8"/>
    </row>
    <row r="723" spans="1:30" ht="15.75" customHeight="1">
      <c r="A723" s="13" t="s">
        <v>782</v>
      </c>
      <c r="B723" s="5">
        <v>2402</v>
      </c>
      <c r="C723" s="6" t="s">
        <v>1379</v>
      </c>
      <c r="D723" s="7">
        <v>2022006161</v>
      </c>
      <c r="E723" s="7">
        <v>2201010172</v>
      </c>
      <c r="F723" s="7" t="s">
        <v>1810</v>
      </c>
      <c r="G723" s="7" t="s">
        <v>13</v>
      </c>
      <c r="H723" s="6" t="s">
        <v>1380</v>
      </c>
      <c r="I723" s="6" t="s">
        <v>3251</v>
      </c>
      <c r="J723" s="6" t="s">
        <v>3252</v>
      </c>
      <c r="K723" s="6" t="s">
        <v>532</v>
      </c>
      <c r="L723" s="6" t="s">
        <v>149</v>
      </c>
      <c r="M723" s="6" t="s">
        <v>16</v>
      </c>
      <c r="N723" s="7" t="s">
        <v>18</v>
      </c>
      <c r="O723" s="23" t="s">
        <v>3622</v>
      </c>
      <c r="P723" s="23" t="s">
        <v>3623</v>
      </c>
      <c r="R723" s="23" t="s">
        <v>3624</v>
      </c>
      <c r="S723" s="2" t="s">
        <v>3613</v>
      </c>
      <c r="T723" s="2" t="s">
        <v>3614</v>
      </c>
      <c r="U723" s="2" t="s">
        <v>3615</v>
      </c>
      <c r="V723" s="23" t="s">
        <v>3616</v>
      </c>
      <c r="W723" s="24" t="s">
        <v>3617</v>
      </c>
      <c r="X723" s="23" t="s">
        <v>3618</v>
      </c>
      <c r="Y723" s="23" t="s">
        <v>3620</v>
      </c>
      <c r="Z723" s="23" t="s">
        <v>3621</v>
      </c>
      <c r="AA723" s="23" t="s">
        <v>3625</v>
      </c>
      <c r="AB723" s="8"/>
      <c r="AC723" s="8"/>
      <c r="AD723" s="8"/>
    </row>
    <row r="724" spans="1:30" ht="15.75" customHeight="1">
      <c r="A724" s="13" t="s">
        <v>782</v>
      </c>
      <c r="B724" s="5">
        <v>2402</v>
      </c>
      <c r="C724" s="6" t="s">
        <v>856</v>
      </c>
      <c r="D724" s="7">
        <v>2022421393</v>
      </c>
      <c r="E724" s="7">
        <v>2201010177</v>
      </c>
      <c r="F724" s="7" t="s">
        <v>1810</v>
      </c>
      <c r="G724" s="7" t="s">
        <v>13</v>
      </c>
      <c r="H724" s="6" t="s">
        <v>857</v>
      </c>
      <c r="I724" s="6" t="s">
        <v>3253</v>
      </c>
      <c r="J724" s="6" t="s">
        <v>3254</v>
      </c>
      <c r="K724" s="6" t="s">
        <v>532</v>
      </c>
      <c r="L724" s="6" t="s">
        <v>149</v>
      </c>
      <c r="M724" s="6" t="s">
        <v>21</v>
      </c>
      <c r="N724" s="7" t="s">
        <v>18</v>
      </c>
      <c r="O724" s="23" t="s">
        <v>3622</v>
      </c>
      <c r="P724" s="23" t="s">
        <v>3623</v>
      </c>
      <c r="R724" s="23" t="s">
        <v>3624</v>
      </c>
      <c r="S724" s="2" t="s">
        <v>3613</v>
      </c>
      <c r="T724" s="2" t="s">
        <v>3614</v>
      </c>
      <c r="U724" s="2" t="s">
        <v>3615</v>
      </c>
      <c r="V724" s="23" t="s">
        <v>3616</v>
      </c>
      <c r="W724" s="24" t="s">
        <v>3617</v>
      </c>
      <c r="X724" s="23" t="s">
        <v>3618</v>
      </c>
      <c r="Y724" s="23" t="s">
        <v>3620</v>
      </c>
      <c r="Z724" s="23" t="s">
        <v>3621</v>
      </c>
      <c r="AA724" s="23" t="s">
        <v>3625</v>
      </c>
      <c r="AB724" s="8"/>
      <c r="AC724" s="8"/>
      <c r="AD724" s="8"/>
    </row>
    <row r="725" spans="1:30" ht="15.75" customHeight="1">
      <c r="A725" s="13" t="s">
        <v>782</v>
      </c>
      <c r="B725" s="5">
        <v>2402</v>
      </c>
      <c r="C725" s="6" t="s">
        <v>876</v>
      </c>
      <c r="D725" s="7">
        <v>2022509542</v>
      </c>
      <c r="E725" s="7">
        <v>2201010186</v>
      </c>
      <c r="F725" s="7" t="s">
        <v>1810</v>
      </c>
      <c r="G725" s="7" t="s">
        <v>13</v>
      </c>
      <c r="H725" s="6" t="s">
        <v>877</v>
      </c>
      <c r="I725" s="6" t="s">
        <v>3255</v>
      </c>
      <c r="J725" s="6" t="s">
        <v>3256</v>
      </c>
      <c r="K725" s="6" t="s">
        <v>532</v>
      </c>
      <c r="L725" s="6" t="s">
        <v>149</v>
      </c>
      <c r="M725" s="6" t="s">
        <v>21</v>
      </c>
      <c r="N725" s="7" t="s">
        <v>18</v>
      </c>
      <c r="O725" s="23" t="s">
        <v>3622</v>
      </c>
      <c r="P725" s="23" t="s">
        <v>3623</v>
      </c>
      <c r="R725" s="23" t="s">
        <v>3624</v>
      </c>
      <c r="S725" s="2" t="s">
        <v>3613</v>
      </c>
      <c r="T725" s="2" t="s">
        <v>3614</v>
      </c>
      <c r="U725" s="2" t="s">
        <v>3615</v>
      </c>
      <c r="V725" s="23" t="s">
        <v>3616</v>
      </c>
      <c r="W725" s="24" t="s">
        <v>3617</v>
      </c>
      <c r="X725" s="23" t="s">
        <v>3618</v>
      </c>
      <c r="Y725" s="23" t="s">
        <v>3620</v>
      </c>
      <c r="Z725" s="23" t="s">
        <v>3621</v>
      </c>
      <c r="AA725" s="23" t="s">
        <v>3625</v>
      </c>
      <c r="AB725" s="8"/>
      <c r="AC725" s="8"/>
      <c r="AD725" s="8"/>
    </row>
    <row r="726" spans="1:30" ht="15.75" customHeight="1">
      <c r="A726" s="13" t="s">
        <v>782</v>
      </c>
      <c r="B726" s="5">
        <v>2402</v>
      </c>
      <c r="C726" s="6" t="s">
        <v>846</v>
      </c>
      <c r="D726" s="7">
        <v>2022361815</v>
      </c>
      <c r="E726" s="7">
        <v>2201010195</v>
      </c>
      <c r="F726" s="7" t="s">
        <v>1810</v>
      </c>
      <c r="G726" s="7" t="s">
        <v>13</v>
      </c>
      <c r="H726" s="6" t="s">
        <v>847</v>
      </c>
      <c r="I726" s="6" t="s">
        <v>3257</v>
      </c>
      <c r="J726" s="6" t="s">
        <v>3258</v>
      </c>
      <c r="K726" s="6" t="s">
        <v>532</v>
      </c>
      <c r="L726" s="6" t="s">
        <v>149</v>
      </c>
      <c r="M726" s="6" t="s">
        <v>49</v>
      </c>
      <c r="N726" s="7" t="s">
        <v>18</v>
      </c>
      <c r="O726" s="23" t="s">
        <v>3622</v>
      </c>
      <c r="P726" s="23" t="s">
        <v>3623</v>
      </c>
      <c r="R726" s="23" t="s">
        <v>3624</v>
      </c>
      <c r="S726" s="2" t="s">
        <v>3613</v>
      </c>
      <c r="T726" s="2" t="s">
        <v>3614</v>
      </c>
      <c r="U726" s="2" t="s">
        <v>3615</v>
      </c>
      <c r="V726" s="23" t="s">
        <v>3616</v>
      </c>
      <c r="W726" s="24" t="s">
        <v>3617</v>
      </c>
      <c r="X726" s="23" t="s">
        <v>3618</v>
      </c>
      <c r="Y726" s="23" t="s">
        <v>3620</v>
      </c>
      <c r="Z726" s="23" t="s">
        <v>3621</v>
      </c>
      <c r="AA726" s="23" t="s">
        <v>3625</v>
      </c>
      <c r="AB726" s="8"/>
      <c r="AC726" s="8"/>
      <c r="AD726" s="8"/>
    </row>
    <row r="727" spans="1:30" ht="15.75" customHeight="1">
      <c r="A727" s="13" t="s">
        <v>782</v>
      </c>
      <c r="B727" s="5">
        <v>2402</v>
      </c>
      <c r="C727" s="6" t="s">
        <v>868</v>
      </c>
      <c r="D727" s="7">
        <v>2022472743</v>
      </c>
      <c r="E727" s="7">
        <v>2201010256</v>
      </c>
      <c r="F727" s="7" t="s">
        <v>1810</v>
      </c>
      <c r="G727" s="7" t="s">
        <v>13</v>
      </c>
      <c r="H727" s="6" t="s">
        <v>869</v>
      </c>
      <c r="I727" s="6" t="s">
        <v>3259</v>
      </c>
      <c r="J727" s="6" t="s">
        <v>3260</v>
      </c>
      <c r="K727" s="6" t="s">
        <v>532</v>
      </c>
      <c r="L727" s="6" t="s">
        <v>21</v>
      </c>
      <c r="M727" s="6" t="s">
        <v>26</v>
      </c>
      <c r="N727" s="7" t="s">
        <v>18</v>
      </c>
      <c r="O727" s="23" t="s">
        <v>3622</v>
      </c>
      <c r="P727" s="23" t="s">
        <v>3623</v>
      </c>
      <c r="R727" s="23" t="s">
        <v>3624</v>
      </c>
      <c r="S727" s="2" t="s">
        <v>3613</v>
      </c>
      <c r="T727" s="2" t="s">
        <v>3614</v>
      </c>
      <c r="U727" s="2" t="s">
        <v>3615</v>
      </c>
      <c r="V727" s="23" t="s">
        <v>3616</v>
      </c>
      <c r="W727" s="24" t="s">
        <v>3617</v>
      </c>
      <c r="X727" s="23" t="s">
        <v>3618</v>
      </c>
      <c r="Y727" s="23" t="s">
        <v>3620</v>
      </c>
      <c r="Z727" s="23" t="s">
        <v>3621</v>
      </c>
      <c r="AA727" s="23" t="s">
        <v>3625</v>
      </c>
      <c r="AB727" s="8"/>
      <c r="AC727" s="8"/>
      <c r="AD727" s="8"/>
    </row>
    <row r="728" spans="1:30" ht="15.75" customHeight="1">
      <c r="A728" s="13" t="s">
        <v>782</v>
      </c>
      <c r="B728" s="5">
        <v>2402</v>
      </c>
      <c r="C728" s="6" t="s">
        <v>884</v>
      </c>
      <c r="D728" s="7">
        <v>2022554328</v>
      </c>
      <c r="E728" s="7">
        <v>2201010262</v>
      </c>
      <c r="F728" s="7" t="s">
        <v>1810</v>
      </c>
      <c r="G728" s="7" t="s">
        <v>13</v>
      </c>
      <c r="H728" s="6" t="s">
        <v>885</v>
      </c>
      <c r="I728" s="6" t="s">
        <v>3261</v>
      </c>
      <c r="J728" s="6" t="s">
        <v>3262</v>
      </c>
      <c r="K728" s="6" t="s">
        <v>532</v>
      </c>
      <c r="L728" s="6" t="s">
        <v>149</v>
      </c>
      <c r="M728" s="6" t="s">
        <v>21</v>
      </c>
      <c r="N728" s="7" t="s">
        <v>18</v>
      </c>
      <c r="O728" s="23" t="s">
        <v>3622</v>
      </c>
      <c r="P728" s="23" t="s">
        <v>3623</v>
      </c>
      <c r="R728" s="23" t="s">
        <v>3624</v>
      </c>
      <c r="S728" s="2" t="s">
        <v>3613</v>
      </c>
      <c r="T728" s="2" t="s">
        <v>3614</v>
      </c>
      <c r="U728" s="2" t="s">
        <v>3615</v>
      </c>
      <c r="V728" s="23" t="s">
        <v>3616</v>
      </c>
      <c r="W728" s="24" t="s">
        <v>3617</v>
      </c>
      <c r="X728" s="23" t="s">
        <v>3618</v>
      </c>
      <c r="Y728" s="23" t="s">
        <v>3620</v>
      </c>
      <c r="Z728" s="23" t="s">
        <v>3621</v>
      </c>
      <c r="AA728" s="23" t="s">
        <v>3625</v>
      </c>
      <c r="AB728" s="8"/>
      <c r="AC728" s="8"/>
      <c r="AD728" s="8"/>
    </row>
    <row r="729" spans="1:30" ht="15.75" customHeight="1">
      <c r="A729" s="13" t="s">
        <v>782</v>
      </c>
      <c r="B729" s="5">
        <v>2402</v>
      </c>
      <c r="C729" s="6" t="s">
        <v>1387</v>
      </c>
      <c r="D729" s="7">
        <v>2022509576</v>
      </c>
      <c r="E729" s="7">
        <v>2201010264</v>
      </c>
      <c r="F729" s="7" t="s">
        <v>1810</v>
      </c>
      <c r="G729" s="7" t="s">
        <v>13</v>
      </c>
      <c r="H729" s="6" t="s">
        <v>1388</v>
      </c>
      <c r="I729" s="6" t="s">
        <v>3263</v>
      </c>
      <c r="J729" s="6" t="s">
        <v>3264</v>
      </c>
      <c r="K729" s="6" t="s">
        <v>532</v>
      </c>
      <c r="L729" s="6" t="s">
        <v>21</v>
      </c>
      <c r="M729" s="6" t="s">
        <v>26</v>
      </c>
      <c r="N729" s="7" t="s">
        <v>18</v>
      </c>
      <c r="O729" s="23" t="s">
        <v>3622</v>
      </c>
      <c r="P729" s="23" t="s">
        <v>3623</v>
      </c>
      <c r="R729" s="23" t="s">
        <v>3624</v>
      </c>
      <c r="S729" s="2" t="s">
        <v>3613</v>
      </c>
      <c r="T729" s="2" t="s">
        <v>3614</v>
      </c>
      <c r="U729" s="2" t="s">
        <v>3615</v>
      </c>
      <c r="V729" s="23" t="s">
        <v>3616</v>
      </c>
      <c r="W729" s="24" t="s">
        <v>3617</v>
      </c>
      <c r="X729" s="23" t="s">
        <v>3618</v>
      </c>
      <c r="Y729" s="23" t="s">
        <v>3620</v>
      </c>
      <c r="Z729" s="23" t="s">
        <v>3621</v>
      </c>
      <c r="AA729" s="23" t="s">
        <v>3625</v>
      </c>
      <c r="AB729" s="8"/>
      <c r="AC729" s="8"/>
      <c r="AD729" s="8"/>
    </row>
    <row r="730" spans="1:30" ht="15.5">
      <c r="A730" s="13" t="s">
        <v>782</v>
      </c>
      <c r="B730" s="5">
        <v>2402</v>
      </c>
      <c r="C730" s="6" t="s">
        <v>840</v>
      </c>
      <c r="D730" s="7">
        <v>2022304714</v>
      </c>
      <c r="E730" s="7">
        <v>2201010321</v>
      </c>
      <c r="F730" s="7" t="s">
        <v>1810</v>
      </c>
      <c r="G730" s="7" t="s">
        <v>13</v>
      </c>
      <c r="H730" s="6" t="s">
        <v>841</v>
      </c>
      <c r="I730" s="6" t="s">
        <v>3265</v>
      </c>
      <c r="J730" s="6" t="s">
        <v>3266</v>
      </c>
      <c r="K730" s="6" t="s">
        <v>532</v>
      </c>
      <c r="L730" s="6" t="s">
        <v>149</v>
      </c>
      <c r="M730" s="6" t="s">
        <v>26</v>
      </c>
      <c r="N730" s="7" t="s">
        <v>18</v>
      </c>
      <c r="O730" s="23" t="s">
        <v>3622</v>
      </c>
      <c r="P730" s="23" t="s">
        <v>3623</v>
      </c>
      <c r="R730" s="23" t="s">
        <v>3624</v>
      </c>
      <c r="S730" s="2" t="s">
        <v>3613</v>
      </c>
      <c r="T730" s="2" t="s">
        <v>3614</v>
      </c>
      <c r="U730" s="2" t="s">
        <v>3615</v>
      </c>
      <c r="V730" s="23" t="s">
        <v>3616</v>
      </c>
      <c r="W730" s="24" t="s">
        <v>3617</v>
      </c>
      <c r="X730" s="23" t="s">
        <v>3618</v>
      </c>
      <c r="Y730" s="23" t="s">
        <v>3620</v>
      </c>
      <c r="Z730" s="23" t="s">
        <v>3621</v>
      </c>
      <c r="AA730" s="23" t="s">
        <v>3625</v>
      </c>
      <c r="AB730" s="8"/>
      <c r="AC730" s="8"/>
      <c r="AD730" s="8"/>
    </row>
    <row r="731" spans="1:30" ht="15.75" customHeight="1">
      <c r="A731" s="13" t="s">
        <v>782</v>
      </c>
      <c r="B731" s="5">
        <v>2402</v>
      </c>
      <c r="C731" s="6" t="s">
        <v>872</v>
      </c>
      <c r="D731" s="7">
        <v>2022484080</v>
      </c>
      <c r="E731" s="7">
        <v>2201010322</v>
      </c>
      <c r="F731" s="7" t="s">
        <v>1810</v>
      </c>
      <c r="G731" s="7" t="s">
        <v>13</v>
      </c>
      <c r="H731" s="6" t="s">
        <v>873</v>
      </c>
      <c r="I731" s="6" t="s">
        <v>3267</v>
      </c>
      <c r="J731" s="6" t="s">
        <v>3268</v>
      </c>
      <c r="K731" s="6" t="s">
        <v>532</v>
      </c>
      <c r="L731" s="6" t="s">
        <v>21</v>
      </c>
      <c r="M731" s="6" t="s">
        <v>149</v>
      </c>
      <c r="N731" s="7" t="s">
        <v>18</v>
      </c>
      <c r="O731" s="23" t="s">
        <v>3622</v>
      </c>
      <c r="P731" s="23" t="s">
        <v>3623</v>
      </c>
      <c r="R731" s="23" t="s">
        <v>3624</v>
      </c>
      <c r="S731" s="2" t="s">
        <v>3613</v>
      </c>
      <c r="T731" s="2" t="s">
        <v>3614</v>
      </c>
      <c r="U731" s="2" t="s">
        <v>3615</v>
      </c>
      <c r="V731" s="23" t="s">
        <v>3616</v>
      </c>
      <c r="W731" s="24" t="s">
        <v>3617</v>
      </c>
      <c r="X731" s="23" t="s">
        <v>3618</v>
      </c>
      <c r="Y731" s="23" t="s">
        <v>3620</v>
      </c>
      <c r="Z731" s="23" t="s">
        <v>3621</v>
      </c>
      <c r="AA731" s="23" t="s">
        <v>3625</v>
      </c>
      <c r="AB731" s="8"/>
      <c r="AC731" s="8"/>
      <c r="AD731" s="8"/>
    </row>
    <row r="732" spans="1:30" ht="15.75" customHeight="1">
      <c r="A732" s="13" t="s">
        <v>782</v>
      </c>
      <c r="B732" s="5">
        <v>2402</v>
      </c>
      <c r="C732" s="6" t="s">
        <v>1381</v>
      </c>
      <c r="D732" s="7">
        <v>2022006647</v>
      </c>
      <c r="E732" s="7">
        <v>2201010388</v>
      </c>
      <c r="F732" s="7" t="s">
        <v>1810</v>
      </c>
      <c r="G732" s="7" t="s">
        <v>13</v>
      </c>
      <c r="H732" s="6" t="s">
        <v>1382</v>
      </c>
      <c r="I732" s="6" t="s">
        <v>3269</v>
      </c>
      <c r="J732" s="6" t="s">
        <v>3270</v>
      </c>
      <c r="K732" s="6" t="s">
        <v>532</v>
      </c>
      <c r="L732" s="6" t="s">
        <v>149</v>
      </c>
      <c r="M732" s="6" t="s">
        <v>16</v>
      </c>
      <c r="N732" s="7" t="s">
        <v>18</v>
      </c>
      <c r="O732" s="23" t="s">
        <v>3622</v>
      </c>
      <c r="P732" s="23" t="s">
        <v>3623</v>
      </c>
      <c r="R732" s="23" t="s">
        <v>3624</v>
      </c>
      <c r="S732" s="2" t="s">
        <v>3613</v>
      </c>
      <c r="T732" s="2" t="s">
        <v>3614</v>
      </c>
      <c r="U732" s="2" t="s">
        <v>3615</v>
      </c>
      <c r="V732" s="23" t="s">
        <v>3616</v>
      </c>
      <c r="W732" s="24" t="s">
        <v>3617</v>
      </c>
      <c r="X732" s="23" t="s">
        <v>3618</v>
      </c>
      <c r="Y732" s="23" t="s">
        <v>3620</v>
      </c>
      <c r="Z732" s="23" t="s">
        <v>3621</v>
      </c>
      <c r="AA732" s="23" t="s">
        <v>3625</v>
      </c>
      <c r="AB732" s="8"/>
      <c r="AC732" s="8"/>
      <c r="AD732" s="8"/>
    </row>
    <row r="733" spans="1:30" ht="15.75" customHeight="1">
      <c r="A733" s="13" t="s">
        <v>782</v>
      </c>
      <c r="B733" s="5">
        <v>2402</v>
      </c>
      <c r="C733" s="6" t="s">
        <v>891</v>
      </c>
      <c r="D733" s="7">
        <v>2022811762</v>
      </c>
      <c r="E733" s="7">
        <v>2201010398</v>
      </c>
      <c r="F733" s="7" t="s">
        <v>1810</v>
      </c>
      <c r="G733" s="7" t="s">
        <v>13</v>
      </c>
      <c r="H733" s="6" t="s">
        <v>892</v>
      </c>
      <c r="I733" s="6" t="s">
        <v>3271</v>
      </c>
      <c r="J733" s="6" t="s">
        <v>3272</v>
      </c>
      <c r="K733" s="6" t="s">
        <v>532</v>
      </c>
      <c r="L733" s="6" t="s">
        <v>139</v>
      </c>
      <c r="M733" s="6" t="s">
        <v>139</v>
      </c>
      <c r="N733" s="7" t="s">
        <v>174</v>
      </c>
      <c r="O733" s="23" t="s">
        <v>3622</v>
      </c>
      <c r="P733" s="23" t="s">
        <v>3623</v>
      </c>
      <c r="R733" s="23" t="s">
        <v>3624</v>
      </c>
      <c r="S733" s="2" t="s">
        <v>3613</v>
      </c>
      <c r="T733" s="2" t="s">
        <v>3614</v>
      </c>
      <c r="U733" s="2" t="s">
        <v>3615</v>
      </c>
      <c r="V733" s="23" t="s">
        <v>3616</v>
      </c>
      <c r="W733" s="24" t="s">
        <v>3617</v>
      </c>
      <c r="X733" s="23" t="s">
        <v>3618</v>
      </c>
      <c r="Y733" s="23" t="s">
        <v>3620</v>
      </c>
      <c r="Z733" s="23" t="s">
        <v>3621</v>
      </c>
      <c r="AA733" s="23" t="s">
        <v>3625</v>
      </c>
      <c r="AB733" s="8"/>
      <c r="AC733" s="8"/>
      <c r="AD733" s="8"/>
    </row>
    <row r="734" spans="1:30" ht="15.75" customHeight="1">
      <c r="A734" s="13" t="s">
        <v>782</v>
      </c>
      <c r="B734" s="5">
        <v>2402</v>
      </c>
      <c r="C734" s="6" t="s">
        <v>834</v>
      </c>
      <c r="D734" s="7">
        <v>2022006421</v>
      </c>
      <c r="E734" s="7">
        <v>2201010450</v>
      </c>
      <c r="F734" s="7" t="s">
        <v>1810</v>
      </c>
      <c r="G734" s="7" t="s">
        <v>13</v>
      </c>
      <c r="H734" s="6" t="s">
        <v>835</v>
      </c>
      <c r="I734" s="6" t="s">
        <v>3273</v>
      </c>
      <c r="J734" s="6" t="s">
        <v>3274</v>
      </c>
      <c r="K734" s="6" t="s">
        <v>532</v>
      </c>
      <c r="L734" s="6" t="s">
        <v>149</v>
      </c>
      <c r="M734" s="6" t="s">
        <v>26</v>
      </c>
      <c r="N734" s="7" t="s">
        <v>18</v>
      </c>
      <c r="O734" s="23" t="s">
        <v>3622</v>
      </c>
      <c r="P734" s="23" t="s">
        <v>3623</v>
      </c>
      <c r="R734" s="23" t="s">
        <v>3624</v>
      </c>
      <c r="S734" s="2" t="s">
        <v>3613</v>
      </c>
      <c r="T734" s="2" t="s">
        <v>3614</v>
      </c>
      <c r="U734" s="2" t="s">
        <v>3615</v>
      </c>
      <c r="V734" s="23" t="s">
        <v>3616</v>
      </c>
      <c r="W734" s="24" t="s">
        <v>3617</v>
      </c>
      <c r="X734" s="23" t="s">
        <v>3618</v>
      </c>
      <c r="Y734" s="23" t="s">
        <v>3620</v>
      </c>
      <c r="Z734" s="23" t="s">
        <v>3621</v>
      </c>
      <c r="AA734" s="23" t="s">
        <v>3625</v>
      </c>
      <c r="AB734" s="8"/>
      <c r="AC734" s="8"/>
      <c r="AD734" s="8"/>
    </row>
    <row r="735" spans="1:30" ht="15.75" customHeight="1">
      <c r="A735" s="13" t="s">
        <v>782</v>
      </c>
      <c r="B735" s="5">
        <v>2402</v>
      </c>
      <c r="C735" s="6" t="s">
        <v>830</v>
      </c>
      <c r="D735" s="7">
        <v>2022005748</v>
      </c>
      <c r="E735" s="7">
        <v>2201010460</v>
      </c>
      <c r="F735" s="7" t="s">
        <v>1810</v>
      </c>
      <c r="G735" s="7" t="s">
        <v>13</v>
      </c>
      <c r="H735" s="6" t="s">
        <v>831</v>
      </c>
      <c r="I735" s="6" t="s">
        <v>3275</v>
      </c>
      <c r="J735" s="6" t="s">
        <v>3276</v>
      </c>
      <c r="K735" s="6" t="s">
        <v>532</v>
      </c>
      <c r="L735" s="6" t="s">
        <v>149</v>
      </c>
      <c r="M735" s="6" t="s">
        <v>16</v>
      </c>
      <c r="N735" s="7" t="s">
        <v>18</v>
      </c>
      <c r="O735" s="23" t="s">
        <v>3622</v>
      </c>
      <c r="P735" s="23" t="s">
        <v>3623</v>
      </c>
      <c r="R735" s="23" t="s">
        <v>3624</v>
      </c>
      <c r="S735" s="2" t="s">
        <v>3613</v>
      </c>
      <c r="T735" s="2" t="s">
        <v>3614</v>
      </c>
      <c r="U735" s="2" t="s">
        <v>3615</v>
      </c>
      <c r="V735" s="23" t="s">
        <v>3616</v>
      </c>
      <c r="W735" s="24" t="s">
        <v>3617</v>
      </c>
      <c r="X735" s="23" t="s">
        <v>3618</v>
      </c>
      <c r="Y735" s="23" t="s">
        <v>3620</v>
      </c>
      <c r="Z735" s="23" t="s">
        <v>3621</v>
      </c>
      <c r="AA735" s="23" t="s">
        <v>3625</v>
      </c>
      <c r="AB735" s="8"/>
      <c r="AC735" s="8"/>
      <c r="AD735" s="8"/>
    </row>
    <row r="736" spans="1:30" ht="15.75" customHeight="1">
      <c r="A736" s="13" t="s">
        <v>782</v>
      </c>
      <c r="B736" s="5">
        <v>2402</v>
      </c>
      <c r="C736" s="6" t="s">
        <v>860</v>
      </c>
      <c r="D736" s="7">
        <v>2022451626</v>
      </c>
      <c r="E736" s="7">
        <v>2201010471</v>
      </c>
      <c r="F736" s="7" t="s">
        <v>1810</v>
      </c>
      <c r="G736" s="7" t="s">
        <v>13</v>
      </c>
      <c r="H736" s="6" t="s">
        <v>861</v>
      </c>
      <c r="I736" s="6" t="s">
        <v>3277</v>
      </c>
      <c r="J736" s="6" t="s">
        <v>3278</v>
      </c>
      <c r="K736" s="6" t="s">
        <v>532</v>
      </c>
      <c r="L736" s="6" t="s">
        <v>21</v>
      </c>
      <c r="M736" s="6" t="s">
        <v>149</v>
      </c>
      <c r="N736" s="7" t="s">
        <v>18</v>
      </c>
      <c r="O736" s="23" t="s">
        <v>3622</v>
      </c>
      <c r="P736" s="23" t="s">
        <v>3623</v>
      </c>
      <c r="R736" s="23" t="s">
        <v>3624</v>
      </c>
      <c r="S736" s="2" t="s">
        <v>3613</v>
      </c>
      <c r="T736" s="2" t="s">
        <v>3614</v>
      </c>
      <c r="U736" s="2" t="s">
        <v>3615</v>
      </c>
      <c r="V736" s="23" t="s">
        <v>3616</v>
      </c>
      <c r="W736" s="24" t="s">
        <v>3617</v>
      </c>
      <c r="X736" s="23" t="s">
        <v>3618</v>
      </c>
      <c r="Y736" s="23" t="s">
        <v>3620</v>
      </c>
      <c r="Z736" s="23" t="s">
        <v>3621</v>
      </c>
      <c r="AA736" s="23" t="s">
        <v>3625</v>
      </c>
      <c r="AB736" s="8"/>
      <c r="AC736" s="8"/>
      <c r="AD736" s="8"/>
    </row>
    <row r="737" spans="1:30" ht="15.75" customHeight="1">
      <c r="A737" s="13" t="s">
        <v>782</v>
      </c>
      <c r="B737" s="5">
        <v>2402</v>
      </c>
      <c r="C737" s="6" t="s">
        <v>882</v>
      </c>
      <c r="D737" s="7">
        <v>2022549867</v>
      </c>
      <c r="E737" s="7">
        <v>2201010478</v>
      </c>
      <c r="F737" s="7" t="s">
        <v>1810</v>
      </c>
      <c r="G737" s="7" t="s">
        <v>13</v>
      </c>
      <c r="H737" s="6" t="s">
        <v>883</v>
      </c>
      <c r="I737" s="6" t="s">
        <v>3279</v>
      </c>
      <c r="J737" s="6" t="s">
        <v>3280</v>
      </c>
      <c r="K737" s="6" t="s">
        <v>532</v>
      </c>
      <c r="L737" s="6" t="s">
        <v>21</v>
      </c>
      <c r="M737" s="6" t="s">
        <v>117</v>
      </c>
      <c r="N737" s="7" t="s">
        <v>18</v>
      </c>
      <c r="O737" s="23" t="s">
        <v>3622</v>
      </c>
      <c r="P737" s="23" t="s">
        <v>3623</v>
      </c>
      <c r="R737" s="23" t="s">
        <v>3624</v>
      </c>
      <c r="S737" s="2" t="s">
        <v>3613</v>
      </c>
      <c r="T737" s="2" t="s">
        <v>3614</v>
      </c>
      <c r="U737" s="2" t="s">
        <v>3615</v>
      </c>
      <c r="V737" s="23" t="s">
        <v>3616</v>
      </c>
      <c r="W737" s="24" t="s">
        <v>3617</v>
      </c>
      <c r="X737" s="23" t="s">
        <v>3618</v>
      </c>
      <c r="Y737" s="23" t="s">
        <v>3620</v>
      </c>
      <c r="Z737" s="23" t="s">
        <v>3621</v>
      </c>
      <c r="AA737" s="23" t="s">
        <v>3625</v>
      </c>
      <c r="AB737" s="8"/>
      <c r="AC737" s="8"/>
      <c r="AD737" s="8"/>
    </row>
    <row r="738" spans="1:30" ht="15.75" customHeight="1">
      <c r="A738" s="13" t="s">
        <v>782</v>
      </c>
      <c r="B738" s="5">
        <v>2402</v>
      </c>
      <c r="C738" s="6" t="s">
        <v>844</v>
      </c>
      <c r="D738" s="7">
        <v>2022361106</v>
      </c>
      <c r="E738" s="7">
        <v>2201010482</v>
      </c>
      <c r="F738" s="7" t="s">
        <v>1810</v>
      </c>
      <c r="G738" s="7" t="s">
        <v>13</v>
      </c>
      <c r="H738" s="6" t="s">
        <v>845</v>
      </c>
      <c r="I738" s="6" t="s">
        <v>3281</v>
      </c>
      <c r="J738" s="6" t="s">
        <v>3282</v>
      </c>
      <c r="K738" s="6" t="s">
        <v>532</v>
      </c>
      <c r="L738" s="6" t="s">
        <v>21</v>
      </c>
      <c r="M738" s="6" t="s">
        <v>149</v>
      </c>
      <c r="N738" s="7" t="s">
        <v>18</v>
      </c>
      <c r="O738" s="23" t="s">
        <v>3622</v>
      </c>
      <c r="P738" s="23" t="s">
        <v>3623</v>
      </c>
      <c r="R738" s="23" t="s">
        <v>3624</v>
      </c>
      <c r="S738" s="2" t="s">
        <v>3613</v>
      </c>
      <c r="T738" s="2" t="s">
        <v>3614</v>
      </c>
      <c r="U738" s="2" t="s">
        <v>3615</v>
      </c>
      <c r="V738" s="23" t="s">
        <v>3616</v>
      </c>
      <c r="W738" s="24" t="s">
        <v>3617</v>
      </c>
      <c r="X738" s="23" t="s">
        <v>3618</v>
      </c>
      <c r="Y738" s="23" t="s">
        <v>3620</v>
      </c>
      <c r="Z738" s="23" t="s">
        <v>3621</v>
      </c>
      <c r="AA738" s="23" t="s">
        <v>3625</v>
      </c>
      <c r="AB738" s="8"/>
      <c r="AC738" s="8"/>
      <c r="AD738" s="8"/>
    </row>
    <row r="739" spans="1:30" ht="15.75" customHeight="1">
      <c r="A739" s="13" t="s">
        <v>782</v>
      </c>
      <c r="B739" s="5">
        <v>2402</v>
      </c>
      <c r="C739" s="6" t="s">
        <v>886</v>
      </c>
      <c r="D739" s="7">
        <v>2022561375</v>
      </c>
      <c r="E739" s="7">
        <v>2201010525</v>
      </c>
      <c r="F739" s="7" t="s">
        <v>1810</v>
      </c>
      <c r="G739" s="7" t="s">
        <v>13</v>
      </c>
      <c r="H739" s="6" t="s">
        <v>887</v>
      </c>
      <c r="I739" s="6" t="s">
        <v>3283</v>
      </c>
      <c r="J739" s="6" t="s">
        <v>3284</v>
      </c>
      <c r="K739" s="6" t="s">
        <v>532</v>
      </c>
      <c r="L739" s="6" t="s">
        <v>21</v>
      </c>
      <c r="M739" s="6" t="s">
        <v>16</v>
      </c>
      <c r="N739" s="7" t="s">
        <v>18</v>
      </c>
      <c r="O739" s="23" t="s">
        <v>3622</v>
      </c>
      <c r="P739" s="23" t="s">
        <v>3623</v>
      </c>
      <c r="R739" s="23" t="s">
        <v>3624</v>
      </c>
      <c r="S739" s="2" t="s">
        <v>3613</v>
      </c>
      <c r="T739" s="2" t="s">
        <v>3614</v>
      </c>
      <c r="U739" s="2" t="s">
        <v>3615</v>
      </c>
      <c r="V739" s="23" t="s">
        <v>3616</v>
      </c>
      <c r="W739" s="24" t="s">
        <v>3617</v>
      </c>
      <c r="X739" s="23" t="s">
        <v>3618</v>
      </c>
      <c r="Y739" s="23" t="s">
        <v>3620</v>
      </c>
      <c r="Z739" s="23" t="s">
        <v>3621</v>
      </c>
      <c r="AA739" s="23" t="s">
        <v>3625</v>
      </c>
      <c r="AB739" s="8"/>
      <c r="AC739" s="8"/>
      <c r="AD739" s="8"/>
    </row>
    <row r="740" spans="1:30" ht="15.75" customHeight="1">
      <c r="A740" s="13" t="s">
        <v>782</v>
      </c>
      <c r="B740" s="5">
        <v>2402</v>
      </c>
      <c r="C740" s="6" t="s">
        <v>852</v>
      </c>
      <c r="D740" s="7">
        <v>2022409593</v>
      </c>
      <c r="E740" s="7">
        <v>2201010527</v>
      </c>
      <c r="F740" s="7" t="s">
        <v>1810</v>
      </c>
      <c r="G740" s="7" t="s">
        <v>13</v>
      </c>
      <c r="H740" s="6" t="s">
        <v>853</v>
      </c>
      <c r="I740" s="6" t="s">
        <v>3285</v>
      </c>
      <c r="J740" s="6" t="s">
        <v>3286</v>
      </c>
      <c r="K740" s="6" t="s">
        <v>532</v>
      </c>
      <c r="L740" s="6" t="s">
        <v>149</v>
      </c>
      <c r="M740" s="6" t="s">
        <v>17</v>
      </c>
      <c r="N740" s="7" t="s">
        <v>18</v>
      </c>
      <c r="O740" s="23" t="s">
        <v>3622</v>
      </c>
      <c r="P740" s="23" t="s">
        <v>3623</v>
      </c>
      <c r="R740" s="23" t="s">
        <v>3624</v>
      </c>
      <c r="S740" s="2" t="s">
        <v>3613</v>
      </c>
      <c r="T740" s="2" t="s">
        <v>3614</v>
      </c>
      <c r="U740" s="2" t="s">
        <v>3615</v>
      </c>
      <c r="V740" s="23" t="s">
        <v>3616</v>
      </c>
      <c r="W740" s="24" t="s">
        <v>3617</v>
      </c>
      <c r="X740" s="23" t="s">
        <v>3618</v>
      </c>
      <c r="Y740" s="23" t="s">
        <v>3620</v>
      </c>
      <c r="Z740" s="23" t="s">
        <v>3621</v>
      </c>
      <c r="AA740" s="23" t="s">
        <v>3625</v>
      </c>
      <c r="AB740" s="8"/>
      <c r="AC740" s="8"/>
      <c r="AD740" s="8"/>
    </row>
    <row r="741" spans="1:30" ht="15.75" customHeight="1">
      <c r="A741" s="13" t="s">
        <v>782</v>
      </c>
      <c r="B741" s="5">
        <v>2402</v>
      </c>
      <c r="C741" s="6" t="s">
        <v>880</v>
      </c>
      <c r="D741" s="7">
        <v>2022548738</v>
      </c>
      <c r="E741" s="7">
        <v>2201010578</v>
      </c>
      <c r="F741" s="7" t="s">
        <v>1810</v>
      </c>
      <c r="G741" s="7" t="s">
        <v>13</v>
      </c>
      <c r="H741" s="6" t="s">
        <v>881</v>
      </c>
      <c r="I741" s="6" t="s">
        <v>3287</v>
      </c>
      <c r="J741" s="6" t="s">
        <v>3288</v>
      </c>
      <c r="K741" s="6" t="s">
        <v>532</v>
      </c>
      <c r="L741" s="6" t="s">
        <v>149</v>
      </c>
      <c r="M741" s="6" t="s">
        <v>16</v>
      </c>
      <c r="N741" s="7" t="s">
        <v>18</v>
      </c>
      <c r="O741" s="23" t="s">
        <v>3622</v>
      </c>
      <c r="P741" s="23" t="s">
        <v>3623</v>
      </c>
      <c r="R741" s="23" t="s">
        <v>3624</v>
      </c>
      <c r="S741" s="2" t="s">
        <v>3613</v>
      </c>
      <c r="T741" s="2" t="s">
        <v>3614</v>
      </c>
      <c r="U741" s="2" t="s">
        <v>3615</v>
      </c>
      <c r="V741" s="23" t="s">
        <v>3616</v>
      </c>
      <c r="W741" s="24" t="s">
        <v>3617</v>
      </c>
      <c r="X741" s="23" t="s">
        <v>3618</v>
      </c>
      <c r="Y741" s="23" t="s">
        <v>3620</v>
      </c>
      <c r="Z741" s="23" t="s">
        <v>3621</v>
      </c>
      <c r="AA741" s="23" t="s">
        <v>3625</v>
      </c>
      <c r="AB741" s="8"/>
      <c r="AC741" s="8"/>
      <c r="AD741" s="8"/>
    </row>
    <row r="742" spans="1:30" ht="15.75" customHeight="1">
      <c r="A742" s="13" t="s">
        <v>782</v>
      </c>
      <c r="B742" s="5">
        <v>2402</v>
      </c>
      <c r="C742" s="6" t="s">
        <v>878</v>
      </c>
      <c r="D742" s="7">
        <v>2022512443</v>
      </c>
      <c r="E742" s="7">
        <v>2201010616</v>
      </c>
      <c r="F742" s="7" t="s">
        <v>1810</v>
      </c>
      <c r="G742" s="7" t="s">
        <v>13</v>
      </c>
      <c r="H742" s="6" t="s">
        <v>879</v>
      </c>
      <c r="I742" s="6" t="s">
        <v>3289</v>
      </c>
      <c r="J742" s="6" t="s">
        <v>3290</v>
      </c>
      <c r="K742" s="6" t="s">
        <v>532</v>
      </c>
      <c r="L742" s="6" t="s">
        <v>17</v>
      </c>
      <c r="M742" s="6" t="s">
        <v>21</v>
      </c>
      <c r="N742" s="7" t="s">
        <v>18</v>
      </c>
      <c r="O742" s="23" t="s">
        <v>3622</v>
      </c>
      <c r="P742" s="23" t="s">
        <v>3623</v>
      </c>
      <c r="R742" s="23" t="s">
        <v>3624</v>
      </c>
      <c r="S742" s="2" t="s">
        <v>3613</v>
      </c>
      <c r="T742" s="2" t="s">
        <v>3614</v>
      </c>
      <c r="U742" s="2" t="s">
        <v>3615</v>
      </c>
      <c r="V742" s="23" t="s">
        <v>3616</v>
      </c>
      <c r="W742" s="24" t="s">
        <v>3617</v>
      </c>
      <c r="X742" s="23" t="s">
        <v>3618</v>
      </c>
      <c r="Y742" s="23" t="s">
        <v>3620</v>
      </c>
      <c r="Z742" s="23" t="s">
        <v>3621</v>
      </c>
      <c r="AA742" s="23" t="s">
        <v>3625</v>
      </c>
      <c r="AB742" s="9"/>
      <c r="AC742" s="9"/>
      <c r="AD742" s="9"/>
    </row>
    <row r="743" spans="1:30" ht="15.75" customHeight="1">
      <c r="A743" s="13" t="s">
        <v>782</v>
      </c>
      <c r="B743" s="5">
        <v>2402</v>
      </c>
      <c r="C743" s="6" t="s">
        <v>816</v>
      </c>
      <c r="D743" s="7">
        <v>2022354910</v>
      </c>
      <c r="E743" s="7">
        <v>2201010644</v>
      </c>
      <c r="F743" s="7" t="s">
        <v>1810</v>
      </c>
      <c r="G743" s="7" t="s">
        <v>13</v>
      </c>
      <c r="H743" s="6" t="s">
        <v>817</v>
      </c>
      <c r="I743" s="6" t="s">
        <v>3291</v>
      </c>
      <c r="J743" s="6" t="s">
        <v>3292</v>
      </c>
      <c r="K743" s="6" t="s">
        <v>532</v>
      </c>
      <c r="L743" s="6" t="s">
        <v>149</v>
      </c>
      <c r="M743" s="6" t="s">
        <v>21</v>
      </c>
      <c r="N743" s="7" t="s">
        <v>18</v>
      </c>
      <c r="O743" s="23" t="s">
        <v>3622</v>
      </c>
      <c r="P743" s="23" t="s">
        <v>3623</v>
      </c>
      <c r="R743" s="23" t="s">
        <v>3624</v>
      </c>
      <c r="S743" s="2" t="s">
        <v>3613</v>
      </c>
      <c r="T743" s="2" t="s">
        <v>3614</v>
      </c>
      <c r="U743" s="2" t="s">
        <v>3615</v>
      </c>
      <c r="V743" s="23" t="s">
        <v>3616</v>
      </c>
      <c r="W743" s="24" t="s">
        <v>3617</v>
      </c>
      <c r="X743" s="23" t="s">
        <v>3618</v>
      </c>
      <c r="Y743" s="23" t="s">
        <v>3620</v>
      </c>
      <c r="Z743" s="23" t="s">
        <v>3621</v>
      </c>
      <c r="AA743" s="23" t="s">
        <v>3625</v>
      </c>
      <c r="AB743" s="9"/>
      <c r="AC743" s="9"/>
      <c r="AD743" s="9"/>
    </row>
    <row r="744" spans="1:30" ht="15.75" customHeight="1">
      <c r="A744" s="13" t="s">
        <v>782</v>
      </c>
      <c r="B744" s="5">
        <v>2402</v>
      </c>
      <c r="C744" s="6" t="s">
        <v>828</v>
      </c>
      <c r="D744" s="7">
        <v>2022005080</v>
      </c>
      <c r="E744" s="7">
        <v>2201010653</v>
      </c>
      <c r="F744" s="7" t="s">
        <v>1810</v>
      </c>
      <c r="G744" s="7" t="s">
        <v>13</v>
      </c>
      <c r="H744" s="6" t="s">
        <v>829</v>
      </c>
      <c r="I744" s="6" t="s">
        <v>3293</v>
      </c>
      <c r="J744" s="6" t="s">
        <v>3294</v>
      </c>
      <c r="K744" s="6" t="s">
        <v>532</v>
      </c>
      <c r="L744" s="6" t="s">
        <v>149</v>
      </c>
      <c r="M744" s="6" t="s">
        <v>16</v>
      </c>
      <c r="N744" s="7" t="s">
        <v>18</v>
      </c>
      <c r="O744" s="23" t="s">
        <v>3622</v>
      </c>
      <c r="P744" s="23" t="s">
        <v>3623</v>
      </c>
      <c r="R744" s="23" t="s">
        <v>3624</v>
      </c>
      <c r="S744" s="2" t="s">
        <v>3613</v>
      </c>
      <c r="T744" s="2" t="s">
        <v>3614</v>
      </c>
      <c r="U744" s="2" t="s">
        <v>3615</v>
      </c>
      <c r="V744" s="23" t="s">
        <v>3616</v>
      </c>
      <c r="W744" s="24" t="s">
        <v>3617</v>
      </c>
      <c r="X744" s="23" t="s">
        <v>3618</v>
      </c>
      <c r="Y744" s="23" t="s">
        <v>3620</v>
      </c>
      <c r="Z744" s="23" t="s">
        <v>3621</v>
      </c>
      <c r="AA744" s="23" t="s">
        <v>3625</v>
      </c>
      <c r="AB744" s="9"/>
      <c r="AC744" s="9"/>
      <c r="AD744" s="9"/>
    </row>
    <row r="745" spans="1:30" ht="15.75" customHeight="1">
      <c r="A745" s="13" t="s">
        <v>782</v>
      </c>
      <c r="B745" s="5">
        <v>2402</v>
      </c>
      <c r="C745" s="6" t="s">
        <v>848</v>
      </c>
      <c r="D745" s="7">
        <v>2022387850</v>
      </c>
      <c r="E745" s="7">
        <v>2201010658</v>
      </c>
      <c r="F745" s="7" t="s">
        <v>1810</v>
      </c>
      <c r="G745" s="7" t="s">
        <v>13</v>
      </c>
      <c r="H745" s="6" t="s">
        <v>849</v>
      </c>
      <c r="I745" s="6" t="s">
        <v>3295</v>
      </c>
      <c r="J745" s="6" t="s">
        <v>3296</v>
      </c>
      <c r="K745" s="6" t="s">
        <v>532</v>
      </c>
      <c r="L745" s="6" t="s">
        <v>21</v>
      </c>
      <c r="M745" s="6" t="s">
        <v>104</v>
      </c>
      <c r="N745" s="7" t="s">
        <v>18</v>
      </c>
      <c r="O745" s="23" t="s">
        <v>3622</v>
      </c>
      <c r="P745" s="23" t="s">
        <v>3623</v>
      </c>
      <c r="R745" s="23" t="s">
        <v>3624</v>
      </c>
      <c r="S745" s="2" t="s">
        <v>3613</v>
      </c>
      <c r="T745" s="2" t="s">
        <v>3614</v>
      </c>
      <c r="U745" s="2" t="s">
        <v>3615</v>
      </c>
      <c r="V745" s="23" t="s">
        <v>3616</v>
      </c>
      <c r="W745" s="24" t="s">
        <v>3617</v>
      </c>
      <c r="X745" s="23" t="s">
        <v>3618</v>
      </c>
      <c r="Y745" s="23" t="s">
        <v>3620</v>
      </c>
      <c r="Z745" s="23" t="s">
        <v>3621</v>
      </c>
      <c r="AA745" s="23" t="s">
        <v>3625</v>
      </c>
      <c r="AB745" s="9"/>
      <c r="AC745" s="9"/>
      <c r="AD745" s="9"/>
    </row>
    <row r="746" spans="1:30" ht="15.75" customHeight="1">
      <c r="A746" s="13" t="s">
        <v>782</v>
      </c>
      <c r="B746" s="5">
        <v>2402</v>
      </c>
      <c r="C746" s="6" t="s">
        <v>842</v>
      </c>
      <c r="D746" s="7">
        <v>2022309446</v>
      </c>
      <c r="E746" s="7">
        <v>2201010663</v>
      </c>
      <c r="F746" s="7" t="s">
        <v>1810</v>
      </c>
      <c r="G746" s="7" t="s">
        <v>13</v>
      </c>
      <c r="H746" s="6" t="s">
        <v>843</v>
      </c>
      <c r="I746" s="6" t="s">
        <v>3297</v>
      </c>
      <c r="J746" s="6" t="s">
        <v>3298</v>
      </c>
      <c r="K746" s="6" t="s">
        <v>532</v>
      </c>
      <c r="L746" s="6" t="s">
        <v>149</v>
      </c>
      <c r="M746" s="6" t="s">
        <v>16</v>
      </c>
      <c r="N746" s="7" t="s">
        <v>18</v>
      </c>
      <c r="O746" s="23" t="s">
        <v>3622</v>
      </c>
      <c r="P746" s="23" t="s">
        <v>3623</v>
      </c>
      <c r="R746" s="23" t="s">
        <v>3624</v>
      </c>
      <c r="S746" s="2" t="s">
        <v>3613</v>
      </c>
      <c r="T746" s="2" t="s">
        <v>3614</v>
      </c>
      <c r="U746" s="2" t="s">
        <v>3615</v>
      </c>
      <c r="V746" s="23" t="s">
        <v>3616</v>
      </c>
      <c r="W746" s="24" t="s">
        <v>3617</v>
      </c>
      <c r="X746" s="23" t="s">
        <v>3618</v>
      </c>
      <c r="Y746" s="23" t="s">
        <v>3620</v>
      </c>
      <c r="Z746" s="23" t="s">
        <v>3621</v>
      </c>
      <c r="AA746" s="23" t="s">
        <v>3625</v>
      </c>
      <c r="AB746" s="9"/>
      <c r="AC746" s="9"/>
      <c r="AD746" s="9"/>
    </row>
    <row r="747" spans="1:30" ht="15.75" customHeight="1">
      <c r="A747" s="13" t="s">
        <v>782</v>
      </c>
      <c r="B747" s="5">
        <v>2402</v>
      </c>
      <c r="C747" s="6" t="s">
        <v>874</v>
      </c>
      <c r="D747" s="7">
        <v>2022499440</v>
      </c>
      <c r="E747" s="7">
        <v>2201010666</v>
      </c>
      <c r="F747" s="7" t="s">
        <v>1810</v>
      </c>
      <c r="G747" s="7" t="s">
        <v>13</v>
      </c>
      <c r="H747" s="6" t="s">
        <v>875</v>
      </c>
      <c r="I747" s="6" t="s">
        <v>3299</v>
      </c>
      <c r="J747" s="6" t="s">
        <v>3300</v>
      </c>
      <c r="K747" s="6" t="s">
        <v>532</v>
      </c>
      <c r="L747" s="6" t="s">
        <v>149</v>
      </c>
      <c r="M747" s="6" t="s">
        <v>21</v>
      </c>
      <c r="N747" s="7" t="s">
        <v>18</v>
      </c>
      <c r="O747" s="23" t="s">
        <v>3622</v>
      </c>
      <c r="P747" s="23" t="s">
        <v>3623</v>
      </c>
      <c r="R747" s="23" t="s">
        <v>3624</v>
      </c>
      <c r="S747" s="2" t="s">
        <v>3613</v>
      </c>
      <c r="T747" s="2" t="s">
        <v>3614</v>
      </c>
      <c r="U747" s="2" t="s">
        <v>3615</v>
      </c>
      <c r="V747" s="23" t="s">
        <v>3616</v>
      </c>
      <c r="W747" s="24" t="s">
        <v>3617</v>
      </c>
      <c r="X747" s="23" t="s">
        <v>3618</v>
      </c>
      <c r="Y747" s="23" t="s">
        <v>3620</v>
      </c>
      <c r="Z747" s="23" t="s">
        <v>3621</v>
      </c>
      <c r="AA747" s="23" t="s">
        <v>3625</v>
      </c>
      <c r="AB747" s="9"/>
      <c r="AC747" s="9"/>
      <c r="AD747" s="9"/>
    </row>
    <row r="748" spans="1:30" ht="15.75" customHeight="1">
      <c r="A748" s="13" t="s">
        <v>782</v>
      </c>
      <c r="B748" s="5">
        <v>2402</v>
      </c>
      <c r="C748" s="6" t="s">
        <v>864</v>
      </c>
      <c r="D748" s="7">
        <v>2022466983</v>
      </c>
      <c r="E748" s="7">
        <v>2201010677</v>
      </c>
      <c r="F748" s="7" t="s">
        <v>1810</v>
      </c>
      <c r="G748" s="7" t="s">
        <v>13</v>
      </c>
      <c r="H748" s="6" t="s">
        <v>865</v>
      </c>
      <c r="I748" s="6" t="s">
        <v>3301</v>
      </c>
      <c r="J748" s="6" t="s">
        <v>3302</v>
      </c>
      <c r="K748" s="6" t="s">
        <v>532</v>
      </c>
      <c r="L748" s="6" t="s">
        <v>21</v>
      </c>
      <c r="M748" s="6" t="s">
        <v>104</v>
      </c>
      <c r="N748" s="7" t="s">
        <v>18</v>
      </c>
      <c r="O748" s="23" t="s">
        <v>3622</v>
      </c>
      <c r="P748" s="23" t="s">
        <v>3623</v>
      </c>
      <c r="R748" s="23" t="s">
        <v>3624</v>
      </c>
      <c r="S748" s="2" t="s">
        <v>3613</v>
      </c>
      <c r="T748" s="2" t="s">
        <v>3614</v>
      </c>
      <c r="U748" s="2" t="s">
        <v>3615</v>
      </c>
      <c r="V748" s="23" t="s">
        <v>3616</v>
      </c>
      <c r="W748" s="24" t="s">
        <v>3617</v>
      </c>
      <c r="X748" s="23" t="s">
        <v>3618</v>
      </c>
      <c r="Y748" s="23" t="s">
        <v>3620</v>
      </c>
      <c r="Z748" s="23" t="s">
        <v>3621</v>
      </c>
      <c r="AA748" s="23" t="s">
        <v>3625</v>
      </c>
      <c r="AB748" s="9"/>
      <c r="AC748" s="9"/>
      <c r="AD748" s="9"/>
    </row>
    <row r="749" spans="1:30" ht="15.75" customHeight="1">
      <c r="A749" s="13" t="s">
        <v>782</v>
      </c>
      <c r="B749" s="5">
        <v>2402</v>
      </c>
      <c r="C749" s="6" t="s">
        <v>854</v>
      </c>
      <c r="D749" s="7">
        <v>2022409813</v>
      </c>
      <c r="E749" s="7">
        <v>2201010702</v>
      </c>
      <c r="F749" s="7" t="s">
        <v>1810</v>
      </c>
      <c r="G749" s="7" t="s">
        <v>13</v>
      </c>
      <c r="H749" s="6" t="s">
        <v>855</v>
      </c>
      <c r="I749" s="6" t="s">
        <v>3303</v>
      </c>
      <c r="J749" s="6" t="s">
        <v>3304</v>
      </c>
      <c r="K749" s="6" t="s">
        <v>532</v>
      </c>
      <c r="L749" s="6" t="s">
        <v>21</v>
      </c>
      <c r="M749" s="6" t="s">
        <v>26</v>
      </c>
      <c r="N749" s="7" t="s">
        <v>18</v>
      </c>
      <c r="O749" s="23" t="s">
        <v>3622</v>
      </c>
      <c r="P749" s="23" t="s">
        <v>3623</v>
      </c>
      <c r="R749" s="23" t="s">
        <v>3624</v>
      </c>
      <c r="S749" s="2" t="s">
        <v>3613</v>
      </c>
      <c r="T749" s="2" t="s">
        <v>3614</v>
      </c>
      <c r="U749" s="2" t="s">
        <v>3615</v>
      </c>
      <c r="V749" s="23" t="s">
        <v>3616</v>
      </c>
      <c r="W749" s="24" t="s">
        <v>3617</v>
      </c>
      <c r="X749" s="23" t="s">
        <v>3618</v>
      </c>
      <c r="Y749" s="23" t="s">
        <v>3620</v>
      </c>
      <c r="Z749" s="23" t="s">
        <v>3621</v>
      </c>
      <c r="AA749" s="23" t="s">
        <v>3625</v>
      </c>
    </row>
    <row r="750" spans="1:30" ht="15.75" customHeight="1">
      <c r="A750" s="13" t="s">
        <v>782</v>
      </c>
      <c r="B750" s="5">
        <v>2402</v>
      </c>
      <c r="C750" s="6" t="s">
        <v>893</v>
      </c>
      <c r="D750" s="7">
        <v>2022816972</v>
      </c>
      <c r="E750" s="7">
        <v>2201010707</v>
      </c>
      <c r="F750" s="7" t="s">
        <v>1810</v>
      </c>
      <c r="G750" s="7" t="s">
        <v>13</v>
      </c>
      <c r="H750" s="6" t="s">
        <v>894</v>
      </c>
      <c r="I750" s="6" t="s">
        <v>3305</v>
      </c>
      <c r="J750" s="6" t="s">
        <v>3306</v>
      </c>
      <c r="K750" s="6" t="s">
        <v>532</v>
      </c>
      <c r="L750" s="6" t="s">
        <v>149</v>
      </c>
      <c r="M750" s="6" t="s">
        <v>26</v>
      </c>
      <c r="N750" s="7" t="s">
        <v>18</v>
      </c>
      <c r="O750" s="23" t="s">
        <v>3622</v>
      </c>
      <c r="P750" s="23" t="s">
        <v>3623</v>
      </c>
      <c r="R750" s="23" t="s">
        <v>3624</v>
      </c>
      <c r="S750" s="2" t="s">
        <v>3613</v>
      </c>
      <c r="T750" s="2" t="s">
        <v>3614</v>
      </c>
      <c r="U750" s="2" t="s">
        <v>3615</v>
      </c>
      <c r="V750" s="23" t="s">
        <v>3616</v>
      </c>
      <c r="W750" s="24" t="s">
        <v>3617</v>
      </c>
      <c r="X750" s="23" t="s">
        <v>3618</v>
      </c>
      <c r="Y750" s="23" t="s">
        <v>3620</v>
      </c>
      <c r="Z750" s="23" t="s">
        <v>3621</v>
      </c>
      <c r="AA750" s="23" t="s">
        <v>3625</v>
      </c>
    </row>
    <row r="751" spans="1:30" ht="15.75" customHeight="1">
      <c r="A751" s="13" t="s">
        <v>782</v>
      </c>
      <c r="B751" s="5">
        <v>2402</v>
      </c>
      <c r="C751" s="6" t="s">
        <v>866</v>
      </c>
      <c r="D751" s="7">
        <v>2022471296</v>
      </c>
      <c r="E751" s="7">
        <v>2201010717</v>
      </c>
      <c r="F751" s="7" t="s">
        <v>1810</v>
      </c>
      <c r="G751" s="7" t="s">
        <v>13</v>
      </c>
      <c r="H751" s="6" t="s">
        <v>867</v>
      </c>
      <c r="I751" s="6" t="s">
        <v>3307</v>
      </c>
      <c r="J751" s="6" t="s">
        <v>3308</v>
      </c>
      <c r="K751" s="6" t="s">
        <v>532</v>
      </c>
      <c r="L751" s="6" t="s">
        <v>21</v>
      </c>
      <c r="M751" s="6" t="s">
        <v>117</v>
      </c>
      <c r="N751" s="7" t="s">
        <v>18</v>
      </c>
      <c r="O751" s="23" t="s">
        <v>3622</v>
      </c>
      <c r="P751" s="23" t="s">
        <v>3623</v>
      </c>
      <c r="R751" s="23" t="s">
        <v>3624</v>
      </c>
      <c r="S751" s="2" t="s">
        <v>3613</v>
      </c>
      <c r="T751" s="2" t="s">
        <v>3614</v>
      </c>
      <c r="U751" s="2" t="s">
        <v>3615</v>
      </c>
      <c r="V751" s="23" t="s">
        <v>3616</v>
      </c>
      <c r="W751" s="24" t="s">
        <v>3617</v>
      </c>
      <c r="X751" s="23" t="s">
        <v>3618</v>
      </c>
      <c r="Y751" s="23" t="s">
        <v>3620</v>
      </c>
      <c r="Z751" s="23" t="s">
        <v>3621</v>
      </c>
      <c r="AA751" s="23" t="s">
        <v>3625</v>
      </c>
      <c r="AB751" s="9"/>
      <c r="AC751" s="9"/>
      <c r="AD751" s="9"/>
    </row>
    <row r="752" spans="1:30" ht="15.75" customHeight="1">
      <c r="A752" s="13" t="s">
        <v>782</v>
      </c>
      <c r="B752" s="5">
        <v>2402</v>
      </c>
      <c r="C752" s="6" t="s">
        <v>870</v>
      </c>
      <c r="D752" s="7">
        <v>2022482202</v>
      </c>
      <c r="E752" s="7">
        <v>2201010805</v>
      </c>
      <c r="F752" s="7" t="s">
        <v>1810</v>
      </c>
      <c r="G752" s="7" t="s">
        <v>13</v>
      </c>
      <c r="H752" s="6" t="s">
        <v>871</v>
      </c>
      <c r="I752" s="6" t="s">
        <v>3309</v>
      </c>
      <c r="J752" s="6" t="s">
        <v>3310</v>
      </c>
      <c r="K752" s="6" t="s">
        <v>532</v>
      </c>
      <c r="L752" s="6" t="s">
        <v>21</v>
      </c>
      <c r="M752" s="6" t="s">
        <v>149</v>
      </c>
      <c r="N752" s="7" t="s">
        <v>18</v>
      </c>
      <c r="O752" s="23" t="s">
        <v>3622</v>
      </c>
      <c r="P752" s="23" t="s">
        <v>3623</v>
      </c>
      <c r="R752" s="23" t="s">
        <v>3624</v>
      </c>
      <c r="S752" s="2" t="s">
        <v>3613</v>
      </c>
      <c r="T752" s="2" t="s">
        <v>3614</v>
      </c>
      <c r="U752" s="2" t="s">
        <v>3615</v>
      </c>
      <c r="V752" s="23" t="s">
        <v>3616</v>
      </c>
      <c r="W752" s="24" t="s">
        <v>3617</v>
      </c>
      <c r="X752" s="23" t="s">
        <v>3618</v>
      </c>
      <c r="Y752" s="23" t="s">
        <v>3620</v>
      </c>
      <c r="Z752" s="23" t="s">
        <v>3621</v>
      </c>
      <c r="AA752" s="23" t="s">
        <v>3625</v>
      </c>
    </row>
    <row r="753" spans="1:30" ht="15.75" customHeight="1">
      <c r="A753" s="13" t="s">
        <v>782</v>
      </c>
      <c r="B753" s="5">
        <v>2402</v>
      </c>
      <c r="C753" s="6" t="s">
        <v>858</v>
      </c>
      <c r="D753" s="7">
        <v>2022427832</v>
      </c>
      <c r="E753" s="7">
        <v>2201010809</v>
      </c>
      <c r="F753" s="7" t="s">
        <v>1810</v>
      </c>
      <c r="G753" s="7" t="s">
        <v>13</v>
      </c>
      <c r="H753" s="6" t="s">
        <v>859</v>
      </c>
      <c r="I753" s="6" t="s">
        <v>3311</v>
      </c>
      <c r="J753" s="6" t="s">
        <v>3312</v>
      </c>
      <c r="K753" s="6" t="s">
        <v>532</v>
      </c>
      <c r="L753" s="6" t="s">
        <v>21</v>
      </c>
      <c r="M753" s="6" t="s">
        <v>21</v>
      </c>
      <c r="N753" s="7" t="s">
        <v>18</v>
      </c>
      <c r="O753" s="23" t="s">
        <v>3622</v>
      </c>
      <c r="P753" s="23" t="s">
        <v>3623</v>
      </c>
      <c r="R753" s="23" t="s">
        <v>3624</v>
      </c>
      <c r="S753" s="2" t="s">
        <v>3613</v>
      </c>
      <c r="T753" s="2" t="s">
        <v>3614</v>
      </c>
      <c r="U753" s="2" t="s">
        <v>3615</v>
      </c>
      <c r="V753" s="23" t="s">
        <v>3616</v>
      </c>
      <c r="W753" s="24" t="s">
        <v>3617</v>
      </c>
      <c r="X753" s="23" t="s">
        <v>3618</v>
      </c>
      <c r="Y753" s="23" t="s">
        <v>3620</v>
      </c>
      <c r="Z753" s="23" t="s">
        <v>3621</v>
      </c>
      <c r="AA753" s="23" t="s">
        <v>3625</v>
      </c>
    </row>
    <row r="754" spans="1:30" ht="15.75" customHeight="1">
      <c r="A754" s="13" t="s">
        <v>782</v>
      </c>
      <c r="B754" s="5">
        <v>2402</v>
      </c>
      <c r="C754" s="6" t="s">
        <v>838</v>
      </c>
      <c r="D754" s="7">
        <v>2022007193</v>
      </c>
      <c r="E754" s="7">
        <v>2201010923</v>
      </c>
      <c r="F754" s="7" t="s">
        <v>1810</v>
      </c>
      <c r="G754" s="7" t="s">
        <v>13</v>
      </c>
      <c r="H754" s="6" t="s">
        <v>839</v>
      </c>
      <c r="I754" s="6" t="s">
        <v>3313</v>
      </c>
      <c r="J754" s="6" t="s">
        <v>3314</v>
      </c>
      <c r="K754" s="6" t="s">
        <v>532</v>
      </c>
      <c r="L754" s="6" t="s">
        <v>21</v>
      </c>
      <c r="M754" s="6" t="s">
        <v>26</v>
      </c>
      <c r="N754" s="7" t="s">
        <v>18</v>
      </c>
      <c r="O754" s="23" t="s">
        <v>3622</v>
      </c>
      <c r="P754" s="23" t="s">
        <v>3623</v>
      </c>
      <c r="R754" s="23" t="s">
        <v>3624</v>
      </c>
      <c r="S754" s="2" t="s">
        <v>3613</v>
      </c>
      <c r="T754" s="2" t="s">
        <v>3614</v>
      </c>
      <c r="U754" s="2" t="s">
        <v>3615</v>
      </c>
      <c r="V754" s="23" t="s">
        <v>3616</v>
      </c>
      <c r="W754" s="24" t="s">
        <v>3617</v>
      </c>
      <c r="X754" s="23" t="s">
        <v>3618</v>
      </c>
      <c r="Y754" s="23" t="s">
        <v>3620</v>
      </c>
      <c r="Z754" s="23" t="s">
        <v>3621</v>
      </c>
      <c r="AA754" s="23" t="s">
        <v>3625</v>
      </c>
    </row>
    <row r="755" spans="1:30" ht="15.75" customHeight="1">
      <c r="A755" s="13" t="s">
        <v>782</v>
      </c>
      <c r="B755" s="5">
        <v>2402</v>
      </c>
      <c r="C755" s="6" t="s">
        <v>377</v>
      </c>
      <c r="D755" s="7">
        <v>2022618129</v>
      </c>
      <c r="E755" s="7">
        <v>2201010938</v>
      </c>
      <c r="F755" s="7" t="s">
        <v>1810</v>
      </c>
      <c r="G755" s="7" t="s">
        <v>13</v>
      </c>
      <c r="H755" s="6" t="s">
        <v>888</v>
      </c>
      <c r="I755" s="6" t="s">
        <v>3315</v>
      </c>
      <c r="J755" s="6" t="s">
        <v>3316</v>
      </c>
      <c r="K755" s="6" t="s">
        <v>532</v>
      </c>
      <c r="L755" s="6" t="s">
        <v>21</v>
      </c>
      <c r="M755" s="6" t="s">
        <v>26</v>
      </c>
      <c r="N755" s="7" t="s">
        <v>174</v>
      </c>
      <c r="O755" s="23" t="s">
        <v>3622</v>
      </c>
      <c r="P755" s="23" t="s">
        <v>3623</v>
      </c>
      <c r="R755" s="23" t="s">
        <v>3624</v>
      </c>
      <c r="S755" s="2" t="s">
        <v>3613</v>
      </c>
      <c r="T755" s="2" t="s">
        <v>3614</v>
      </c>
      <c r="U755" s="2" t="s">
        <v>3615</v>
      </c>
      <c r="V755" s="23" t="s">
        <v>3616</v>
      </c>
      <c r="W755" s="24" t="s">
        <v>3617</v>
      </c>
      <c r="X755" s="23" t="s">
        <v>3618</v>
      </c>
      <c r="Y755" s="23" t="s">
        <v>3620</v>
      </c>
      <c r="Z755" s="23" t="s">
        <v>3621</v>
      </c>
      <c r="AA755" s="23" t="s">
        <v>3625</v>
      </c>
    </row>
    <row r="756" spans="1:30" ht="15.75" customHeight="1">
      <c r="A756" s="13" t="s">
        <v>782</v>
      </c>
      <c r="B756" s="5">
        <v>2402</v>
      </c>
      <c r="C756" s="6" t="s">
        <v>889</v>
      </c>
      <c r="D756" s="7">
        <v>2022623875</v>
      </c>
      <c r="E756" s="7">
        <v>2201010940</v>
      </c>
      <c r="F756" s="7" t="s">
        <v>1810</v>
      </c>
      <c r="G756" s="7" t="s">
        <v>13</v>
      </c>
      <c r="H756" s="6" t="s">
        <v>890</v>
      </c>
      <c r="I756" s="6" t="s">
        <v>3317</v>
      </c>
      <c r="J756" s="6" t="s">
        <v>3318</v>
      </c>
      <c r="K756" s="6" t="s">
        <v>532</v>
      </c>
      <c r="L756" s="6" t="s">
        <v>21</v>
      </c>
      <c r="M756" s="6" t="s">
        <v>26</v>
      </c>
      <c r="N756" s="7" t="s">
        <v>18</v>
      </c>
      <c r="O756" s="23" t="s">
        <v>3622</v>
      </c>
      <c r="P756" s="23" t="s">
        <v>3623</v>
      </c>
      <c r="R756" s="23" t="s">
        <v>3624</v>
      </c>
      <c r="S756" s="2" t="s">
        <v>3613</v>
      </c>
      <c r="T756" s="2" t="s">
        <v>3614</v>
      </c>
      <c r="U756" s="2" t="s">
        <v>3615</v>
      </c>
      <c r="V756" s="23" t="s">
        <v>3616</v>
      </c>
      <c r="W756" s="24" t="s">
        <v>3617</v>
      </c>
      <c r="X756" s="23" t="s">
        <v>3618</v>
      </c>
      <c r="Y756" s="23" t="s">
        <v>3620</v>
      </c>
      <c r="Z756" s="23" t="s">
        <v>3621</v>
      </c>
      <c r="AA756" s="23" t="s">
        <v>3625</v>
      </c>
    </row>
    <row r="757" spans="1:30" ht="15.75" customHeight="1">
      <c r="A757" s="13" t="s">
        <v>782</v>
      </c>
      <c r="B757" s="5">
        <v>2402</v>
      </c>
      <c r="C757" s="6" t="s">
        <v>1389</v>
      </c>
      <c r="D757" s="7">
        <v>2023253225</v>
      </c>
      <c r="E757" s="7">
        <v>2301017016</v>
      </c>
      <c r="F757" s="7" t="s">
        <v>1810</v>
      </c>
      <c r="G757" s="7" t="s">
        <v>13</v>
      </c>
      <c r="H757" s="6" t="s">
        <v>1390</v>
      </c>
      <c r="I757" s="6" t="s">
        <v>3319</v>
      </c>
      <c r="J757" s="6" t="s">
        <v>3320</v>
      </c>
      <c r="K757" s="6" t="s">
        <v>532</v>
      </c>
      <c r="L757" s="6" t="s">
        <v>149</v>
      </c>
      <c r="M757" s="6" t="s">
        <v>49</v>
      </c>
      <c r="N757" s="7" t="s">
        <v>18</v>
      </c>
      <c r="O757" s="23" t="s">
        <v>3622</v>
      </c>
      <c r="P757" s="23" t="s">
        <v>3623</v>
      </c>
      <c r="R757" s="23" t="s">
        <v>3624</v>
      </c>
      <c r="S757" s="2" t="s">
        <v>3613</v>
      </c>
      <c r="T757" s="2" t="s">
        <v>3614</v>
      </c>
      <c r="U757" s="2" t="s">
        <v>3615</v>
      </c>
      <c r="V757" s="23" t="s">
        <v>3616</v>
      </c>
      <c r="W757" s="24" t="s">
        <v>3617</v>
      </c>
      <c r="X757" s="23" t="s">
        <v>3618</v>
      </c>
      <c r="Y757" s="23" t="s">
        <v>3620</v>
      </c>
      <c r="Z757" s="23" t="s">
        <v>3621</v>
      </c>
      <c r="AA757" s="23" t="s">
        <v>3625</v>
      </c>
    </row>
    <row r="758" spans="1:30" ht="15.75" customHeight="1">
      <c r="A758" s="13" t="s">
        <v>782</v>
      </c>
      <c r="B758" s="5">
        <v>2402</v>
      </c>
      <c r="C758" s="6" t="s">
        <v>1466</v>
      </c>
      <c r="D758" s="7">
        <v>2022460800</v>
      </c>
      <c r="E758" s="7">
        <v>2201010164</v>
      </c>
      <c r="F758" s="7" t="s">
        <v>1810</v>
      </c>
      <c r="G758" s="7" t="s">
        <v>13</v>
      </c>
      <c r="H758" s="6" t="s">
        <v>1467</v>
      </c>
      <c r="I758" s="6" t="s">
        <v>3321</v>
      </c>
      <c r="J758" s="6" t="s">
        <v>3322</v>
      </c>
      <c r="K758" s="6" t="s">
        <v>1276</v>
      </c>
      <c r="L758" s="6" t="s">
        <v>21</v>
      </c>
      <c r="M758" s="6" t="s">
        <v>16</v>
      </c>
      <c r="N758" s="7" t="s">
        <v>18</v>
      </c>
      <c r="O758" s="23" t="s">
        <v>3626</v>
      </c>
      <c r="P758" s="23" t="s">
        <v>3627</v>
      </c>
      <c r="R758" s="23" t="s">
        <v>3628</v>
      </c>
      <c r="S758" s="2" t="s">
        <v>3613</v>
      </c>
      <c r="T758" s="2" t="s">
        <v>3614</v>
      </c>
      <c r="U758" s="2" t="s">
        <v>3615</v>
      </c>
      <c r="V758" s="23" t="s">
        <v>3616</v>
      </c>
      <c r="W758" s="24" t="s">
        <v>3617</v>
      </c>
      <c r="X758" s="23" t="s">
        <v>3618</v>
      </c>
      <c r="Y758" s="23" t="s">
        <v>3620</v>
      </c>
      <c r="Z758" s="23" t="s">
        <v>3621</v>
      </c>
      <c r="AA758" s="23" t="s">
        <v>3629</v>
      </c>
    </row>
    <row r="759" spans="1:30" ht="15.75" customHeight="1">
      <c r="A759" s="13" t="s">
        <v>782</v>
      </c>
      <c r="B759" s="5">
        <v>2402</v>
      </c>
      <c r="C759" s="6" t="s">
        <v>1447</v>
      </c>
      <c r="D759" s="7">
        <v>2022320806</v>
      </c>
      <c r="E759" s="7">
        <v>2201010303</v>
      </c>
      <c r="F759" s="7" t="s">
        <v>1810</v>
      </c>
      <c r="G759" s="7" t="s">
        <v>13</v>
      </c>
      <c r="H759" s="6" t="s">
        <v>1448</v>
      </c>
      <c r="I759" s="6" t="s">
        <v>3323</v>
      </c>
      <c r="J759" s="6" t="s">
        <v>3324</v>
      </c>
      <c r="K759" s="6" t="s">
        <v>1276</v>
      </c>
      <c r="L759" s="6" t="s">
        <v>26</v>
      </c>
      <c r="M759" s="6" t="s">
        <v>104</v>
      </c>
      <c r="N759" s="7" t="s">
        <v>18</v>
      </c>
      <c r="O759" s="23" t="s">
        <v>3626</v>
      </c>
      <c r="P759" s="23" t="s">
        <v>3627</v>
      </c>
      <c r="R759" s="23" t="s">
        <v>3628</v>
      </c>
      <c r="S759" s="2" t="s">
        <v>3613</v>
      </c>
      <c r="T759" s="2" t="s">
        <v>3614</v>
      </c>
      <c r="U759" s="2" t="s">
        <v>3615</v>
      </c>
      <c r="V759" s="23" t="s">
        <v>3616</v>
      </c>
      <c r="W759" s="24" t="s">
        <v>3617</v>
      </c>
      <c r="X759" s="23" t="s">
        <v>3618</v>
      </c>
      <c r="Y759" s="23" t="s">
        <v>3620</v>
      </c>
      <c r="Z759" s="23" t="s">
        <v>3621</v>
      </c>
      <c r="AA759" s="23" t="s">
        <v>3629</v>
      </c>
    </row>
    <row r="760" spans="1:30" ht="15.75" customHeight="1">
      <c r="A760" s="13" t="s">
        <v>782</v>
      </c>
      <c r="B760" s="5">
        <v>2402</v>
      </c>
      <c r="C760" s="6" t="s">
        <v>1462</v>
      </c>
      <c r="D760" s="7">
        <v>2022405621</v>
      </c>
      <c r="E760" s="7">
        <v>2201010396</v>
      </c>
      <c r="F760" s="7" t="s">
        <v>1810</v>
      </c>
      <c r="G760" s="7" t="s">
        <v>13</v>
      </c>
      <c r="H760" s="6" t="s">
        <v>1463</v>
      </c>
      <c r="I760" s="6" t="s">
        <v>3325</v>
      </c>
      <c r="J760" s="6" t="s">
        <v>3326</v>
      </c>
      <c r="K760" s="6" t="s">
        <v>1276</v>
      </c>
      <c r="L760" s="6" t="s">
        <v>21</v>
      </c>
      <c r="M760" s="6" t="s">
        <v>104</v>
      </c>
      <c r="N760" s="7" t="s">
        <v>18</v>
      </c>
      <c r="O760" s="23" t="s">
        <v>3626</v>
      </c>
      <c r="P760" s="23" t="s">
        <v>3627</v>
      </c>
      <c r="R760" s="23" t="s">
        <v>3628</v>
      </c>
      <c r="S760" s="2" t="s">
        <v>3613</v>
      </c>
      <c r="T760" s="2" t="s">
        <v>3614</v>
      </c>
      <c r="U760" s="2" t="s">
        <v>3615</v>
      </c>
      <c r="V760" s="23" t="s">
        <v>3616</v>
      </c>
      <c r="W760" s="24" t="s">
        <v>3617</v>
      </c>
      <c r="X760" s="23" t="s">
        <v>3618</v>
      </c>
      <c r="Y760" s="23" t="s">
        <v>3620</v>
      </c>
      <c r="Z760" s="23" t="s">
        <v>3621</v>
      </c>
      <c r="AA760" s="23" t="s">
        <v>3629</v>
      </c>
    </row>
    <row r="761" spans="1:30" ht="15.75" customHeight="1">
      <c r="A761" s="13" t="s">
        <v>782</v>
      </c>
      <c r="B761" s="5">
        <v>2402</v>
      </c>
      <c r="C761" s="6" t="s">
        <v>1458</v>
      </c>
      <c r="D761" s="7">
        <v>2022396862</v>
      </c>
      <c r="E761" s="7">
        <v>2201010626</v>
      </c>
      <c r="F761" s="7" t="s">
        <v>1810</v>
      </c>
      <c r="G761" s="7" t="s">
        <v>13</v>
      </c>
      <c r="H761" s="6" t="s">
        <v>1459</v>
      </c>
      <c r="I761" s="6" t="s">
        <v>3327</v>
      </c>
      <c r="J761" s="6" t="s">
        <v>3328</v>
      </c>
      <c r="K761" s="6" t="s">
        <v>1276</v>
      </c>
      <c r="L761" s="6" t="s">
        <v>21</v>
      </c>
      <c r="M761" s="6" t="s">
        <v>104</v>
      </c>
      <c r="N761" s="7" t="s">
        <v>18</v>
      </c>
      <c r="O761" s="23" t="s">
        <v>3626</v>
      </c>
      <c r="P761" s="23" t="s">
        <v>3627</v>
      </c>
      <c r="R761" s="23" t="s">
        <v>3628</v>
      </c>
      <c r="S761" s="2" t="s">
        <v>3613</v>
      </c>
      <c r="T761" s="2" t="s">
        <v>3614</v>
      </c>
      <c r="U761" s="2" t="s">
        <v>3615</v>
      </c>
      <c r="V761" s="23" t="s">
        <v>3616</v>
      </c>
      <c r="W761" s="24" t="s">
        <v>3617</v>
      </c>
      <c r="X761" s="23" t="s">
        <v>3618</v>
      </c>
      <c r="Y761" s="23" t="s">
        <v>3620</v>
      </c>
      <c r="Z761" s="23" t="s">
        <v>3621</v>
      </c>
      <c r="AA761" s="23" t="s">
        <v>3629</v>
      </c>
      <c r="AB761" s="9"/>
      <c r="AC761" s="9"/>
      <c r="AD761" s="9"/>
    </row>
    <row r="762" spans="1:30" ht="15.75" customHeight="1">
      <c r="A762" s="13" t="s">
        <v>782</v>
      </c>
      <c r="B762" s="5">
        <v>2402</v>
      </c>
      <c r="C762" s="6" t="s">
        <v>1470</v>
      </c>
      <c r="D762" s="7">
        <v>2022487134</v>
      </c>
      <c r="E762" s="7">
        <v>2201010638</v>
      </c>
      <c r="F762" s="7" t="s">
        <v>1810</v>
      </c>
      <c r="G762" s="7" t="s">
        <v>13</v>
      </c>
      <c r="H762" s="6" t="s">
        <v>1471</v>
      </c>
      <c r="I762" s="6" t="s">
        <v>3329</v>
      </c>
      <c r="J762" s="6" t="s">
        <v>3330</v>
      </c>
      <c r="K762" s="6" t="s">
        <v>1276</v>
      </c>
      <c r="L762" s="6" t="s">
        <v>104</v>
      </c>
      <c r="M762" s="6" t="s">
        <v>26</v>
      </c>
      <c r="N762" s="7" t="s">
        <v>18</v>
      </c>
      <c r="O762" s="23" t="s">
        <v>3626</v>
      </c>
      <c r="P762" s="23" t="s">
        <v>3627</v>
      </c>
      <c r="R762" s="23" t="s">
        <v>3628</v>
      </c>
      <c r="S762" s="2" t="s">
        <v>3613</v>
      </c>
      <c r="T762" s="2" t="s">
        <v>3614</v>
      </c>
      <c r="U762" s="2" t="s">
        <v>3615</v>
      </c>
      <c r="V762" s="23" t="s">
        <v>3616</v>
      </c>
      <c r="W762" s="24" t="s">
        <v>3617</v>
      </c>
      <c r="X762" s="23" t="s">
        <v>3618</v>
      </c>
      <c r="Y762" s="23" t="s">
        <v>3620</v>
      </c>
      <c r="Z762" s="23" t="s">
        <v>3621</v>
      </c>
      <c r="AA762" s="23" t="s">
        <v>3629</v>
      </c>
      <c r="AB762" s="9"/>
      <c r="AC762" s="9"/>
      <c r="AD762" s="9"/>
    </row>
    <row r="763" spans="1:30" ht="15.75" customHeight="1">
      <c r="A763" s="13" t="s">
        <v>782</v>
      </c>
      <c r="B763" s="5">
        <v>2402</v>
      </c>
      <c r="C763" s="6" t="s">
        <v>1476</v>
      </c>
      <c r="D763" s="7">
        <v>2022542651</v>
      </c>
      <c r="E763" s="7">
        <v>2201010947</v>
      </c>
      <c r="F763" s="7" t="s">
        <v>1810</v>
      </c>
      <c r="G763" s="7" t="s">
        <v>13</v>
      </c>
      <c r="H763" s="6" t="s">
        <v>1477</v>
      </c>
      <c r="I763" s="6" t="s">
        <v>3331</v>
      </c>
      <c r="J763" s="6" t="s">
        <v>3332</v>
      </c>
      <c r="K763" s="6" t="s">
        <v>1276</v>
      </c>
      <c r="L763" s="6" t="s">
        <v>21</v>
      </c>
      <c r="M763" s="6" t="s">
        <v>104</v>
      </c>
      <c r="N763" s="7" t="s">
        <v>18</v>
      </c>
      <c r="O763" s="23" t="s">
        <v>3626</v>
      </c>
      <c r="P763" s="23" t="s">
        <v>3627</v>
      </c>
      <c r="R763" s="23" t="s">
        <v>3628</v>
      </c>
      <c r="S763" s="2" t="s">
        <v>3613</v>
      </c>
      <c r="T763" s="2" t="s">
        <v>3614</v>
      </c>
      <c r="U763" s="2" t="s">
        <v>3615</v>
      </c>
      <c r="V763" s="23" t="s">
        <v>3616</v>
      </c>
      <c r="W763" s="24" t="s">
        <v>3617</v>
      </c>
      <c r="X763" s="23" t="s">
        <v>3618</v>
      </c>
      <c r="Y763" s="23" t="s">
        <v>3620</v>
      </c>
      <c r="Z763" s="23" t="s">
        <v>3621</v>
      </c>
      <c r="AA763" s="23" t="s">
        <v>3629</v>
      </c>
      <c r="AB763" s="9"/>
      <c r="AC763" s="9"/>
      <c r="AD763" s="9"/>
    </row>
    <row r="764" spans="1:30" ht="15.75" customHeight="1">
      <c r="A764" s="13" t="s">
        <v>782</v>
      </c>
      <c r="B764" s="5">
        <v>2402</v>
      </c>
      <c r="C764" s="6" t="s">
        <v>1490</v>
      </c>
      <c r="D764" s="7">
        <v>2022603988</v>
      </c>
      <c r="E764" s="7">
        <v>2201010953</v>
      </c>
      <c r="F764" s="7" t="s">
        <v>1810</v>
      </c>
      <c r="G764" s="7" t="s">
        <v>13</v>
      </c>
      <c r="H764" s="6" t="s">
        <v>1491</v>
      </c>
      <c r="I764" s="6" t="s">
        <v>3333</v>
      </c>
      <c r="J764" s="6" t="s">
        <v>3334</v>
      </c>
      <c r="K764" s="6" t="s">
        <v>1276</v>
      </c>
      <c r="L764" s="6" t="s">
        <v>21</v>
      </c>
      <c r="M764" s="6" t="s">
        <v>139</v>
      </c>
      <c r="N764" s="7" t="s">
        <v>18</v>
      </c>
      <c r="O764" s="23" t="s">
        <v>3626</v>
      </c>
      <c r="P764" s="23" t="s">
        <v>3627</v>
      </c>
      <c r="R764" s="23" t="s">
        <v>3628</v>
      </c>
      <c r="S764" s="2" t="s">
        <v>3613</v>
      </c>
      <c r="T764" s="2" t="s">
        <v>3614</v>
      </c>
      <c r="U764" s="2" t="s">
        <v>3615</v>
      </c>
      <c r="V764" s="23" t="s">
        <v>3616</v>
      </c>
      <c r="W764" s="24" t="s">
        <v>3617</v>
      </c>
      <c r="X764" s="23" t="s">
        <v>3618</v>
      </c>
      <c r="Y764" s="23" t="s">
        <v>3620</v>
      </c>
      <c r="Z764" s="23" t="s">
        <v>3621</v>
      </c>
      <c r="AA764" s="23" t="s">
        <v>3629</v>
      </c>
    </row>
    <row r="765" spans="1:30" ht="15.75" customHeight="1">
      <c r="A765" s="13" t="s">
        <v>782</v>
      </c>
      <c r="B765" s="5">
        <v>2402</v>
      </c>
      <c r="C765" s="6" t="s">
        <v>1439</v>
      </c>
      <c r="D765" s="7">
        <v>2022008213</v>
      </c>
      <c r="E765" s="7">
        <v>2201010981</v>
      </c>
      <c r="F765" s="7" t="s">
        <v>1810</v>
      </c>
      <c r="G765" s="7" t="s">
        <v>13</v>
      </c>
      <c r="H765" s="6" t="s">
        <v>1440</v>
      </c>
      <c r="I765" s="6" t="s">
        <v>3335</v>
      </c>
      <c r="J765" s="6" t="s">
        <v>3336</v>
      </c>
      <c r="K765" s="6" t="s">
        <v>1276</v>
      </c>
      <c r="L765" s="6" t="s">
        <v>21</v>
      </c>
      <c r="M765" s="6" t="s">
        <v>104</v>
      </c>
      <c r="N765" s="7" t="s">
        <v>18</v>
      </c>
      <c r="O765" s="23" t="s">
        <v>3626</v>
      </c>
      <c r="P765" s="23" t="s">
        <v>3627</v>
      </c>
      <c r="R765" s="23" t="s">
        <v>3628</v>
      </c>
      <c r="S765" s="2" t="s">
        <v>3613</v>
      </c>
      <c r="T765" s="2" t="s">
        <v>3614</v>
      </c>
      <c r="U765" s="2" t="s">
        <v>3615</v>
      </c>
      <c r="V765" s="23" t="s">
        <v>3616</v>
      </c>
      <c r="W765" s="24" t="s">
        <v>3617</v>
      </c>
      <c r="X765" s="23" t="s">
        <v>3618</v>
      </c>
      <c r="Y765" s="23" t="s">
        <v>3620</v>
      </c>
      <c r="Z765" s="23" t="s">
        <v>3621</v>
      </c>
      <c r="AA765" s="23" t="s">
        <v>3629</v>
      </c>
    </row>
    <row r="766" spans="1:30" ht="15.75" customHeight="1">
      <c r="A766" s="14" t="s">
        <v>782</v>
      </c>
      <c r="B766" s="5">
        <v>2402</v>
      </c>
      <c r="C766" s="6" t="s">
        <v>1417</v>
      </c>
      <c r="D766" s="7">
        <v>2022006289</v>
      </c>
      <c r="E766" s="7">
        <v>2201010959</v>
      </c>
      <c r="F766" s="7" t="s">
        <v>1810</v>
      </c>
      <c r="G766" s="7" t="s">
        <v>13</v>
      </c>
      <c r="H766" s="6" t="s">
        <v>1418</v>
      </c>
      <c r="I766" s="6" t="s">
        <v>3337</v>
      </c>
      <c r="J766" s="6" t="s">
        <v>3338</v>
      </c>
      <c r="K766" s="6" t="s">
        <v>1396</v>
      </c>
      <c r="L766" s="6" t="s">
        <v>49</v>
      </c>
      <c r="M766" s="6" t="s">
        <v>149</v>
      </c>
      <c r="N766" s="7" t="s">
        <v>18</v>
      </c>
      <c r="O766" s="23" t="s">
        <v>3630</v>
      </c>
      <c r="P766" s="25" t="s">
        <v>3631</v>
      </c>
      <c r="R766" s="23" t="s">
        <v>3632</v>
      </c>
      <c r="S766" s="2" t="s">
        <v>3613</v>
      </c>
      <c r="T766" s="2" t="s">
        <v>3614</v>
      </c>
      <c r="U766" s="2" t="s">
        <v>3615</v>
      </c>
      <c r="V766" s="23" t="s">
        <v>3616</v>
      </c>
      <c r="W766" s="24" t="s">
        <v>3617</v>
      </c>
      <c r="X766" s="23" t="s">
        <v>3618</v>
      </c>
      <c r="Y766" s="23" t="s">
        <v>3620</v>
      </c>
      <c r="Z766" s="23" t="s">
        <v>3621</v>
      </c>
      <c r="AA766" s="23" t="s">
        <v>3633</v>
      </c>
    </row>
    <row r="767" spans="1:30" ht="15.75" customHeight="1">
      <c r="A767" s="14" t="s">
        <v>782</v>
      </c>
      <c r="B767" s="5">
        <v>2402</v>
      </c>
      <c r="C767" s="6" t="s">
        <v>1437</v>
      </c>
      <c r="D767" s="7">
        <v>2022008160</v>
      </c>
      <c r="E767" s="7">
        <v>2201010970</v>
      </c>
      <c r="F767" s="7" t="s">
        <v>1810</v>
      </c>
      <c r="G767" s="7" t="s">
        <v>13</v>
      </c>
      <c r="H767" s="6" t="s">
        <v>1438</v>
      </c>
      <c r="I767" s="6" t="s">
        <v>3339</v>
      </c>
      <c r="J767" s="6" t="s">
        <v>3340</v>
      </c>
      <c r="K767" s="6" t="s">
        <v>1396</v>
      </c>
      <c r="L767" s="6" t="s">
        <v>21</v>
      </c>
      <c r="M767" s="6" t="s">
        <v>149</v>
      </c>
      <c r="N767" s="7" t="s">
        <v>18</v>
      </c>
      <c r="O767" s="23" t="s">
        <v>3630</v>
      </c>
      <c r="P767" s="25" t="s">
        <v>3631</v>
      </c>
      <c r="R767" s="23" t="s">
        <v>3632</v>
      </c>
      <c r="S767" s="2" t="s">
        <v>3613</v>
      </c>
      <c r="T767" s="2" t="s">
        <v>3614</v>
      </c>
      <c r="U767" s="2" t="s">
        <v>3615</v>
      </c>
      <c r="V767" s="23" t="s">
        <v>3616</v>
      </c>
      <c r="W767" s="24" t="s">
        <v>3617</v>
      </c>
      <c r="X767" s="23" t="s">
        <v>3618</v>
      </c>
      <c r="Y767" s="23" t="s">
        <v>3620</v>
      </c>
      <c r="Z767" s="23" t="s">
        <v>3621</v>
      </c>
      <c r="AA767" s="23" t="s">
        <v>3633</v>
      </c>
    </row>
    <row r="768" spans="1:30" ht="15.75" customHeight="1">
      <c r="A768" s="14" t="s">
        <v>782</v>
      </c>
      <c r="B768" s="5">
        <v>2402</v>
      </c>
      <c r="C768" s="6" t="s">
        <v>1468</v>
      </c>
      <c r="D768" s="7">
        <v>2022476818</v>
      </c>
      <c r="E768" s="7">
        <v>2201010171</v>
      </c>
      <c r="F768" s="7" t="s">
        <v>1810</v>
      </c>
      <c r="G768" s="7" t="s">
        <v>13</v>
      </c>
      <c r="H768" s="6" t="s">
        <v>1469</v>
      </c>
      <c r="I768" s="6" t="s">
        <v>3341</v>
      </c>
      <c r="J768" s="6" t="s">
        <v>3342</v>
      </c>
      <c r="K768" s="6" t="s">
        <v>1372</v>
      </c>
      <c r="L768" s="6" t="s">
        <v>149</v>
      </c>
      <c r="M768" s="6" t="s">
        <v>21</v>
      </c>
      <c r="N768" s="7" t="s">
        <v>18</v>
      </c>
      <c r="O768" s="23" t="s">
        <v>3640</v>
      </c>
      <c r="P768" s="23" t="s">
        <v>3641</v>
      </c>
      <c r="Q768" s="23" t="s">
        <v>3642</v>
      </c>
      <c r="R768" s="23" t="s">
        <v>3612</v>
      </c>
      <c r="S768" s="2" t="s">
        <v>3613</v>
      </c>
      <c r="T768" s="2" t="s">
        <v>3614</v>
      </c>
      <c r="U768" s="2" t="s">
        <v>3615</v>
      </c>
      <c r="V768" s="23" t="s">
        <v>3616</v>
      </c>
      <c r="W768" s="24" t="s">
        <v>3617</v>
      </c>
      <c r="X768" s="23" t="s">
        <v>3618</v>
      </c>
      <c r="Y768" s="23" t="s">
        <v>3620</v>
      </c>
      <c r="Z768" s="23" t="s">
        <v>3621</v>
      </c>
      <c r="AA768" s="23" t="s">
        <v>3643</v>
      </c>
    </row>
    <row r="769" spans="1:30" ht="15.75" customHeight="1">
      <c r="A769" s="14" t="s">
        <v>782</v>
      </c>
      <c r="B769" s="5">
        <v>2402</v>
      </c>
      <c r="C769" s="6" t="s">
        <v>1464</v>
      </c>
      <c r="D769" s="7">
        <v>2022431320</v>
      </c>
      <c r="E769" s="7">
        <v>2201010259</v>
      </c>
      <c r="F769" s="7" t="s">
        <v>1810</v>
      </c>
      <c r="G769" s="7" t="s">
        <v>13</v>
      </c>
      <c r="H769" s="6" t="s">
        <v>1465</v>
      </c>
      <c r="I769" s="6" t="s">
        <v>3343</v>
      </c>
      <c r="J769" s="6" t="s">
        <v>3344</v>
      </c>
      <c r="K769" s="6" t="s">
        <v>1372</v>
      </c>
      <c r="L769" s="6" t="s">
        <v>149</v>
      </c>
      <c r="M769" s="6" t="s">
        <v>49</v>
      </c>
      <c r="N769" s="7" t="s">
        <v>18</v>
      </c>
      <c r="O769" s="23" t="s">
        <v>3640</v>
      </c>
      <c r="P769" s="23" t="s">
        <v>3641</v>
      </c>
      <c r="Q769" s="23" t="s">
        <v>3642</v>
      </c>
      <c r="R769" s="23" t="s">
        <v>3612</v>
      </c>
      <c r="S769" s="2" t="s">
        <v>3613</v>
      </c>
      <c r="T769" s="2" t="s">
        <v>3614</v>
      </c>
      <c r="U769" s="2" t="s">
        <v>3615</v>
      </c>
      <c r="V769" s="23" t="s">
        <v>3616</v>
      </c>
      <c r="W769" s="24" t="s">
        <v>3617</v>
      </c>
      <c r="X769" s="23" t="s">
        <v>3618</v>
      </c>
      <c r="Y769" s="23" t="s">
        <v>3620</v>
      </c>
      <c r="Z769" s="23" t="s">
        <v>3621</v>
      </c>
      <c r="AA769" s="23" t="s">
        <v>3643</v>
      </c>
      <c r="AB769" s="8"/>
      <c r="AC769" s="8"/>
      <c r="AD769" s="8"/>
    </row>
    <row r="770" spans="1:30" ht="15.75" customHeight="1">
      <c r="A770" s="14" t="s">
        <v>782</v>
      </c>
      <c r="B770" s="5">
        <v>2402</v>
      </c>
      <c r="C770" s="6" t="s">
        <v>1421</v>
      </c>
      <c r="D770" s="7">
        <v>2022006750</v>
      </c>
      <c r="E770" s="7">
        <v>2201010282</v>
      </c>
      <c r="F770" s="7" t="s">
        <v>1810</v>
      </c>
      <c r="G770" s="7" t="s">
        <v>13</v>
      </c>
      <c r="H770" s="6" t="s">
        <v>1422</v>
      </c>
      <c r="I770" s="6" t="s">
        <v>3345</v>
      </c>
      <c r="J770" s="6" t="s">
        <v>3346</v>
      </c>
      <c r="K770" s="6" t="s">
        <v>1372</v>
      </c>
      <c r="L770" s="6" t="s">
        <v>49</v>
      </c>
      <c r="M770" s="6" t="s">
        <v>149</v>
      </c>
      <c r="N770" s="7" t="s">
        <v>18</v>
      </c>
      <c r="O770" s="23" t="s">
        <v>3640</v>
      </c>
      <c r="P770" s="23" t="s">
        <v>3641</v>
      </c>
      <c r="Q770" s="23" t="s">
        <v>3642</v>
      </c>
      <c r="R770" s="23" t="s">
        <v>3612</v>
      </c>
      <c r="S770" s="2" t="s">
        <v>3613</v>
      </c>
      <c r="T770" s="2" t="s">
        <v>3614</v>
      </c>
      <c r="U770" s="2" t="s">
        <v>3615</v>
      </c>
      <c r="V770" s="23" t="s">
        <v>3616</v>
      </c>
      <c r="W770" s="24" t="s">
        <v>3617</v>
      </c>
      <c r="X770" s="23" t="s">
        <v>3618</v>
      </c>
      <c r="Y770" s="23" t="s">
        <v>3620</v>
      </c>
      <c r="Z770" s="23" t="s">
        <v>3621</v>
      </c>
      <c r="AA770" s="23" t="s">
        <v>3643</v>
      </c>
      <c r="AB770" s="8"/>
      <c r="AC770" s="8"/>
      <c r="AD770" s="8"/>
    </row>
    <row r="771" spans="1:30" ht="15.75" customHeight="1">
      <c r="A771" s="14" t="s">
        <v>782</v>
      </c>
      <c r="B771" s="5">
        <v>2402</v>
      </c>
      <c r="C771" s="6" t="s">
        <v>1409</v>
      </c>
      <c r="D771" s="7">
        <v>2022006106</v>
      </c>
      <c r="E771" s="7">
        <v>2201010704</v>
      </c>
      <c r="F771" s="7" t="s">
        <v>1810</v>
      </c>
      <c r="G771" s="7" t="s">
        <v>13</v>
      </c>
      <c r="H771" s="6" t="s">
        <v>1410</v>
      </c>
      <c r="I771" s="6" t="s">
        <v>3347</v>
      </c>
      <c r="J771" s="6" t="s">
        <v>3348</v>
      </c>
      <c r="K771" s="6" t="s">
        <v>1372</v>
      </c>
      <c r="L771" s="6" t="s">
        <v>49</v>
      </c>
      <c r="M771" s="6" t="s">
        <v>149</v>
      </c>
      <c r="N771" s="7" t="s">
        <v>18</v>
      </c>
      <c r="O771" s="23" t="s">
        <v>3640</v>
      </c>
      <c r="P771" s="23" t="s">
        <v>3641</v>
      </c>
      <c r="Q771" s="23" t="s">
        <v>3642</v>
      </c>
      <c r="R771" s="23" t="s">
        <v>3612</v>
      </c>
      <c r="S771" s="2" t="s">
        <v>3613</v>
      </c>
      <c r="T771" s="2" t="s">
        <v>3614</v>
      </c>
      <c r="U771" s="2" t="s">
        <v>3615</v>
      </c>
      <c r="V771" s="23" t="s">
        <v>3616</v>
      </c>
      <c r="W771" s="24" t="s">
        <v>3617</v>
      </c>
      <c r="X771" s="23" t="s">
        <v>3618</v>
      </c>
      <c r="Y771" s="23" t="s">
        <v>3620</v>
      </c>
      <c r="Z771" s="23" t="s">
        <v>3621</v>
      </c>
      <c r="AA771" s="23" t="s">
        <v>3643</v>
      </c>
      <c r="AB771" s="8"/>
      <c r="AC771" s="8"/>
      <c r="AD771" s="8"/>
    </row>
    <row r="772" spans="1:30" ht="15.75" customHeight="1">
      <c r="A772" s="14" t="s">
        <v>782</v>
      </c>
      <c r="B772" s="5">
        <v>2402</v>
      </c>
      <c r="C772" s="6" t="s">
        <v>1397</v>
      </c>
      <c r="D772" s="7">
        <v>2022003592</v>
      </c>
      <c r="E772" s="7">
        <v>2201010722</v>
      </c>
      <c r="F772" s="7" t="s">
        <v>1810</v>
      </c>
      <c r="G772" s="7" t="s">
        <v>13</v>
      </c>
      <c r="H772" s="6" t="s">
        <v>1398</v>
      </c>
      <c r="I772" s="6" t="s">
        <v>3349</v>
      </c>
      <c r="J772" s="6" t="s">
        <v>3350</v>
      </c>
      <c r="K772" s="6" t="s">
        <v>1372</v>
      </c>
      <c r="L772" s="6" t="s">
        <v>49</v>
      </c>
      <c r="M772" s="6" t="s">
        <v>49</v>
      </c>
      <c r="N772" s="7" t="s">
        <v>18</v>
      </c>
      <c r="O772" s="23" t="s">
        <v>3640</v>
      </c>
      <c r="P772" s="23" t="s">
        <v>3641</v>
      </c>
      <c r="Q772" s="23" t="s">
        <v>3642</v>
      </c>
      <c r="R772" s="23" t="s">
        <v>3612</v>
      </c>
      <c r="S772" s="2" t="s">
        <v>3613</v>
      </c>
      <c r="T772" s="2" t="s">
        <v>3614</v>
      </c>
      <c r="U772" s="2" t="s">
        <v>3615</v>
      </c>
      <c r="V772" s="23" t="s">
        <v>3616</v>
      </c>
      <c r="W772" s="24" t="s">
        <v>3617</v>
      </c>
      <c r="X772" s="23" t="s">
        <v>3618</v>
      </c>
      <c r="Y772" s="23" t="s">
        <v>3620</v>
      </c>
      <c r="Z772" s="23" t="s">
        <v>3621</v>
      </c>
      <c r="AA772" s="23" t="s">
        <v>3643</v>
      </c>
      <c r="AB772" s="8"/>
      <c r="AC772" s="8"/>
      <c r="AD772" s="8"/>
    </row>
    <row r="773" spans="1:30" ht="15.75" customHeight="1">
      <c r="A773" s="14" t="s">
        <v>782</v>
      </c>
      <c r="B773" s="5">
        <v>2402</v>
      </c>
      <c r="C773" s="6" t="s">
        <v>1484</v>
      </c>
      <c r="D773" s="7">
        <v>2022579523</v>
      </c>
      <c r="E773" s="7">
        <v>2201010979</v>
      </c>
      <c r="F773" s="7" t="s">
        <v>1810</v>
      </c>
      <c r="G773" s="7" t="s">
        <v>13</v>
      </c>
      <c r="H773" s="6" t="s">
        <v>1485</v>
      </c>
      <c r="I773" s="6" t="s">
        <v>3351</v>
      </c>
      <c r="J773" s="6" t="s">
        <v>3352</v>
      </c>
      <c r="K773" s="6" t="s">
        <v>1372</v>
      </c>
      <c r="L773" s="6" t="s">
        <v>49</v>
      </c>
      <c r="M773" s="6" t="s">
        <v>149</v>
      </c>
      <c r="N773" s="7" t="s">
        <v>18</v>
      </c>
      <c r="O773" s="23" t="s">
        <v>3640</v>
      </c>
      <c r="P773" s="23" t="s">
        <v>3641</v>
      </c>
      <c r="Q773" s="23" t="s">
        <v>3642</v>
      </c>
      <c r="R773" s="23" t="s">
        <v>3612</v>
      </c>
      <c r="S773" s="2" t="s">
        <v>3613</v>
      </c>
      <c r="T773" s="2" t="s">
        <v>3614</v>
      </c>
      <c r="U773" s="2" t="s">
        <v>3615</v>
      </c>
      <c r="V773" s="23" t="s">
        <v>3616</v>
      </c>
      <c r="W773" s="24" t="s">
        <v>3617</v>
      </c>
      <c r="X773" s="23" t="s">
        <v>3618</v>
      </c>
      <c r="Y773" s="23" t="s">
        <v>3620</v>
      </c>
      <c r="Z773" s="23" t="s">
        <v>3621</v>
      </c>
      <c r="AA773" s="23" t="s">
        <v>3643</v>
      </c>
    </row>
    <row r="774" spans="1:30" ht="15.75" customHeight="1">
      <c r="A774" s="14" t="s">
        <v>782</v>
      </c>
      <c r="B774" s="5">
        <v>2402</v>
      </c>
      <c r="C774" s="6" t="s">
        <v>1441</v>
      </c>
      <c r="D774" s="7">
        <v>2022305070</v>
      </c>
      <c r="E774" s="7">
        <v>2201010580</v>
      </c>
      <c r="F774" s="7" t="s">
        <v>1810</v>
      </c>
      <c r="G774" s="7" t="s">
        <v>13</v>
      </c>
      <c r="H774" s="6" t="s">
        <v>1442</v>
      </c>
      <c r="I774" s="6" t="s">
        <v>3353</v>
      </c>
      <c r="J774" s="6" t="s">
        <v>3354</v>
      </c>
      <c r="K774" s="6" t="s">
        <v>131</v>
      </c>
      <c r="L774" s="6" t="s">
        <v>149</v>
      </c>
      <c r="M774" s="6" t="s">
        <v>104</v>
      </c>
      <c r="N774" s="7" t="s">
        <v>18</v>
      </c>
      <c r="O774" s="23" t="s">
        <v>3634</v>
      </c>
      <c r="P774" s="23" t="s">
        <v>3635</v>
      </c>
      <c r="R774" s="23" t="s">
        <v>3636</v>
      </c>
      <c r="S774" s="2" t="s">
        <v>3613</v>
      </c>
      <c r="T774" s="2" t="s">
        <v>3614</v>
      </c>
      <c r="U774" s="2" t="s">
        <v>3615</v>
      </c>
      <c r="V774" s="23" t="s">
        <v>3616</v>
      </c>
      <c r="W774" s="24" t="s">
        <v>3617</v>
      </c>
      <c r="X774" s="23" t="s">
        <v>3618</v>
      </c>
      <c r="Y774" s="23" t="s">
        <v>3620</v>
      </c>
      <c r="Z774" s="23" t="s">
        <v>3621</v>
      </c>
      <c r="AA774" s="23" t="s">
        <v>3637</v>
      </c>
      <c r="AB774" s="8"/>
      <c r="AC774" s="8"/>
      <c r="AD774" s="8"/>
    </row>
    <row r="775" spans="1:30" ht="15.75" customHeight="1">
      <c r="A775" s="13" t="s">
        <v>1393</v>
      </c>
      <c r="B775" s="5">
        <v>2402</v>
      </c>
      <c r="C775" s="6" t="s">
        <v>1515</v>
      </c>
      <c r="D775" s="7">
        <v>2022003323</v>
      </c>
      <c r="E775" s="7">
        <v>2201010065</v>
      </c>
      <c r="F775" s="7" t="s">
        <v>1813</v>
      </c>
      <c r="G775" s="7" t="s">
        <v>13</v>
      </c>
      <c r="H775" s="6" t="s">
        <v>1516</v>
      </c>
      <c r="I775" s="6" t="s">
        <v>3355</v>
      </c>
      <c r="J775" s="6" t="s">
        <v>3356</v>
      </c>
      <c r="K775" s="6" t="s">
        <v>1401</v>
      </c>
      <c r="L775" s="6" t="s">
        <v>16</v>
      </c>
      <c r="M775" s="6" t="s">
        <v>16</v>
      </c>
      <c r="N775" s="7" t="s">
        <v>18</v>
      </c>
      <c r="O775" s="25" t="s">
        <v>3638</v>
      </c>
      <c r="P775" s="25" t="s">
        <v>3639</v>
      </c>
      <c r="R775" s="23" t="s">
        <v>3612</v>
      </c>
      <c r="S775" s="2" t="s">
        <v>3613</v>
      </c>
      <c r="T775" s="2" t="s">
        <v>3614</v>
      </c>
      <c r="U775" s="2" t="s">
        <v>3615</v>
      </c>
      <c r="V775" s="23" t="s">
        <v>3616</v>
      </c>
      <c r="W775" s="24" t="s">
        <v>3617</v>
      </c>
      <c r="X775" s="23" t="s">
        <v>3618</v>
      </c>
      <c r="Y775" s="23" t="s">
        <v>3620</v>
      </c>
      <c r="Z775" s="23" t="s">
        <v>3621</v>
      </c>
    </row>
    <row r="776" spans="1:30" ht="15.75" customHeight="1">
      <c r="A776" s="13" t="s">
        <v>1393</v>
      </c>
      <c r="B776" s="5">
        <v>2402</v>
      </c>
      <c r="C776" s="6" t="s">
        <v>1580</v>
      </c>
      <c r="D776" s="7">
        <v>2022523814</v>
      </c>
      <c r="E776" s="7">
        <v>2201010130</v>
      </c>
      <c r="F776" s="7" t="s">
        <v>1813</v>
      </c>
      <c r="G776" s="7" t="s">
        <v>13</v>
      </c>
      <c r="H776" s="6" t="s">
        <v>1581</v>
      </c>
      <c r="I776" s="6" t="s">
        <v>3357</v>
      </c>
      <c r="J776" s="6" t="s">
        <v>3358</v>
      </c>
      <c r="K776" s="6" t="s">
        <v>1401</v>
      </c>
      <c r="L776" s="6" t="s">
        <v>16</v>
      </c>
      <c r="M776" s="6" t="s">
        <v>17</v>
      </c>
      <c r="N776" s="7" t="s">
        <v>18</v>
      </c>
      <c r="O776" s="25" t="s">
        <v>3638</v>
      </c>
      <c r="P776" s="25" t="s">
        <v>3639</v>
      </c>
      <c r="R776" s="23" t="s">
        <v>3612</v>
      </c>
      <c r="S776" s="2" t="s">
        <v>3613</v>
      </c>
      <c r="T776" s="2" t="s">
        <v>3614</v>
      </c>
      <c r="U776" s="2" t="s">
        <v>3615</v>
      </c>
      <c r="V776" s="23" t="s">
        <v>3616</v>
      </c>
      <c r="W776" s="24" t="s">
        <v>3617</v>
      </c>
      <c r="X776" s="23" t="s">
        <v>3618</v>
      </c>
      <c r="Y776" s="23" t="s">
        <v>3620</v>
      </c>
      <c r="Z776" s="23" t="s">
        <v>3621</v>
      </c>
    </row>
    <row r="777" spans="1:30" ht="15.75" customHeight="1">
      <c r="A777" s="13" t="s">
        <v>1393</v>
      </c>
      <c r="B777" s="5">
        <v>2402</v>
      </c>
      <c r="C777" s="6" t="s">
        <v>1539</v>
      </c>
      <c r="D777" s="7">
        <v>2022314446</v>
      </c>
      <c r="E777" s="7">
        <v>2201010181</v>
      </c>
      <c r="F777" s="7" t="s">
        <v>1813</v>
      </c>
      <c r="G777" s="7" t="s">
        <v>13</v>
      </c>
      <c r="H777" s="6" t="s">
        <v>1540</v>
      </c>
      <c r="I777" s="6" t="s">
        <v>3359</v>
      </c>
      <c r="J777" s="6" t="s">
        <v>3360</v>
      </c>
      <c r="K777" s="6" t="s">
        <v>1401</v>
      </c>
      <c r="L777" s="6" t="s">
        <v>16</v>
      </c>
      <c r="M777" s="6" t="s">
        <v>17</v>
      </c>
      <c r="N777" s="7" t="s">
        <v>18</v>
      </c>
      <c r="O777" s="25" t="s">
        <v>3638</v>
      </c>
      <c r="P777" s="25" t="s">
        <v>3639</v>
      </c>
      <c r="R777" s="23" t="s">
        <v>3612</v>
      </c>
      <c r="S777" s="2" t="s">
        <v>3613</v>
      </c>
      <c r="T777" s="2" t="s">
        <v>3614</v>
      </c>
      <c r="U777" s="2" t="s">
        <v>3615</v>
      </c>
      <c r="V777" s="23" t="s">
        <v>3616</v>
      </c>
      <c r="W777" s="24" t="s">
        <v>3617</v>
      </c>
      <c r="X777" s="23" t="s">
        <v>3618</v>
      </c>
      <c r="Y777" s="23" t="s">
        <v>3620</v>
      </c>
      <c r="Z777" s="23" t="s">
        <v>3621</v>
      </c>
    </row>
    <row r="778" spans="1:30" ht="15.75" customHeight="1">
      <c r="A778" s="13" t="s">
        <v>1393</v>
      </c>
      <c r="B778" s="5">
        <v>2402</v>
      </c>
      <c r="C778" s="6" t="s">
        <v>1545</v>
      </c>
      <c r="D778" s="7">
        <v>2022342643</v>
      </c>
      <c r="E778" s="7">
        <v>2201010228</v>
      </c>
      <c r="F778" s="7" t="s">
        <v>1813</v>
      </c>
      <c r="G778" s="7" t="s">
        <v>13</v>
      </c>
      <c r="H778" s="6" t="s">
        <v>1546</v>
      </c>
      <c r="I778" s="6" t="s">
        <v>3361</v>
      </c>
      <c r="J778" s="6" t="s">
        <v>3362</v>
      </c>
      <c r="K778" s="6" t="s">
        <v>1401</v>
      </c>
      <c r="L778" s="6" t="s">
        <v>16</v>
      </c>
      <c r="M778" s="6" t="s">
        <v>17</v>
      </c>
      <c r="N778" s="7" t="s">
        <v>18</v>
      </c>
      <c r="O778" s="25" t="s">
        <v>3638</v>
      </c>
      <c r="P778" s="25" t="s">
        <v>3639</v>
      </c>
      <c r="R778" s="23" t="s">
        <v>3612</v>
      </c>
      <c r="S778" s="2" t="s">
        <v>3613</v>
      </c>
      <c r="T778" s="2" t="s">
        <v>3614</v>
      </c>
      <c r="U778" s="2" t="s">
        <v>3615</v>
      </c>
      <c r="V778" s="23" t="s">
        <v>3616</v>
      </c>
      <c r="W778" s="24" t="s">
        <v>3617</v>
      </c>
      <c r="X778" s="23" t="s">
        <v>3618</v>
      </c>
      <c r="Y778" s="23" t="s">
        <v>3620</v>
      </c>
      <c r="Z778" s="23" t="s">
        <v>3621</v>
      </c>
      <c r="AA778" s="9"/>
      <c r="AB778" s="9"/>
      <c r="AC778" s="9"/>
      <c r="AD778" s="9"/>
    </row>
    <row r="779" spans="1:30" ht="15.75" customHeight="1">
      <c r="A779" s="14" t="s">
        <v>1393</v>
      </c>
      <c r="B779" s="5">
        <v>2402</v>
      </c>
      <c r="C779" s="6" t="s">
        <v>1427</v>
      </c>
      <c r="D779" s="7">
        <v>2022007077</v>
      </c>
      <c r="E779" s="7">
        <v>2201010343</v>
      </c>
      <c r="F779" s="7" t="s">
        <v>1813</v>
      </c>
      <c r="G779" s="7" t="s">
        <v>13</v>
      </c>
      <c r="H779" s="6" t="s">
        <v>1428</v>
      </c>
      <c r="I779" s="6" t="s">
        <v>3363</v>
      </c>
      <c r="J779" s="6" t="s">
        <v>3364</v>
      </c>
      <c r="K779" s="6" t="s">
        <v>1401</v>
      </c>
      <c r="L779" s="6" t="s">
        <v>149</v>
      </c>
      <c r="M779" s="6" t="s">
        <v>16</v>
      </c>
      <c r="N779" s="7" t="s">
        <v>18</v>
      </c>
      <c r="O779" s="25" t="s">
        <v>3638</v>
      </c>
      <c r="P779" s="25" t="s">
        <v>3639</v>
      </c>
      <c r="R779" s="23" t="s">
        <v>3612</v>
      </c>
      <c r="S779" s="2" t="s">
        <v>3613</v>
      </c>
      <c r="T779" s="2" t="s">
        <v>3614</v>
      </c>
      <c r="U779" s="2" t="s">
        <v>3615</v>
      </c>
      <c r="V779" s="23" t="s">
        <v>3616</v>
      </c>
      <c r="W779" s="24" t="s">
        <v>3617</v>
      </c>
      <c r="X779" s="23" t="s">
        <v>3618</v>
      </c>
      <c r="Y779" s="23" t="s">
        <v>3620</v>
      </c>
      <c r="Z779" s="23" t="s">
        <v>3621</v>
      </c>
    </row>
    <row r="780" spans="1:30" ht="15.75" customHeight="1">
      <c r="A780" s="14" t="s">
        <v>1393</v>
      </c>
      <c r="B780" s="5">
        <v>2402</v>
      </c>
      <c r="C780" s="6" t="s">
        <v>1413</v>
      </c>
      <c r="D780" s="7">
        <v>2022006247</v>
      </c>
      <c r="E780" s="7">
        <v>2201010359</v>
      </c>
      <c r="F780" s="7" t="s">
        <v>1813</v>
      </c>
      <c r="G780" s="7" t="s">
        <v>13</v>
      </c>
      <c r="H780" s="6" t="s">
        <v>1414</v>
      </c>
      <c r="I780" s="6" t="s">
        <v>3365</v>
      </c>
      <c r="J780" s="6" t="s">
        <v>3366</v>
      </c>
      <c r="K780" s="6" t="s">
        <v>1401</v>
      </c>
      <c r="L780" s="6" t="s">
        <v>21</v>
      </c>
      <c r="M780" s="6" t="s">
        <v>17</v>
      </c>
      <c r="N780" s="7" t="s">
        <v>18</v>
      </c>
      <c r="O780" s="25" t="s">
        <v>3638</v>
      </c>
      <c r="P780" s="25" t="s">
        <v>3639</v>
      </c>
      <c r="R780" s="23" t="s">
        <v>3612</v>
      </c>
      <c r="S780" s="2" t="s">
        <v>3613</v>
      </c>
      <c r="T780" s="2" t="s">
        <v>3614</v>
      </c>
      <c r="U780" s="2" t="s">
        <v>3615</v>
      </c>
      <c r="V780" s="23" t="s">
        <v>3616</v>
      </c>
      <c r="W780" s="24" t="s">
        <v>3617</v>
      </c>
      <c r="X780" s="23" t="s">
        <v>3618</v>
      </c>
      <c r="Y780" s="23" t="s">
        <v>3620</v>
      </c>
      <c r="Z780" s="23" t="s">
        <v>3621</v>
      </c>
    </row>
    <row r="781" spans="1:30" ht="15.75" customHeight="1">
      <c r="A781" s="13" t="s">
        <v>1393</v>
      </c>
      <c r="B781" s="5">
        <v>2402</v>
      </c>
      <c r="C781" s="6" t="s">
        <v>1588</v>
      </c>
      <c r="D781" s="7">
        <v>2022006233</v>
      </c>
      <c r="E781" s="7">
        <v>2201010425</v>
      </c>
      <c r="F781" s="7" t="s">
        <v>1813</v>
      </c>
      <c r="G781" s="7" t="s">
        <v>13</v>
      </c>
      <c r="H781" s="6" t="s">
        <v>1589</v>
      </c>
      <c r="I781" s="6" t="s">
        <v>3367</v>
      </c>
      <c r="J781" s="6" t="s">
        <v>3368</v>
      </c>
      <c r="K781" s="6" t="s">
        <v>1401</v>
      </c>
      <c r="L781" s="6" t="s">
        <v>26</v>
      </c>
      <c r="M781" s="6" t="s">
        <v>16</v>
      </c>
      <c r="N781" s="7" t="s">
        <v>18</v>
      </c>
      <c r="O781" s="25" t="s">
        <v>3638</v>
      </c>
      <c r="P781" s="25" t="s">
        <v>3639</v>
      </c>
      <c r="R781" s="23" t="s">
        <v>3612</v>
      </c>
      <c r="S781" s="2" t="s">
        <v>3613</v>
      </c>
      <c r="T781" s="2" t="s">
        <v>3614</v>
      </c>
      <c r="U781" s="2" t="s">
        <v>3615</v>
      </c>
      <c r="V781" s="23" t="s">
        <v>3616</v>
      </c>
      <c r="W781" s="24" t="s">
        <v>3617</v>
      </c>
      <c r="X781" s="23" t="s">
        <v>3618</v>
      </c>
      <c r="Y781" s="23" t="s">
        <v>3620</v>
      </c>
      <c r="Z781" s="23" t="s">
        <v>3621</v>
      </c>
    </row>
    <row r="782" spans="1:30" ht="15.75" customHeight="1">
      <c r="A782" s="14" t="s">
        <v>1393</v>
      </c>
      <c r="B782" s="5">
        <v>2402</v>
      </c>
      <c r="C782" s="6" t="s">
        <v>1494</v>
      </c>
      <c r="D782" s="7">
        <v>2022817981</v>
      </c>
      <c r="E782" s="7">
        <v>2201010442</v>
      </c>
      <c r="F782" s="7" t="s">
        <v>1813</v>
      </c>
      <c r="G782" s="7" t="s">
        <v>13</v>
      </c>
      <c r="H782" s="6" t="s">
        <v>1495</v>
      </c>
      <c r="I782" s="6" t="s">
        <v>3369</v>
      </c>
      <c r="J782" s="6" t="s">
        <v>3370</v>
      </c>
      <c r="K782" s="6" t="s">
        <v>1401</v>
      </c>
      <c r="L782" s="6" t="s">
        <v>21</v>
      </c>
      <c r="M782" s="6" t="s">
        <v>21</v>
      </c>
      <c r="N782" s="7" t="s">
        <v>18</v>
      </c>
      <c r="O782" s="25" t="s">
        <v>3638</v>
      </c>
      <c r="P782" s="25" t="s">
        <v>3639</v>
      </c>
      <c r="R782" s="23" t="s">
        <v>3612</v>
      </c>
      <c r="S782" s="2" t="s">
        <v>3613</v>
      </c>
      <c r="T782" s="2" t="s">
        <v>3614</v>
      </c>
      <c r="U782" s="2" t="s">
        <v>3615</v>
      </c>
      <c r="V782" s="23" t="s">
        <v>3616</v>
      </c>
      <c r="W782" s="24" t="s">
        <v>3617</v>
      </c>
      <c r="X782" s="23" t="s">
        <v>3618</v>
      </c>
      <c r="Y782" s="23" t="s">
        <v>3620</v>
      </c>
      <c r="Z782" s="23" t="s">
        <v>3621</v>
      </c>
    </row>
    <row r="783" spans="1:30" ht="15.75" customHeight="1">
      <c r="A783" s="13" t="s">
        <v>1393</v>
      </c>
      <c r="B783" s="5">
        <v>2402</v>
      </c>
      <c r="C783" s="6" t="s">
        <v>838</v>
      </c>
      <c r="D783" s="7">
        <v>2022003325</v>
      </c>
      <c r="E783" s="7">
        <v>2201010535</v>
      </c>
      <c r="F783" s="7" t="s">
        <v>1813</v>
      </c>
      <c r="G783" s="7" t="s">
        <v>13</v>
      </c>
      <c r="H783" s="6" t="s">
        <v>1517</v>
      </c>
      <c r="I783" s="6" t="s">
        <v>3371</v>
      </c>
      <c r="J783" s="6" t="s">
        <v>3372</v>
      </c>
      <c r="K783" s="6" t="s">
        <v>1401</v>
      </c>
      <c r="L783" s="6" t="s">
        <v>17</v>
      </c>
      <c r="M783" s="6" t="s">
        <v>16</v>
      </c>
      <c r="N783" s="7" t="s">
        <v>18</v>
      </c>
      <c r="O783" s="25" t="s">
        <v>3638</v>
      </c>
      <c r="P783" s="25" t="s">
        <v>3639</v>
      </c>
      <c r="R783" s="23" t="s">
        <v>3612</v>
      </c>
      <c r="S783" s="2" t="s">
        <v>3613</v>
      </c>
      <c r="T783" s="2" t="s">
        <v>3614</v>
      </c>
      <c r="U783" s="2" t="s">
        <v>3615</v>
      </c>
      <c r="V783" s="23" t="s">
        <v>3616</v>
      </c>
      <c r="W783" s="24" t="s">
        <v>3617</v>
      </c>
      <c r="X783" s="23" t="s">
        <v>3618</v>
      </c>
      <c r="Y783" s="23" t="s">
        <v>3620</v>
      </c>
      <c r="Z783" s="23" t="s">
        <v>3621</v>
      </c>
    </row>
    <row r="784" spans="1:30" ht="15.75" customHeight="1">
      <c r="A784" s="14" t="s">
        <v>1393</v>
      </c>
      <c r="B784" s="5">
        <v>2402</v>
      </c>
      <c r="C784" s="6" t="s">
        <v>1429</v>
      </c>
      <c r="D784" s="7">
        <v>2022007217</v>
      </c>
      <c r="E784" s="7">
        <v>2201010916</v>
      </c>
      <c r="F784" s="7" t="s">
        <v>1813</v>
      </c>
      <c r="G784" s="7" t="s">
        <v>13</v>
      </c>
      <c r="H784" s="6" t="s">
        <v>1430</v>
      </c>
      <c r="I784" s="6" t="s">
        <v>3373</v>
      </c>
      <c r="J784" s="6" t="s">
        <v>3374</v>
      </c>
      <c r="K784" s="6" t="s">
        <v>1401</v>
      </c>
      <c r="L784" s="6" t="s">
        <v>49</v>
      </c>
      <c r="M784" s="6" t="s">
        <v>17</v>
      </c>
      <c r="N784" s="7" t="s">
        <v>18</v>
      </c>
      <c r="O784" s="25" t="s">
        <v>3638</v>
      </c>
      <c r="P784" s="25" t="s">
        <v>3639</v>
      </c>
      <c r="R784" s="23" t="s">
        <v>3612</v>
      </c>
      <c r="S784" s="2" t="s">
        <v>3613</v>
      </c>
      <c r="T784" s="2" t="s">
        <v>3614</v>
      </c>
      <c r="U784" s="2" t="s">
        <v>3615</v>
      </c>
      <c r="V784" s="23" t="s">
        <v>3616</v>
      </c>
      <c r="W784" s="24" t="s">
        <v>3617</v>
      </c>
      <c r="X784" s="23" t="s">
        <v>3618</v>
      </c>
      <c r="Y784" s="23" t="s">
        <v>3620</v>
      </c>
      <c r="Z784" s="23" t="s">
        <v>3621</v>
      </c>
    </row>
    <row r="785" spans="1:30" ht="15.75" customHeight="1">
      <c r="A785" s="14" t="s">
        <v>1393</v>
      </c>
      <c r="B785" s="5">
        <v>2402</v>
      </c>
      <c r="C785" s="6" t="s">
        <v>1478</v>
      </c>
      <c r="D785" s="7">
        <v>2022543882</v>
      </c>
      <c r="E785" s="7">
        <v>2201010918</v>
      </c>
      <c r="F785" s="7" t="s">
        <v>1813</v>
      </c>
      <c r="G785" s="7" t="s">
        <v>13</v>
      </c>
      <c r="H785" s="6" t="s">
        <v>1479</v>
      </c>
      <c r="I785" s="6" t="s">
        <v>3375</v>
      </c>
      <c r="J785" s="6" t="s">
        <v>3376</v>
      </c>
      <c r="K785" s="6" t="s">
        <v>1401</v>
      </c>
      <c r="L785" s="6" t="s">
        <v>21</v>
      </c>
      <c r="M785" s="6" t="s">
        <v>49</v>
      </c>
      <c r="N785" s="7" t="s">
        <v>18</v>
      </c>
      <c r="O785" s="25" t="s">
        <v>3638</v>
      </c>
      <c r="P785" s="25" t="s">
        <v>3639</v>
      </c>
      <c r="R785" s="23" t="s">
        <v>3612</v>
      </c>
      <c r="S785" s="2" t="s">
        <v>3613</v>
      </c>
      <c r="T785" s="2" t="s">
        <v>3614</v>
      </c>
      <c r="U785" s="2" t="s">
        <v>3615</v>
      </c>
      <c r="V785" s="23" t="s">
        <v>3616</v>
      </c>
      <c r="W785" s="24" t="s">
        <v>3617</v>
      </c>
      <c r="X785" s="23" t="s">
        <v>3618</v>
      </c>
      <c r="Y785" s="23" t="s">
        <v>3620</v>
      </c>
      <c r="Z785" s="23" t="s">
        <v>3621</v>
      </c>
    </row>
    <row r="786" spans="1:30" ht="15.75" customHeight="1">
      <c r="A786" s="13" t="s">
        <v>1393</v>
      </c>
      <c r="B786" s="5">
        <v>2402</v>
      </c>
      <c r="C786" s="6" t="s">
        <v>1584</v>
      </c>
      <c r="D786" s="7">
        <v>2022594965</v>
      </c>
      <c r="E786" s="7">
        <v>2201010919</v>
      </c>
      <c r="F786" s="7" t="s">
        <v>1813</v>
      </c>
      <c r="G786" s="7" t="s">
        <v>13</v>
      </c>
      <c r="H786" s="6" t="s">
        <v>1585</v>
      </c>
      <c r="I786" s="6" t="s">
        <v>3377</v>
      </c>
      <c r="J786" s="6" t="s">
        <v>3378</v>
      </c>
      <c r="K786" s="6" t="s">
        <v>1401</v>
      </c>
      <c r="L786" s="6" t="s">
        <v>49</v>
      </c>
      <c r="M786" s="6" t="s">
        <v>16</v>
      </c>
      <c r="N786" s="7" t="s">
        <v>18</v>
      </c>
      <c r="O786" s="25" t="s">
        <v>3638</v>
      </c>
      <c r="P786" s="25" t="s">
        <v>3639</v>
      </c>
      <c r="R786" s="23" t="s">
        <v>3612</v>
      </c>
      <c r="S786" s="2" t="s">
        <v>3613</v>
      </c>
      <c r="T786" s="2" t="s">
        <v>3614</v>
      </c>
      <c r="U786" s="2" t="s">
        <v>3615</v>
      </c>
      <c r="V786" s="23" t="s">
        <v>3616</v>
      </c>
      <c r="W786" s="24" t="s">
        <v>3617</v>
      </c>
      <c r="X786" s="23" t="s">
        <v>3618</v>
      </c>
      <c r="Y786" s="23" t="s">
        <v>3620</v>
      </c>
      <c r="Z786" s="23" t="s">
        <v>3621</v>
      </c>
    </row>
    <row r="787" spans="1:30" ht="15.75" customHeight="1">
      <c r="A787" s="14" t="s">
        <v>1393</v>
      </c>
      <c r="B787" s="5">
        <v>2402</v>
      </c>
      <c r="C787" s="6" t="s">
        <v>1486</v>
      </c>
      <c r="D787" s="7">
        <v>2022597147</v>
      </c>
      <c r="E787" s="7">
        <v>2201010920</v>
      </c>
      <c r="F787" s="7" t="s">
        <v>1813</v>
      </c>
      <c r="G787" s="7" t="s">
        <v>13</v>
      </c>
      <c r="H787" s="6" t="s">
        <v>1487</v>
      </c>
      <c r="I787" s="6" t="s">
        <v>3379</v>
      </c>
      <c r="J787" s="6" t="s">
        <v>3380</v>
      </c>
      <c r="K787" s="6" t="s">
        <v>1401</v>
      </c>
      <c r="L787" s="6" t="s">
        <v>21</v>
      </c>
      <c r="M787" s="6" t="s">
        <v>104</v>
      </c>
      <c r="N787" s="7" t="s">
        <v>18</v>
      </c>
      <c r="O787" s="25" t="s">
        <v>3638</v>
      </c>
      <c r="P787" s="25" t="s">
        <v>3639</v>
      </c>
      <c r="R787" s="23" t="s">
        <v>3612</v>
      </c>
      <c r="S787" s="2" t="s">
        <v>3613</v>
      </c>
      <c r="T787" s="2" t="s">
        <v>3614</v>
      </c>
      <c r="U787" s="2" t="s">
        <v>3615</v>
      </c>
      <c r="V787" s="23" t="s">
        <v>3616</v>
      </c>
      <c r="W787" s="24" t="s">
        <v>3617</v>
      </c>
      <c r="X787" s="23" t="s">
        <v>3618</v>
      </c>
      <c r="Y787" s="23" t="s">
        <v>3620</v>
      </c>
      <c r="Z787" s="23" t="s">
        <v>3621</v>
      </c>
      <c r="AA787" s="9"/>
      <c r="AB787" s="9"/>
      <c r="AC787" s="9"/>
      <c r="AD787" s="9"/>
    </row>
    <row r="788" spans="1:30" ht="15.75" customHeight="1">
      <c r="A788" s="14" t="s">
        <v>1393</v>
      </c>
      <c r="B788" s="5">
        <v>2402</v>
      </c>
      <c r="C788" s="6" t="s">
        <v>1399</v>
      </c>
      <c r="D788" s="7">
        <v>2022003741</v>
      </c>
      <c r="E788" s="7">
        <v>2201070028</v>
      </c>
      <c r="F788" s="7" t="s">
        <v>1813</v>
      </c>
      <c r="G788" s="7" t="s">
        <v>13</v>
      </c>
      <c r="H788" s="6" t="s">
        <v>1400</v>
      </c>
      <c r="I788" s="6" t="s">
        <v>3381</v>
      </c>
      <c r="J788" s="6" t="s">
        <v>3382</v>
      </c>
      <c r="K788" s="6" t="s">
        <v>1401</v>
      </c>
      <c r="L788" s="6" t="s">
        <v>139</v>
      </c>
      <c r="M788" s="6" t="s">
        <v>21</v>
      </c>
      <c r="N788" s="7" t="s">
        <v>174</v>
      </c>
      <c r="O788" s="25" t="s">
        <v>3638</v>
      </c>
      <c r="P788" s="25" t="s">
        <v>3639</v>
      </c>
      <c r="R788" s="23" t="s">
        <v>3612</v>
      </c>
      <c r="S788" s="2" t="s">
        <v>3613</v>
      </c>
      <c r="T788" s="2" t="s">
        <v>3614</v>
      </c>
      <c r="U788" s="2" t="s">
        <v>3615</v>
      </c>
      <c r="V788" s="23" t="s">
        <v>3616</v>
      </c>
      <c r="W788" s="24" t="s">
        <v>3617</v>
      </c>
      <c r="X788" s="23" t="s">
        <v>3618</v>
      </c>
      <c r="Y788" s="23" t="s">
        <v>3620</v>
      </c>
      <c r="Z788" s="23" t="s">
        <v>3621</v>
      </c>
    </row>
    <row r="789" spans="1:30" ht="15.75" customHeight="1">
      <c r="A789" s="13" t="s">
        <v>1393</v>
      </c>
      <c r="B789" s="5">
        <v>2402</v>
      </c>
      <c r="C789" s="6" t="s">
        <v>1509</v>
      </c>
      <c r="D789" s="7">
        <v>2021380904</v>
      </c>
      <c r="E789" s="7">
        <v>210101166</v>
      </c>
      <c r="F789" s="7" t="s">
        <v>1813</v>
      </c>
      <c r="G789" s="7" t="s">
        <v>13</v>
      </c>
      <c r="H789" s="6" t="s">
        <v>1510</v>
      </c>
      <c r="I789" s="6" t="s">
        <v>3383</v>
      </c>
      <c r="J789" s="6" t="s">
        <v>3384</v>
      </c>
      <c r="K789" s="6" t="s">
        <v>532</v>
      </c>
      <c r="L789" s="6" t="s">
        <v>16</v>
      </c>
      <c r="M789" s="6" t="s">
        <v>17</v>
      </c>
      <c r="N789" s="7" t="s">
        <v>18</v>
      </c>
      <c r="O789" s="23" t="s">
        <v>3622</v>
      </c>
      <c r="P789" s="23" t="s">
        <v>3623</v>
      </c>
      <c r="R789" s="23" t="s">
        <v>3624</v>
      </c>
      <c r="S789" s="2" t="s">
        <v>3613</v>
      </c>
      <c r="T789" s="2" t="s">
        <v>3614</v>
      </c>
      <c r="U789" s="2" t="s">
        <v>3615</v>
      </c>
      <c r="V789" s="23" t="s">
        <v>3616</v>
      </c>
      <c r="W789" s="24" t="s">
        <v>3617</v>
      </c>
      <c r="X789" s="23" t="s">
        <v>3618</v>
      </c>
      <c r="Y789" s="23" t="s">
        <v>3620</v>
      </c>
      <c r="Z789" s="23" t="s">
        <v>3621</v>
      </c>
      <c r="AA789" s="23" t="s">
        <v>3625</v>
      </c>
      <c r="AB789" s="9"/>
      <c r="AC789" s="9"/>
      <c r="AD789" s="9"/>
    </row>
    <row r="790" spans="1:30" ht="15.75" customHeight="1">
      <c r="A790" s="13" t="s">
        <v>1393</v>
      </c>
      <c r="B790" s="5">
        <v>2402</v>
      </c>
      <c r="C790" s="6" t="s">
        <v>1547</v>
      </c>
      <c r="D790" s="7">
        <v>2022386358</v>
      </c>
      <c r="E790" s="7">
        <v>2201010033</v>
      </c>
      <c r="F790" s="7" t="s">
        <v>1813</v>
      </c>
      <c r="G790" s="7" t="s">
        <v>13</v>
      </c>
      <c r="H790" s="6" t="s">
        <v>1548</v>
      </c>
      <c r="I790" s="6" t="s">
        <v>3385</v>
      </c>
      <c r="J790" s="6" t="s">
        <v>3386</v>
      </c>
      <c r="K790" s="6" t="s">
        <v>532</v>
      </c>
      <c r="L790" s="6" t="s">
        <v>26</v>
      </c>
      <c r="M790" s="6" t="s">
        <v>17</v>
      </c>
      <c r="N790" s="7" t="s">
        <v>18</v>
      </c>
      <c r="O790" s="23" t="s">
        <v>3622</v>
      </c>
      <c r="P790" s="23" t="s">
        <v>3623</v>
      </c>
      <c r="R790" s="23" t="s">
        <v>3624</v>
      </c>
      <c r="S790" s="2" t="s">
        <v>3613</v>
      </c>
      <c r="T790" s="2" t="s">
        <v>3614</v>
      </c>
      <c r="U790" s="2" t="s">
        <v>3615</v>
      </c>
      <c r="V790" s="23" t="s">
        <v>3616</v>
      </c>
      <c r="W790" s="24" t="s">
        <v>3617</v>
      </c>
      <c r="X790" s="23" t="s">
        <v>3618</v>
      </c>
      <c r="Y790" s="23" t="s">
        <v>3620</v>
      </c>
      <c r="Z790" s="23" t="s">
        <v>3621</v>
      </c>
      <c r="AA790" s="23" t="s">
        <v>3625</v>
      </c>
      <c r="AB790" s="9"/>
      <c r="AC790" s="9"/>
      <c r="AD790" s="9"/>
    </row>
    <row r="791" spans="1:30" ht="15.75" customHeight="1">
      <c r="A791" s="13" t="s">
        <v>1393</v>
      </c>
      <c r="B791" s="5">
        <v>2402</v>
      </c>
      <c r="C791" s="6" t="s">
        <v>1570</v>
      </c>
      <c r="D791" s="7">
        <v>2022510612</v>
      </c>
      <c r="E791" s="7">
        <v>2201010068</v>
      </c>
      <c r="F791" s="7" t="s">
        <v>1813</v>
      </c>
      <c r="G791" s="7" t="s">
        <v>13</v>
      </c>
      <c r="H791" s="6" t="s">
        <v>1571</v>
      </c>
      <c r="I791" s="6" t="s">
        <v>3387</v>
      </c>
      <c r="J791" s="6" t="s">
        <v>3388</v>
      </c>
      <c r="K791" s="6" t="s">
        <v>532</v>
      </c>
      <c r="L791" s="6" t="s">
        <v>17</v>
      </c>
      <c r="M791" s="6" t="s">
        <v>21</v>
      </c>
      <c r="N791" s="7" t="s">
        <v>18</v>
      </c>
      <c r="O791" s="23" t="s">
        <v>3622</v>
      </c>
      <c r="P791" s="23" t="s">
        <v>3623</v>
      </c>
      <c r="R791" s="23" t="s">
        <v>3624</v>
      </c>
      <c r="S791" s="2" t="s">
        <v>3613</v>
      </c>
      <c r="T791" s="2" t="s">
        <v>3614</v>
      </c>
      <c r="U791" s="2" t="s">
        <v>3615</v>
      </c>
      <c r="V791" s="23" t="s">
        <v>3616</v>
      </c>
      <c r="W791" s="24" t="s">
        <v>3617</v>
      </c>
      <c r="X791" s="23" t="s">
        <v>3618</v>
      </c>
      <c r="Y791" s="23" t="s">
        <v>3620</v>
      </c>
      <c r="Z791" s="23" t="s">
        <v>3621</v>
      </c>
      <c r="AA791" s="23" t="s">
        <v>3625</v>
      </c>
      <c r="AB791" s="9"/>
      <c r="AC791" s="9"/>
      <c r="AD791" s="9"/>
    </row>
    <row r="792" spans="1:30" ht="15.75" customHeight="1">
      <c r="A792" s="13" t="s">
        <v>1393</v>
      </c>
      <c r="B792" s="5">
        <v>2402</v>
      </c>
      <c r="C792" s="6" t="s">
        <v>1521</v>
      </c>
      <c r="D792" s="7">
        <v>2022004729</v>
      </c>
      <c r="E792" s="7">
        <v>2201010104</v>
      </c>
      <c r="F792" s="7" t="s">
        <v>1813</v>
      </c>
      <c r="G792" s="7" t="s">
        <v>13</v>
      </c>
      <c r="H792" s="6" t="s">
        <v>1522</v>
      </c>
      <c r="I792" s="6" t="s">
        <v>3389</v>
      </c>
      <c r="J792" s="6" t="s">
        <v>3390</v>
      </c>
      <c r="K792" s="6" t="s">
        <v>532</v>
      </c>
      <c r="L792" s="6" t="s">
        <v>16</v>
      </c>
      <c r="M792" s="6" t="s">
        <v>26</v>
      </c>
      <c r="N792" s="7" t="s">
        <v>18</v>
      </c>
      <c r="O792" s="23" t="s">
        <v>3622</v>
      </c>
      <c r="P792" s="23" t="s">
        <v>3623</v>
      </c>
      <c r="R792" s="23" t="s">
        <v>3624</v>
      </c>
      <c r="S792" s="2" t="s">
        <v>3613</v>
      </c>
      <c r="T792" s="2" t="s">
        <v>3614</v>
      </c>
      <c r="U792" s="2" t="s">
        <v>3615</v>
      </c>
      <c r="V792" s="23" t="s">
        <v>3616</v>
      </c>
      <c r="W792" s="24" t="s">
        <v>3617</v>
      </c>
      <c r="X792" s="23" t="s">
        <v>3618</v>
      </c>
      <c r="Y792" s="23" t="s">
        <v>3620</v>
      </c>
      <c r="Z792" s="23" t="s">
        <v>3621</v>
      </c>
      <c r="AA792" s="23" t="s">
        <v>3625</v>
      </c>
    </row>
    <row r="793" spans="1:30" ht="15.75" customHeight="1">
      <c r="A793" s="13" t="s">
        <v>1393</v>
      </c>
      <c r="B793" s="5">
        <v>2402</v>
      </c>
      <c r="C793" s="6" t="s">
        <v>1456</v>
      </c>
      <c r="D793" s="7">
        <v>2022003451</v>
      </c>
      <c r="E793" s="7">
        <v>2201010147</v>
      </c>
      <c r="F793" s="7" t="s">
        <v>1813</v>
      </c>
      <c r="G793" s="7" t="s">
        <v>13</v>
      </c>
      <c r="H793" s="6" t="s">
        <v>1518</v>
      </c>
      <c r="I793" s="6" t="s">
        <v>3391</v>
      </c>
      <c r="J793" s="6" t="s">
        <v>3392</v>
      </c>
      <c r="K793" s="6" t="s">
        <v>532</v>
      </c>
      <c r="L793" s="6" t="s">
        <v>16</v>
      </c>
      <c r="M793" s="6" t="s">
        <v>17</v>
      </c>
      <c r="N793" s="7" t="s">
        <v>18</v>
      </c>
      <c r="O793" s="23" t="s">
        <v>3622</v>
      </c>
      <c r="P793" s="23" t="s">
        <v>3623</v>
      </c>
      <c r="R793" s="23" t="s">
        <v>3624</v>
      </c>
      <c r="S793" s="2" t="s">
        <v>3613</v>
      </c>
      <c r="T793" s="2" t="s">
        <v>3614</v>
      </c>
      <c r="U793" s="2" t="s">
        <v>3615</v>
      </c>
      <c r="V793" s="23" t="s">
        <v>3616</v>
      </c>
      <c r="W793" s="24" t="s">
        <v>3617</v>
      </c>
      <c r="X793" s="23" t="s">
        <v>3618</v>
      </c>
      <c r="Y793" s="23" t="s">
        <v>3620</v>
      </c>
      <c r="Z793" s="23" t="s">
        <v>3621</v>
      </c>
      <c r="AA793" s="23" t="s">
        <v>3625</v>
      </c>
      <c r="AB793" s="8"/>
      <c r="AC793" s="8"/>
      <c r="AD793" s="8"/>
    </row>
    <row r="794" spans="1:30" ht="15.75" customHeight="1">
      <c r="A794" s="13" t="s">
        <v>1393</v>
      </c>
      <c r="B794" s="5">
        <v>2402</v>
      </c>
      <c r="C794" s="6" t="s">
        <v>1511</v>
      </c>
      <c r="D794" s="7">
        <v>2022000299</v>
      </c>
      <c r="E794" s="7">
        <v>2201010226</v>
      </c>
      <c r="F794" s="7" t="s">
        <v>1813</v>
      </c>
      <c r="G794" s="7" t="s">
        <v>13</v>
      </c>
      <c r="H794" s="6" t="s">
        <v>1512</v>
      </c>
      <c r="I794" s="6" t="s">
        <v>3393</v>
      </c>
      <c r="J794" s="6" t="s">
        <v>3394</v>
      </c>
      <c r="K794" s="6" t="s">
        <v>532</v>
      </c>
      <c r="L794" s="6" t="s">
        <v>21</v>
      </c>
      <c r="M794" s="6" t="s">
        <v>16</v>
      </c>
      <c r="N794" s="7" t="s">
        <v>18</v>
      </c>
      <c r="O794" s="23" t="s">
        <v>3622</v>
      </c>
      <c r="P794" s="23" t="s">
        <v>3623</v>
      </c>
      <c r="R794" s="23" t="s">
        <v>3624</v>
      </c>
      <c r="S794" s="2" t="s">
        <v>3613</v>
      </c>
      <c r="T794" s="2" t="s">
        <v>3614</v>
      </c>
      <c r="U794" s="2" t="s">
        <v>3615</v>
      </c>
      <c r="V794" s="23" t="s">
        <v>3616</v>
      </c>
      <c r="W794" s="24" t="s">
        <v>3617</v>
      </c>
      <c r="X794" s="23" t="s">
        <v>3618</v>
      </c>
      <c r="Y794" s="23" t="s">
        <v>3620</v>
      </c>
      <c r="Z794" s="23" t="s">
        <v>3621</v>
      </c>
      <c r="AA794" s="23" t="s">
        <v>3625</v>
      </c>
      <c r="AB794" s="8"/>
      <c r="AC794" s="8"/>
      <c r="AD794" s="8"/>
    </row>
    <row r="795" spans="1:30" ht="15.75" customHeight="1">
      <c r="A795" s="13" t="s">
        <v>1393</v>
      </c>
      <c r="B795" s="5">
        <v>2402</v>
      </c>
      <c r="C795" s="6" t="s">
        <v>1568</v>
      </c>
      <c r="D795" s="7">
        <v>2022509891</v>
      </c>
      <c r="E795" s="7">
        <v>2201010242</v>
      </c>
      <c r="F795" s="7" t="s">
        <v>1813</v>
      </c>
      <c r="G795" s="7" t="s">
        <v>13</v>
      </c>
      <c r="H795" s="6" t="s">
        <v>1569</v>
      </c>
      <c r="I795" s="6" t="s">
        <v>3395</v>
      </c>
      <c r="J795" s="6" t="s">
        <v>3396</v>
      </c>
      <c r="K795" s="6" t="s">
        <v>532</v>
      </c>
      <c r="L795" s="6" t="s">
        <v>26</v>
      </c>
      <c r="M795" s="6" t="s">
        <v>104</v>
      </c>
      <c r="N795" s="7" t="s">
        <v>18</v>
      </c>
      <c r="O795" s="23" t="s">
        <v>3622</v>
      </c>
      <c r="P795" s="23" t="s">
        <v>3623</v>
      </c>
      <c r="R795" s="23" t="s">
        <v>3624</v>
      </c>
      <c r="S795" s="2" t="s">
        <v>3613</v>
      </c>
      <c r="T795" s="2" t="s">
        <v>3614</v>
      </c>
      <c r="U795" s="2" t="s">
        <v>3615</v>
      </c>
      <c r="V795" s="23" t="s">
        <v>3616</v>
      </c>
      <c r="W795" s="24" t="s">
        <v>3617</v>
      </c>
      <c r="X795" s="23" t="s">
        <v>3618</v>
      </c>
      <c r="Y795" s="23" t="s">
        <v>3620</v>
      </c>
      <c r="Z795" s="23" t="s">
        <v>3621</v>
      </c>
      <c r="AA795" s="23" t="s">
        <v>3625</v>
      </c>
      <c r="AB795" s="8"/>
      <c r="AC795" s="8"/>
      <c r="AD795" s="8"/>
    </row>
    <row r="796" spans="1:30" ht="15.75" customHeight="1">
      <c r="A796" s="13" t="s">
        <v>1393</v>
      </c>
      <c r="B796" s="5">
        <v>2402</v>
      </c>
      <c r="C796" s="6" t="s">
        <v>1582</v>
      </c>
      <c r="D796" s="7">
        <v>2022536194</v>
      </c>
      <c r="E796" s="7">
        <v>2201010250</v>
      </c>
      <c r="F796" s="7" t="s">
        <v>1813</v>
      </c>
      <c r="G796" s="7" t="s">
        <v>13</v>
      </c>
      <c r="H796" s="6" t="s">
        <v>1583</v>
      </c>
      <c r="I796" s="6" t="s">
        <v>3397</v>
      </c>
      <c r="J796" s="6" t="s">
        <v>3398</v>
      </c>
      <c r="K796" s="6" t="s">
        <v>532</v>
      </c>
      <c r="L796" s="6" t="s">
        <v>21</v>
      </c>
      <c r="M796" s="6" t="s">
        <v>26</v>
      </c>
      <c r="N796" s="7" t="s">
        <v>18</v>
      </c>
      <c r="O796" s="23" t="s">
        <v>3622</v>
      </c>
      <c r="P796" s="23" t="s">
        <v>3623</v>
      </c>
      <c r="R796" s="23" t="s">
        <v>3624</v>
      </c>
      <c r="S796" s="2" t="s">
        <v>3613</v>
      </c>
      <c r="T796" s="2" t="s">
        <v>3614</v>
      </c>
      <c r="U796" s="2" t="s">
        <v>3615</v>
      </c>
      <c r="V796" s="23" t="s">
        <v>3616</v>
      </c>
      <c r="W796" s="24" t="s">
        <v>3617</v>
      </c>
      <c r="X796" s="23" t="s">
        <v>3618</v>
      </c>
      <c r="Y796" s="23" t="s">
        <v>3620</v>
      </c>
      <c r="Z796" s="23" t="s">
        <v>3621</v>
      </c>
      <c r="AA796" s="23" t="s">
        <v>3625</v>
      </c>
      <c r="AB796" s="8"/>
      <c r="AC796" s="8"/>
      <c r="AD796" s="8"/>
    </row>
    <row r="797" spans="1:30" ht="15.75" customHeight="1">
      <c r="A797" s="13" t="s">
        <v>1393</v>
      </c>
      <c r="B797" s="5">
        <v>2402</v>
      </c>
      <c r="C797" s="6" t="s">
        <v>1525</v>
      </c>
      <c r="D797" s="7">
        <v>2022005315</v>
      </c>
      <c r="E797" s="7">
        <v>2201010255</v>
      </c>
      <c r="F797" s="7" t="s">
        <v>1813</v>
      </c>
      <c r="G797" s="7" t="s">
        <v>13</v>
      </c>
      <c r="H797" s="6" t="s">
        <v>1526</v>
      </c>
      <c r="I797" s="6" t="s">
        <v>3399</v>
      </c>
      <c r="J797" s="6" t="s">
        <v>3400</v>
      </c>
      <c r="K797" s="6" t="s">
        <v>532</v>
      </c>
      <c r="L797" s="6" t="s">
        <v>16</v>
      </c>
      <c r="M797" s="6" t="s">
        <v>26</v>
      </c>
      <c r="N797" s="7" t="s">
        <v>18</v>
      </c>
      <c r="O797" s="23" t="s">
        <v>3622</v>
      </c>
      <c r="P797" s="23" t="s">
        <v>3623</v>
      </c>
      <c r="R797" s="23" t="s">
        <v>3624</v>
      </c>
      <c r="S797" s="2" t="s">
        <v>3613</v>
      </c>
      <c r="T797" s="2" t="s">
        <v>3614</v>
      </c>
      <c r="U797" s="2" t="s">
        <v>3615</v>
      </c>
      <c r="V797" s="23" t="s">
        <v>3616</v>
      </c>
      <c r="W797" s="24" t="s">
        <v>3617</v>
      </c>
      <c r="X797" s="23" t="s">
        <v>3618</v>
      </c>
      <c r="Y797" s="23" t="s">
        <v>3620</v>
      </c>
      <c r="Z797" s="23" t="s">
        <v>3621</v>
      </c>
      <c r="AA797" s="23" t="s">
        <v>3625</v>
      </c>
      <c r="AB797" s="8"/>
      <c r="AC797" s="8"/>
      <c r="AD797" s="8"/>
    </row>
    <row r="798" spans="1:30" ht="15.75" customHeight="1">
      <c r="A798" s="13" t="s">
        <v>1393</v>
      </c>
      <c r="B798" s="5">
        <v>2402</v>
      </c>
      <c r="C798" s="6" t="s">
        <v>1560</v>
      </c>
      <c r="D798" s="7">
        <v>2022503936</v>
      </c>
      <c r="E798" s="7">
        <v>2201010368</v>
      </c>
      <c r="F798" s="7" t="s">
        <v>1813</v>
      </c>
      <c r="G798" s="7" t="s">
        <v>13</v>
      </c>
      <c r="H798" s="6" t="s">
        <v>1561</v>
      </c>
      <c r="I798" s="6" t="s">
        <v>3401</v>
      </c>
      <c r="J798" s="6" t="s">
        <v>3402</v>
      </c>
      <c r="K798" s="6" t="s">
        <v>532</v>
      </c>
      <c r="L798" s="6" t="s">
        <v>16</v>
      </c>
      <c r="M798" s="6" t="s">
        <v>149</v>
      </c>
      <c r="N798" s="7" t="s">
        <v>18</v>
      </c>
      <c r="O798" s="23" t="s">
        <v>3622</v>
      </c>
      <c r="P798" s="23" t="s">
        <v>3623</v>
      </c>
      <c r="R798" s="23" t="s">
        <v>3624</v>
      </c>
      <c r="S798" s="2" t="s">
        <v>3613</v>
      </c>
      <c r="T798" s="2" t="s">
        <v>3614</v>
      </c>
      <c r="U798" s="2" t="s">
        <v>3615</v>
      </c>
      <c r="V798" s="23" t="s">
        <v>3616</v>
      </c>
      <c r="W798" s="24" t="s">
        <v>3617</v>
      </c>
      <c r="X798" s="23" t="s">
        <v>3618</v>
      </c>
      <c r="Y798" s="23" t="s">
        <v>3620</v>
      </c>
      <c r="Z798" s="23" t="s">
        <v>3621</v>
      </c>
      <c r="AA798" s="23" t="s">
        <v>3625</v>
      </c>
    </row>
    <row r="799" spans="1:30" ht="15.75" customHeight="1">
      <c r="A799" s="13" t="s">
        <v>1393</v>
      </c>
      <c r="B799" s="5">
        <v>2402</v>
      </c>
      <c r="C799" s="6" t="s">
        <v>1550</v>
      </c>
      <c r="D799" s="7">
        <v>2022390387</v>
      </c>
      <c r="E799" s="7">
        <v>2201010455</v>
      </c>
      <c r="F799" s="7" t="s">
        <v>1813</v>
      </c>
      <c r="G799" s="7" t="s">
        <v>13</v>
      </c>
      <c r="H799" s="6" t="s">
        <v>1551</v>
      </c>
      <c r="I799" s="6" t="s">
        <v>3403</v>
      </c>
      <c r="J799" s="6" t="s">
        <v>3404</v>
      </c>
      <c r="K799" s="6" t="s">
        <v>532</v>
      </c>
      <c r="L799" s="6" t="s">
        <v>21</v>
      </c>
      <c r="M799" s="6" t="s">
        <v>26</v>
      </c>
      <c r="N799" s="7" t="s">
        <v>18</v>
      </c>
      <c r="O799" s="23" t="s">
        <v>3622</v>
      </c>
      <c r="P799" s="23" t="s">
        <v>3623</v>
      </c>
      <c r="R799" s="23" t="s">
        <v>3624</v>
      </c>
      <c r="S799" s="2" t="s">
        <v>3613</v>
      </c>
      <c r="T799" s="2" t="s">
        <v>3614</v>
      </c>
      <c r="U799" s="2" t="s">
        <v>3615</v>
      </c>
      <c r="V799" s="23" t="s">
        <v>3616</v>
      </c>
      <c r="W799" s="24" t="s">
        <v>3617</v>
      </c>
      <c r="X799" s="23" t="s">
        <v>3618</v>
      </c>
      <c r="Y799" s="23" t="s">
        <v>3620</v>
      </c>
      <c r="Z799" s="23" t="s">
        <v>3621</v>
      </c>
      <c r="AA799" s="23" t="s">
        <v>3625</v>
      </c>
      <c r="AB799" s="8"/>
      <c r="AC799" s="8"/>
      <c r="AD799" s="8"/>
    </row>
    <row r="800" spans="1:30" ht="15.75" customHeight="1">
      <c r="A800" s="13" t="s">
        <v>1393</v>
      </c>
      <c r="B800" s="5">
        <v>2402</v>
      </c>
      <c r="C800" s="6" t="s">
        <v>1566</v>
      </c>
      <c r="D800" s="7">
        <v>2022507071</v>
      </c>
      <c r="E800" s="7">
        <v>2201010461</v>
      </c>
      <c r="F800" s="7" t="s">
        <v>1813</v>
      </c>
      <c r="G800" s="7" t="s">
        <v>13</v>
      </c>
      <c r="H800" s="6" t="s">
        <v>1567</v>
      </c>
      <c r="I800" s="6" t="s">
        <v>3405</v>
      </c>
      <c r="J800" s="6" t="s">
        <v>3406</v>
      </c>
      <c r="K800" s="6" t="s">
        <v>532</v>
      </c>
      <c r="L800" s="6" t="s">
        <v>16</v>
      </c>
      <c r="M800" s="6" t="s">
        <v>149</v>
      </c>
      <c r="N800" s="7" t="s">
        <v>18</v>
      </c>
      <c r="O800" s="23" t="s">
        <v>3622</v>
      </c>
      <c r="P800" s="23" t="s">
        <v>3623</v>
      </c>
      <c r="R800" s="23" t="s">
        <v>3624</v>
      </c>
      <c r="S800" s="2" t="s">
        <v>3613</v>
      </c>
      <c r="T800" s="2" t="s">
        <v>3614</v>
      </c>
      <c r="U800" s="2" t="s">
        <v>3615</v>
      </c>
      <c r="V800" s="23" t="s">
        <v>3616</v>
      </c>
      <c r="W800" s="24" t="s">
        <v>3617</v>
      </c>
      <c r="X800" s="23" t="s">
        <v>3618</v>
      </c>
      <c r="Y800" s="23" t="s">
        <v>3620</v>
      </c>
      <c r="Z800" s="23" t="s">
        <v>3621</v>
      </c>
      <c r="AA800" s="23" t="s">
        <v>3625</v>
      </c>
      <c r="AB800" s="8"/>
      <c r="AC800" s="8"/>
      <c r="AD800" s="8"/>
    </row>
    <row r="801" spans="1:30" ht="15.75" customHeight="1">
      <c r="A801" s="13" t="s">
        <v>1393</v>
      </c>
      <c r="B801" s="5">
        <v>2402</v>
      </c>
      <c r="C801" s="6" t="s">
        <v>1562</v>
      </c>
      <c r="D801" s="7">
        <v>2022504250</v>
      </c>
      <c r="E801" s="7">
        <v>2201010508</v>
      </c>
      <c r="F801" s="7" t="s">
        <v>1813</v>
      </c>
      <c r="G801" s="7" t="s">
        <v>13</v>
      </c>
      <c r="H801" s="6" t="s">
        <v>1563</v>
      </c>
      <c r="I801" s="6" t="s">
        <v>3407</v>
      </c>
      <c r="J801" s="6" t="s">
        <v>3408</v>
      </c>
      <c r="K801" s="6" t="s">
        <v>532</v>
      </c>
      <c r="L801" s="6" t="s">
        <v>16</v>
      </c>
      <c r="M801" s="6" t="s">
        <v>21</v>
      </c>
      <c r="N801" s="7" t="s">
        <v>18</v>
      </c>
      <c r="O801" s="23" t="s">
        <v>3622</v>
      </c>
      <c r="P801" s="23" t="s">
        <v>3623</v>
      </c>
      <c r="R801" s="23" t="s">
        <v>3624</v>
      </c>
      <c r="S801" s="2" t="s">
        <v>3613</v>
      </c>
      <c r="T801" s="2" t="s">
        <v>3614</v>
      </c>
      <c r="U801" s="2" t="s">
        <v>3615</v>
      </c>
      <c r="V801" s="23" t="s">
        <v>3616</v>
      </c>
      <c r="W801" s="24" t="s">
        <v>3617</v>
      </c>
      <c r="X801" s="23" t="s">
        <v>3618</v>
      </c>
      <c r="Y801" s="23" t="s">
        <v>3620</v>
      </c>
      <c r="Z801" s="23" t="s">
        <v>3621</v>
      </c>
      <c r="AA801" s="23" t="s">
        <v>3625</v>
      </c>
      <c r="AB801" s="8"/>
      <c r="AC801" s="8"/>
      <c r="AD801" s="8"/>
    </row>
    <row r="802" spans="1:30" ht="15.75" customHeight="1">
      <c r="A802" s="13" t="s">
        <v>1393</v>
      </c>
      <c r="B802" s="5">
        <v>2402</v>
      </c>
      <c r="C802" s="6" t="s">
        <v>1556</v>
      </c>
      <c r="D802" s="7">
        <v>2022477888</v>
      </c>
      <c r="E802" s="7">
        <v>2201010559</v>
      </c>
      <c r="F802" s="7" t="s">
        <v>1813</v>
      </c>
      <c r="G802" s="7" t="s">
        <v>13</v>
      </c>
      <c r="H802" s="6" t="s">
        <v>1557</v>
      </c>
      <c r="I802" s="6" t="s">
        <v>3409</v>
      </c>
      <c r="J802" s="6" t="s">
        <v>3410</v>
      </c>
      <c r="K802" s="6" t="s">
        <v>532</v>
      </c>
      <c r="L802" s="6" t="s">
        <v>16</v>
      </c>
      <c r="M802" s="6" t="s">
        <v>149</v>
      </c>
      <c r="N802" s="7" t="s">
        <v>18</v>
      </c>
      <c r="O802" s="23" t="s">
        <v>3622</v>
      </c>
      <c r="P802" s="23" t="s">
        <v>3623</v>
      </c>
      <c r="R802" s="23" t="s">
        <v>3624</v>
      </c>
      <c r="S802" s="2" t="s">
        <v>3613</v>
      </c>
      <c r="T802" s="2" t="s">
        <v>3614</v>
      </c>
      <c r="U802" s="2" t="s">
        <v>3615</v>
      </c>
      <c r="V802" s="23" t="s">
        <v>3616</v>
      </c>
      <c r="W802" s="24" t="s">
        <v>3617</v>
      </c>
      <c r="X802" s="23" t="s">
        <v>3618</v>
      </c>
      <c r="Y802" s="23" t="s">
        <v>3620</v>
      </c>
      <c r="Z802" s="23" t="s">
        <v>3621</v>
      </c>
      <c r="AA802" s="23" t="s">
        <v>3625</v>
      </c>
      <c r="AB802" s="8"/>
      <c r="AC802" s="8"/>
      <c r="AD802" s="8"/>
    </row>
    <row r="803" spans="1:30" ht="15.75" customHeight="1">
      <c r="A803" s="13" t="s">
        <v>1393</v>
      </c>
      <c r="B803" s="5">
        <v>2402</v>
      </c>
      <c r="C803" s="6" t="s">
        <v>1554</v>
      </c>
      <c r="D803" s="7">
        <v>2022463885</v>
      </c>
      <c r="E803" s="7">
        <v>2201010725</v>
      </c>
      <c r="F803" s="7" t="s">
        <v>1813</v>
      </c>
      <c r="G803" s="7" t="s">
        <v>13</v>
      </c>
      <c r="H803" s="6" t="s">
        <v>1555</v>
      </c>
      <c r="I803" s="6" t="s">
        <v>3411</v>
      </c>
      <c r="J803" s="6" t="s">
        <v>3412</v>
      </c>
      <c r="K803" s="6" t="s">
        <v>532</v>
      </c>
      <c r="L803" s="6" t="s">
        <v>16</v>
      </c>
      <c r="M803" s="6" t="s">
        <v>21</v>
      </c>
      <c r="N803" s="7" t="s">
        <v>18</v>
      </c>
      <c r="O803" s="23" t="s">
        <v>3622</v>
      </c>
      <c r="P803" s="23" t="s">
        <v>3623</v>
      </c>
      <c r="R803" s="23" t="s">
        <v>3624</v>
      </c>
      <c r="S803" s="2" t="s">
        <v>3613</v>
      </c>
      <c r="T803" s="2" t="s">
        <v>3614</v>
      </c>
      <c r="U803" s="2" t="s">
        <v>3615</v>
      </c>
      <c r="V803" s="23" t="s">
        <v>3616</v>
      </c>
      <c r="W803" s="24" t="s">
        <v>3617</v>
      </c>
      <c r="X803" s="23" t="s">
        <v>3618</v>
      </c>
      <c r="Y803" s="23" t="s">
        <v>3620</v>
      </c>
      <c r="Z803" s="23" t="s">
        <v>3621</v>
      </c>
      <c r="AA803" s="23" t="s">
        <v>3625</v>
      </c>
      <c r="AB803" s="8"/>
      <c r="AC803" s="8"/>
      <c r="AD803" s="8"/>
    </row>
    <row r="804" spans="1:30" ht="15.75" customHeight="1">
      <c r="A804" s="13" t="s">
        <v>1393</v>
      </c>
      <c r="B804" s="5">
        <v>2402</v>
      </c>
      <c r="C804" s="6" t="s">
        <v>1552</v>
      </c>
      <c r="D804" s="7">
        <v>2022401760</v>
      </c>
      <c r="E804" s="7">
        <v>2201010746</v>
      </c>
      <c r="F804" s="7" t="s">
        <v>1813</v>
      </c>
      <c r="G804" s="7" t="s">
        <v>13</v>
      </c>
      <c r="H804" s="6" t="s">
        <v>1553</v>
      </c>
      <c r="I804" s="6" t="s">
        <v>3413</v>
      </c>
      <c r="J804" s="6" t="s">
        <v>3414</v>
      </c>
      <c r="K804" s="6" t="s">
        <v>532</v>
      </c>
      <c r="L804" s="6" t="s">
        <v>17</v>
      </c>
      <c r="M804" s="6" t="s">
        <v>21</v>
      </c>
      <c r="N804" s="7" t="s">
        <v>18</v>
      </c>
      <c r="O804" s="23" t="s">
        <v>3622</v>
      </c>
      <c r="P804" s="23" t="s">
        <v>3623</v>
      </c>
      <c r="R804" s="23" t="s">
        <v>3624</v>
      </c>
      <c r="S804" s="2" t="s">
        <v>3613</v>
      </c>
      <c r="T804" s="2" t="s">
        <v>3614</v>
      </c>
      <c r="U804" s="2" t="s">
        <v>3615</v>
      </c>
      <c r="V804" s="23" t="s">
        <v>3616</v>
      </c>
      <c r="W804" s="24" t="s">
        <v>3617</v>
      </c>
      <c r="X804" s="23" t="s">
        <v>3618</v>
      </c>
      <c r="Y804" s="23" t="s">
        <v>3620</v>
      </c>
      <c r="Z804" s="23" t="s">
        <v>3621</v>
      </c>
      <c r="AA804" s="23" t="s">
        <v>3625</v>
      </c>
      <c r="AB804" s="8"/>
      <c r="AC804" s="8"/>
      <c r="AD804" s="8"/>
    </row>
    <row r="805" spans="1:30" ht="15.75" customHeight="1">
      <c r="A805" s="13" t="s">
        <v>1393</v>
      </c>
      <c r="B805" s="5">
        <v>2402</v>
      </c>
      <c r="C805" s="6" t="s">
        <v>1527</v>
      </c>
      <c r="D805" s="7">
        <v>2022006170</v>
      </c>
      <c r="E805" s="7">
        <v>2201010761</v>
      </c>
      <c r="F805" s="7" t="s">
        <v>1813</v>
      </c>
      <c r="G805" s="7" t="s">
        <v>13</v>
      </c>
      <c r="H805" s="6" t="s">
        <v>1528</v>
      </c>
      <c r="I805" s="6" t="s">
        <v>3415</v>
      </c>
      <c r="J805" s="6" t="s">
        <v>3416</v>
      </c>
      <c r="K805" s="6" t="s">
        <v>532</v>
      </c>
      <c r="L805" s="6" t="s">
        <v>17</v>
      </c>
      <c r="M805" s="6" t="s">
        <v>16</v>
      </c>
      <c r="N805" s="7" t="s">
        <v>18</v>
      </c>
      <c r="O805" s="23" t="s">
        <v>3622</v>
      </c>
      <c r="P805" s="23" t="s">
        <v>3623</v>
      </c>
      <c r="R805" s="23" t="s">
        <v>3624</v>
      </c>
      <c r="S805" s="2" t="s">
        <v>3613</v>
      </c>
      <c r="T805" s="2" t="s">
        <v>3614</v>
      </c>
      <c r="U805" s="2" t="s">
        <v>3615</v>
      </c>
      <c r="V805" s="23" t="s">
        <v>3616</v>
      </c>
      <c r="W805" s="24" t="s">
        <v>3617</v>
      </c>
      <c r="X805" s="23" t="s">
        <v>3618</v>
      </c>
      <c r="Y805" s="23" t="s">
        <v>3620</v>
      </c>
      <c r="Z805" s="23" t="s">
        <v>3621</v>
      </c>
      <c r="AA805" s="23" t="s">
        <v>3625</v>
      </c>
      <c r="AB805" s="8"/>
      <c r="AC805" s="8"/>
      <c r="AD805" s="8"/>
    </row>
    <row r="806" spans="1:30" ht="15.75" customHeight="1">
      <c r="A806" s="13" t="s">
        <v>1393</v>
      </c>
      <c r="B806" s="5">
        <v>2402</v>
      </c>
      <c r="C806" s="6" t="s">
        <v>1576</v>
      </c>
      <c r="D806" s="7">
        <v>2022519978</v>
      </c>
      <c r="E806" s="7">
        <v>2201010793</v>
      </c>
      <c r="F806" s="7" t="s">
        <v>1813</v>
      </c>
      <c r="G806" s="7" t="s">
        <v>13</v>
      </c>
      <c r="H806" s="6" t="s">
        <v>1577</v>
      </c>
      <c r="I806" s="6" t="s">
        <v>3417</v>
      </c>
      <c r="J806" s="6" t="s">
        <v>3418</v>
      </c>
      <c r="K806" s="6" t="s">
        <v>532</v>
      </c>
      <c r="L806" s="6" t="s">
        <v>21</v>
      </c>
      <c r="M806" s="6" t="s">
        <v>149</v>
      </c>
      <c r="N806" s="7" t="s">
        <v>18</v>
      </c>
      <c r="O806" s="23" t="s">
        <v>3622</v>
      </c>
      <c r="P806" s="23" t="s">
        <v>3623</v>
      </c>
      <c r="R806" s="23" t="s">
        <v>3624</v>
      </c>
      <c r="S806" s="2" t="s">
        <v>3613</v>
      </c>
      <c r="T806" s="2" t="s">
        <v>3614</v>
      </c>
      <c r="U806" s="2" t="s">
        <v>3615</v>
      </c>
      <c r="V806" s="23" t="s">
        <v>3616</v>
      </c>
      <c r="W806" s="24" t="s">
        <v>3617</v>
      </c>
      <c r="X806" s="23" t="s">
        <v>3618</v>
      </c>
      <c r="Y806" s="23" t="s">
        <v>3620</v>
      </c>
      <c r="Z806" s="23" t="s">
        <v>3621</v>
      </c>
      <c r="AA806" s="23" t="s">
        <v>3625</v>
      </c>
      <c r="AB806" s="8"/>
      <c r="AC806" s="8"/>
      <c r="AD806" s="8"/>
    </row>
    <row r="807" spans="1:30" ht="15.75" customHeight="1">
      <c r="A807" s="13" t="s">
        <v>1393</v>
      </c>
      <c r="B807" s="5">
        <v>2402</v>
      </c>
      <c r="C807" s="6" t="s">
        <v>1564</v>
      </c>
      <c r="D807" s="7">
        <v>2022506228</v>
      </c>
      <c r="E807" s="7">
        <v>2201010930</v>
      </c>
      <c r="F807" s="7" t="s">
        <v>1813</v>
      </c>
      <c r="G807" s="7" t="s">
        <v>13</v>
      </c>
      <c r="H807" s="6" t="s">
        <v>1565</v>
      </c>
      <c r="I807" s="6" t="s">
        <v>3419</v>
      </c>
      <c r="J807" s="6" t="s">
        <v>3420</v>
      </c>
      <c r="K807" s="6" t="s">
        <v>532</v>
      </c>
      <c r="L807" s="6" t="s">
        <v>21</v>
      </c>
      <c r="M807" s="6" t="s">
        <v>16</v>
      </c>
      <c r="N807" s="7" t="s">
        <v>18</v>
      </c>
      <c r="O807" s="23" t="s">
        <v>3622</v>
      </c>
      <c r="P807" s="23" t="s">
        <v>3623</v>
      </c>
      <c r="R807" s="23" t="s">
        <v>3624</v>
      </c>
      <c r="S807" s="2" t="s">
        <v>3613</v>
      </c>
      <c r="T807" s="2" t="s">
        <v>3614</v>
      </c>
      <c r="U807" s="2" t="s">
        <v>3615</v>
      </c>
      <c r="V807" s="23" t="s">
        <v>3616</v>
      </c>
      <c r="W807" s="24" t="s">
        <v>3617</v>
      </c>
      <c r="X807" s="23" t="s">
        <v>3618</v>
      </c>
      <c r="Y807" s="23" t="s">
        <v>3620</v>
      </c>
      <c r="Z807" s="23" t="s">
        <v>3621</v>
      </c>
      <c r="AA807" s="23" t="s">
        <v>3625</v>
      </c>
      <c r="AB807" s="8"/>
      <c r="AC807" s="8"/>
      <c r="AD807" s="8"/>
    </row>
    <row r="808" spans="1:30" ht="15.75" customHeight="1">
      <c r="A808" s="13" t="s">
        <v>1393</v>
      </c>
      <c r="B808" s="5">
        <v>2402</v>
      </c>
      <c r="C808" s="6" t="s">
        <v>705</v>
      </c>
      <c r="D808" s="7">
        <v>2022387999</v>
      </c>
      <c r="E808" s="7">
        <v>2201010046</v>
      </c>
      <c r="F808" s="7" t="s">
        <v>1813</v>
      </c>
      <c r="G808" s="7" t="s">
        <v>13</v>
      </c>
      <c r="H808" s="6" t="s">
        <v>1549</v>
      </c>
      <c r="I808" s="6" t="s">
        <v>3421</v>
      </c>
      <c r="J808" s="6" t="s">
        <v>3422</v>
      </c>
      <c r="K808" s="6" t="s">
        <v>1276</v>
      </c>
      <c r="L808" s="6" t="s">
        <v>16</v>
      </c>
      <c r="M808" s="6" t="s">
        <v>16</v>
      </c>
      <c r="N808" s="7" t="s">
        <v>18</v>
      </c>
      <c r="O808" s="23" t="s">
        <v>3626</v>
      </c>
      <c r="P808" s="23" t="s">
        <v>3627</v>
      </c>
      <c r="R808" s="23" t="s">
        <v>3628</v>
      </c>
      <c r="S808" s="2" t="s">
        <v>3613</v>
      </c>
      <c r="T808" s="2" t="s">
        <v>3614</v>
      </c>
      <c r="U808" s="2" t="s">
        <v>3615</v>
      </c>
      <c r="V808" s="23" t="s">
        <v>3616</v>
      </c>
      <c r="W808" s="24" t="s">
        <v>3617</v>
      </c>
      <c r="X808" s="23" t="s">
        <v>3618</v>
      </c>
      <c r="Y808" s="23" t="s">
        <v>3620</v>
      </c>
      <c r="Z808" s="23" t="s">
        <v>3621</v>
      </c>
      <c r="AA808" s="23" t="s">
        <v>3629</v>
      </c>
      <c r="AB808" s="8"/>
      <c r="AC808" s="8"/>
      <c r="AD808" s="8"/>
    </row>
    <row r="809" spans="1:30" ht="15.75" customHeight="1">
      <c r="A809" s="13" t="s">
        <v>1393</v>
      </c>
      <c r="B809" s="5">
        <v>2402</v>
      </c>
      <c r="C809" s="6" t="s">
        <v>1578</v>
      </c>
      <c r="D809" s="7">
        <v>2022522914</v>
      </c>
      <c r="E809" s="7">
        <v>2201010776</v>
      </c>
      <c r="F809" s="7" t="s">
        <v>1813</v>
      </c>
      <c r="G809" s="7" t="s">
        <v>13</v>
      </c>
      <c r="H809" s="6" t="s">
        <v>1579</v>
      </c>
      <c r="I809" s="6" t="s">
        <v>3423</v>
      </c>
      <c r="J809" s="6" t="s">
        <v>3424</v>
      </c>
      <c r="K809" s="6" t="s">
        <v>1276</v>
      </c>
      <c r="L809" s="6" t="s">
        <v>21</v>
      </c>
      <c r="M809" s="6" t="s">
        <v>16</v>
      </c>
      <c r="N809" s="7" t="s">
        <v>18</v>
      </c>
      <c r="O809" s="23" t="s">
        <v>3626</v>
      </c>
      <c r="P809" s="23" t="s">
        <v>3627</v>
      </c>
      <c r="R809" s="23" t="s">
        <v>3628</v>
      </c>
      <c r="S809" s="2" t="s">
        <v>3613</v>
      </c>
      <c r="T809" s="2" t="s">
        <v>3614</v>
      </c>
      <c r="U809" s="2" t="s">
        <v>3615</v>
      </c>
      <c r="V809" s="23" t="s">
        <v>3616</v>
      </c>
      <c r="W809" s="24" t="s">
        <v>3617</v>
      </c>
      <c r="X809" s="23" t="s">
        <v>3618</v>
      </c>
      <c r="Y809" s="23" t="s">
        <v>3620</v>
      </c>
      <c r="Z809" s="23" t="s">
        <v>3621</v>
      </c>
      <c r="AA809" s="23" t="s">
        <v>3629</v>
      </c>
      <c r="AB809" s="8"/>
      <c r="AC809" s="8"/>
      <c r="AD809" s="8"/>
    </row>
    <row r="810" spans="1:30" ht="15.75" customHeight="1">
      <c r="A810" s="14" t="s">
        <v>1393</v>
      </c>
      <c r="B810" s="5">
        <v>2402</v>
      </c>
      <c r="C810" s="6" t="s">
        <v>1423</v>
      </c>
      <c r="D810" s="7">
        <v>2022006860</v>
      </c>
      <c r="E810" s="7">
        <v>2201010154</v>
      </c>
      <c r="F810" s="7" t="s">
        <v>1813</v>
      </c>
      <c r="G810" s="7" t="s">
        <v>13</v>
      </c>
      <c r="H810" s="6" t="s">
        <v>1424</v>
      </c>
      <c r="I810" s="6" t="s">
        <v>3425</v>
      </c>
      <c r="J810" s="6" t="s">
        <v>3426</v>
      </c>
      <c r="K810" s="6" t="s">
        <v>1396</v>
      </c>
      <c r="L810" s="6" t="s">
        <v>21</v>
      </c>
      <c r="M810" s="6" t="s">
        <v>21</v>
      </c>
      <c r="N810" s="7" t="s">
        <v>18</v>
      </c>
      <c r="O810" s="23" t="s">
        <v>3630</v>
      </c>
      <c r="P810" s="25" t="s">
        <v>3631</v>
      </c>
      <c r="R810" s="23" t="s">
        <v>3632</v>
      </c>
      <c r="S810" s="2" t="s">
        <v>3613</v>
      </c>
      <c r="T810" s="2" t="s">
        <v>3614</v>
      </c>
      <c r="U810" s="2" t="s">
        <v>3615</v>
      </c>
      <c r="V810" s="23" t="s">
        <v>3616</v>
      </c>
      <c r="W810" s="24" t="s">
        <v>3617</v>
      </c>
      <c r="X810" s="23" t="s">
        <v>3618</v>
      </c>
      <c r="Y810" s="23" t="s">
        <v>3620</v>
      </c>
      <c r="Z810" s="23" t="s">
        <v>3621</v>
      </c>
      <c r="AA810" s="23" t="s">
        <v>3633</v>
      </c>
      <c r="AB810" s="8"/>
      <c r="AC810" s="8"/>
      <c r="AD810" s="8"/>
    </row>
    <row r="811" spans="1:30" ht="15.75" customHeight="1">
      <c r="A811" s="14" t="s">
        <v>1393</v>
      </c>
      <c r="B811" s="5">
        <v>2402</v>
      </c>
      <c r="C811" s="6" t="s">
        <v>1140</v>
      </c>
      <c r="D811" s="7">
        <v>2022489738</v>
      </c>
      <c r="E811" s="7">
        <v>2201010276</v>
      </c>
      <c r="F811" s="7" t="s">
        <v>1813</v>
      </c>
      <c r="G811" s="7" t="s">
        <v>13</v>
      </c>
      <c r="H811" s="6" t="s">
        <v>1472</v>
      </c>
      <c r="I811" s="6" t="s">
        <v>3427</v>
      </c>
      <c r="J811" s="6" t="s">
        <v>3428</v>
      </c>
      <c r="K811" s="6" t="s">
        <v>1396</v>
      </c>
      <c r="L811" s="6" t="s">
        <v>21</v>
      </c>
      <c r="M811" s="6" t="s">
        <v>139</v>
      </c>
      <c r="N811" s="7" t="s">
        <v>18</v>
      </c>
      <c r="O811" s="23" t="s">
        <v>3630</v>
      </c>
      <c r="P811" s="25" t="s">
        <v>3631</v>
      </c>
      <c r="R811" s="23" t="s">
        <v>3632</v>
      </c>
      <c r="S811" s="2" t="s">
        <v>3613</v>
      </c>
      <c r="T811" s="2" t="s">
        <v>3614</v>
      </c>
      <c r="U811" s="2" t="s">
        <v>3615</v>
      </c>
      <c r="V811" s="23" t="s">
        <v>3616</v>
      </c>
      <c r="W811" s="24" t="s">
        <v>3617</v>
      </c>
      <c r="X811" s="23" t="s">
        <v>3618</v>
      </c>
      <c r="Y811" s="23" t="s">
        <v>3620</v>
      </c>
      <c r="Z811" s="23" t="s">
        <v>3621</v>
      </c>
      <c r="AA811" s="23" t="s">
        <v>3633</v>
      </c>
      <c r="AB811" s="8"/>
      <c r="AC811" s="8"/>
      <c r="AD811" s="8"/>
    </row>
    <row r="812" spans="1:30" ht="15.75" customHeight="1">
      <c r="A812" s="14" t="s">
        <v>1393</v>
      </c>
      <c r="B812" s="5">
        <v>2402</v>
      </c>
      <c r="C812" s="6" t="s">
        <v>1394</v>
      </c>
      <c r="D812" s="7">
        <v>2022002885</v>
      </c>
      <c r="E812" s="7">
        <v>2201010957</v>
      </c>
      <c r="F812" s="7" t="s">
        <v>1813</v>
      </c>
      <c r="G812" s="7" t="s">
        <v>13</v>
      </c>
      <c r="H812" s="6" t="s">
        <v>1395</v>
      </c>
      <c r="I812" s="6" t="s">
        <v>3429</v>
      </c>
      <c r="J812" s="6" t="s">
        <v>3430</v>
      </c>
      <c r="K812" s="6" t="s">
        <v>1396</v>
      </c>
      <c r="L812" s="6" t="s">
        <v>16</v>
      </c>
      <c r="M812" s="6" t="s">
        <v>21</v>
      </c>
      <c r="N812" s="7" t="s">
        <v>18</v>
      </c>
      <c r="O812" s="23" t="s">
        <v>3630</v>
      </c>
      <c r="P812" s="25" t="s">
        <v>3631</v>
      </c>
      <c r="R812" s="23" t="s">
        <v>3632</v>
      </c>
      <c r="S812" s="2" t="s">
        <v>3613</v>
      </c>
      <c r="T812" s="2" t="s">
        <v>3614</v>
      </c>
      <c r="U812" s="2" t="s">
        <v>3615</v>
      </c>
      <c r="V812" s="23" t="s">
        <v>3616</v>
      </c>
      <c r="W812" s="24" t="s">
        <v>3617</v>
      </c>
      <c r="X812" s="23" t="s">
        <v>3618</v>
      </c>
      <c r="Y812" s="23" t="s">
        <v>3620</v>
      </c>
      <c r="Z812" s="23" t="s">
        <v>3621</v>
      </c>
      <c r="AA812" s="23" t="s">
        <v>3633</v>
      </c>
      <c r="AB812" s="8"/>
      <c r="AC812" s="8"/>
      <c r="AD812" s="8"/>
    </row>
    <row r="813" spans="1:30" ht="15.75" customHeight="1">
      <c r="A813" s="14" t="s">
        <v>1393</v>
      </c>
      <c r="B813" s="5">
        <v>2402</v>
      </c>
      <c r="C813" s="6" t="s">
        <v>1404</v>
      </c>
      <c r="D813" s="7">
        <v>2022004595</v>
      </c>
      <c r="E813" s="7">
        <v>2201010958</v>
      </c>
      <c r="F813" s="7" t="s">
        <v>1813</v>
      </c>
      <c r="G813" s="7" t="s">
        <v>13</v>
      </c>
      <c r="H813" s="6" t="s">
        <v>1405</v>
      </c>
      <c r="I813" s="6" t="s">
        <v>3431</v>
      </c>
      <c r="J813" s="6" t="s">
        <v>3432</v>
      </c>
      <c r="K813" s="6" t="s">
        <v>1396</v>
      </c>
      <c r="L813" s="6" t="s">
        <v>21</v>
      </c>
      <c r="M813" s="6" t="s">
        <v>16</v>
      </c>
      <c r="N813" s="7" t="s">
        <v>18</v>
      </c>
      <c r="O813" s="23" t="s">
        <v>3630</v>
      </c>
      <c r="P813" s="25" t="s">
        <v>3631</v>
      </c>
      <c r="R813" s="23" t="s">
        <v>3632</v>
      </c>
      <c r="S813" s="2" t="s">
        <v>3613</v>
      </c>
      <c r="T813" s="2" t="s">
        <v>3614</v>
      </c>
      <c r="U813" s="2" t="s">
        <v>3615</v>
      </c>
      <c r="V813" s="23" t="s">
        <v>3616</v>
      </c>
      <c r="W813" s="24" t="s">
        <v>3617</v>
      </c>
      <c r="X813" s="23" t="s">
        <v>3618</v>
      </c>
      <c r="Y813" s="23" t="s">
        <v>3620</v>
      </c>
      <c r="Z813" s="23" t="s">
        <v>3621</v>
      </c>
      <c r="AA813" s="23" t="s">
        <v>3633</v>
      </c>
      <c r="AB813" s="8"/>
      <c r="AC813" s="8"/>
      <c r="AD813" s="8"/>
    </row>
    <row r="814" spans="1:30" ht="15.75" customHeight="1">
      <c r="A814" s="14" t="s">
        <v>1393</v>
      </c>
      <c r="B814" s="5">
        <v>2402</v>
      </c>
      <c r="C814" s="6" t="s">
        <v>1431</v>
      </c>
      <c r="D814" s="7">
        <v>2022007672</v>
      </c>
      <c r="E814" s="7">
        <v>2201010962</v>
      </c>
      <c r="F814" s="7" t="s">
        <v>1813</v>
      </c>
      <c r="G814" s="7" t="s">
        <v>13</v>
      </c>
      <c r="H814" s="6" t="s">
        <v>1432</v>
      </c>
      <c r="I814" s="6" t="s">
        <v>3433</v>
      </c>
      <c r="J814" s="6" t="s">
        <v>3434</v>
      </c>
      <c r="K814" s="6" t="s">
        <v>1396</v>
      </c>
      <c r="L814" s="6" t="s">
        <v>21</v>
      </c>
      <c r="M814" s="6" t="s">
        <v>17</v>
      </c>
      <c r="N814" s="7" t="s">
        <v>18</v>
      </c>
      <c r="O814" s="23" t="s">
        <v>3630</v>
      </c>
      <c r="P814" s="25" t="s">
        <v>3631</v>
      </c>
      <c r="R814" s="23" t="s">
        <v>3632</v>
      </c>
      <c r="S814" s="2" t="s">
        <v>3613</v>
      </c>
      <c r="T814" s="2" t="s">
        <v>3614</v>
      </c>
      <c r="U814" s="2" t="s">
        <v>3615</v>
      </c>
      <c r="V814" s="23" t="s">
        <v>3616</v>
      </c>
      <c r="W814" s="24" t="s">
        <v>3617</v>
      </c>
      <c r="X814" s="23" t="s">
        <v>3618</v>
      </c>
      <c r="Y814" s="23" t="s">
        <v>3620</v>
      </c>
      <c r="Z814" s="23" t="s">
        <v>3621</v>
      </c>
      <c r="AA814" s="23" t="s">
        <v>3633</v>
      </c>
      <c r="AB814" s="8"/>
      <c r="AC814" s="8"/>
      <c r="AD814" s="8"/>
    </row>
    <row r="815" spans="1:30" ht="15.75" customHeight="1">
      <c r="A815" s="13" t="s">
        <v>1393</v>
      </c>
      <c r="B815" s="5">
        <v>2402</v>
      </c>
      <c r="C815" s="6" t="s">
        <v>1533</v>
      </c>
      <c r="D815" s="7">
        <v>2022007731</v>
      </c>
      <c r="E815" s="7">
        <v>2201010963</v>
      </c>
      <c r="F815" s="7" t="s">
        <v>1813</v>
      </c>
      <c r="G815" s="7" t="s">
        <v>13</v>
      </c>
      <c r="H815" s="6" t="s">
        <v>1534</v>
      </c>
      <c r="I815" s="6" t="s">
        <v>3435</v>
      </c>
      <c r="J815" s="6" t="s">
        <v>3436</v>
      </c>
      <c r="K815" s="6" t="s">
        <v>1396</v>
      </c>
      <c r="L815" s="6" t="s">
        <v>16</v>
      </c>
      <c r="M815" s="6" t="s">
        <v>26</v>
      </c>
      <c r="N815" s="7" t="s">
        <v>18</v>
      </c>
      <c r="O815" s="23" t="s">
        <v>3630</v>
      </c>
      <c r="P815" s="25" t="s">
        <v>3631</v>
      </c>
      <c r="R815" s="23" t="s">
        <v>3632</v>
      </c>
      <c r="S815" s="2" t="s">
        <v>3613</v>
      </c>
      <c r="T815" s="2" t="s">
        <v>3614</v>
      </c>
      <c r="U815" s="2" t="s">
        <v>3615</v>
      </c>
      <c r="V815" s="23" t="s">
        <v>3616</v>
      </c>
      <c r="W815" s="24" t="s">
        <v>3617</v>
      </c>
      <c r="X815" s="23" t="s">
        <v>3618</v>
      </c>
      <c r="Y815" s="23" t="s">
        <v>3620</v>
      </c>
      <c r="Z815" s="23" t="s">
        <v>3621</v>
      </c>
      <c r="AA815" s="23" t="s">
        <v>3633</v>
      </c>
      <c r="AB815" s="8"/>
      <c r="AC815" s="8"/>
      <c r="AD815" s="8"/>
    </row>
    <row r="816" spans="1:30" ht="15.75" customHeight="1">
      <c r="A816" s="14" t="s">
        <v>1393</v>
      </c>
      <c r="B816" s="5">
        <v>2402</v>
      </c>
      <c r="C816" s="6" t="s">
        <v>1433</v>
      </c>
      <c r="D816" s="7">
        <v>2022007802</v>
      </c>
      <c r="E816" s="7">
        <v>2201010964</v>
      </c>
      <c r="F816" s="7" t="s">
        <v>1813</v>
      </c>
      <c r="G816" s="7" t="s">
        <v>13</v>
      </c>
      <c r="H816" s="6" t="s">
        <v>1434</v>
      </c>
      <c r="I816" s="6" t="s">
        <v>3437</v>
      </c>
      <c r="J816" s="6" t="s">
        <v>3438</v>
      </c>
      <c r="K816" s="6" t="s">
        <v>1396</v>
      </c>
      <c r="L816" s="6" t="s">
        <v>21</v>
      </c>
      <c r="M816" s="6" t="s">
        <v>104</v>
      </c>
      <c r="N816" s="7" t="s">
        <v>18</v>
      </c>
      <c r="O816" s="23" t="s">
        <v>3630</v>
      </c>
      <c r="P816" s="25" t="s">
        <v>3631</v>
      </c>
      <c r="R816" s="23" t="s">
        <v>3632</v>
      </c>
      <c r="S816" s="2" t="s">
        <v>3613</v>
      </c>
      <c r="T816" s="2" t="s">
        <v>3614</v>
      </c>
      <c r="U816" s="2" t="s">
        <v>3615</v>
      </c>
      <c r="V816" s="23" t="s">
        <v>3616</v>
      </c>
      <c r="W816" s="24" t="s">
        <v>3617</v>
      </c>
      <c r="X816" s="23" t="s">
        <v>3618</v>
      </c>
      <c r="Y816" s="23" t="s">
        <v>3620</v>
      </c>
      <c r="Z816" s="23" t="s">
        <v>3621</v>
      </c>
      <c r="AA816" s="23" t="s">
        <v>3633</v>
      </c>
      <c r="AB816" s="9"/>
      <c r="AC816" s="9"/>
      <c r="AD816" s="9"/>
    </row>
    <row r="817" spans="1:30" ht="15.75" customHeight="1">
      <c r="A817" s="13" t="s">
        <v>1393</v>
      </c>
      <c r="B817" s="5">
        <v>2402</v>
      </c>
      <c r="C817" s="6" t="s">
        <v>1535</v>
      </c>
      <c r="D817" s="7">
        <v>2022008050</v>
      </c>
      <c r="E817" s="7">
        <v>2201010966</v>
      </c>
      <c r="F817" s="7" t="s">
        <v>1813</v>
      </c>
      <c r="G817" s="7" t="s">
        <v>13</v>
      </c>
      <c r="H817" s="6" t="s">
        <v>1536</v>
      </c>
      <c r="I817" s="6" t="s">
        <v>3439</v>
      </c>
      <c r="J817" s="6" t="s">
        <v>3440</v>
      </c>
      <c r="K817" s="6" t="s">
        <v>1396</v>
      </c>
      <c r="L817" s="6" t="s">
        <v>21</v>
      </c>
      <c r="M817" s="6" t="s">
        <v>16</v>
      </c>
      <c r="N817" s="7" t="s">
        <v>18</v>
      </c>
      <c r="O817" s="23" t="s">
        <v>3630</v>
      </c>
      <c r="P817" s="25" t="s">
        <v>3631</v>
      </c>
      <c r="R817" s="23" t="s">
        <v>3632</v>
      </c>
      <c r="S817" s="2" t="s">
        <v>3613</v>
      </c>
      <c r="T817" s="2" t="s">
        <v>3614</v>
      </c>
      <c r="U817" s="2" t="s">
        <v>3615</v>
      </c>
      <c r="V817" s="23" t="s">
        <v>3616</v>
      </c>
      <c r="W817" s="24" t="s">
        <v>3617</v>
      </c>
      <c r="X817" s="23" t="s">
        <v>3618</v>
      </c>
      <c r="Y817" s="23" t="s">
        <v>3620</v>
      </c>
      <c r="Z817" s="23" t="s">
        <v>3621</v>
      </c>
      <c r="AA817" s="23" t="s">
        <v>3633</v>
      </c>
      <c r="AB817" s="9"/>
      <c r="AC817" s="9"/>
      <c r="AD817" s="9"/>
    </row>
    <row r="818" spans="1:30" ht="15.75" customHeight="1">
      <c r="A818" s="14" t="s">
        <v>1393</v>
      </c>
      <c r="B818" s="5">
        <v>2402</v>
      </c>
      <c r="C818" s="6" t="s">
        <v>1435</v>
      </c>
      <c r="D818" s="7">
        <v>2022008126</v>
      </c>
      <c r="E818" s="7">
        <v>2201010969</v>
      </c>
      <c r="F818" s="7" t="s">
        <v>1813</v>
      </c>
      <c r="G818" s="7" t="s">
        <v>13</v>
      </c>
      <c r="H818" s="6" t="s">
        <v>1436</v>
      </c>
      <c r="I818" s="6" t="s">
        <v>3441</v>
      </c>
      <c r="J818" s="6" t="s">
        <v>3442</v>
      </c>
      <c r="K818" s="6" t="s">
        <v>1396</v>
      </c>
      <c r="L818" s="6" t="s">
        <v>21</v>
      </c>
      <c r="M818" s="6" t="s">
        <v>16</v>
      </c>
      <c r="N818" s="7" t="s">
        <v>18</v>
      </c>
      <c r="O818" s="23" t="s">
        <v>3630</v>
      </c>
      <c r="P818" s="25" t="s">
        <v>3631</v>
      </c>
      <c r="R818" s="23" t="s">
        <v>3632</v>
      </c>
      <c r="S818" s="2" t="s">
        <v>3613</v>
      </c>
      <c r="T818" s="2" t="s">
        <v>3614</v>
      </c>
      <c r="U818" s="2" t="s">
        <v>3615</v>
      </c>
      <c r="V818" s="23" t="s">
        <v>3616</v>
      </c>
      <c r="W818" s="24" t="s">
        <v>3617</v>
      </c>
      <c r="X818" s="23" t="s">
        <v>3618</v>
      </c>
      <c r="Y818" s="23" t="s">
        <v>3620</v>
      </c>
      <c r="Z818" s="23" t="s">
        <v>3621</v>
      </c>
      <c r="AA818" s="23" t="s">
        <v>3633</v>
      </c>
      <c r="AB818" s="9"/>
      <c r="AC818" s="9"/>
      <c r="AD818" s="9"/>
    </row>
    <row r="819" spans="1:30" ht="15.75" customHeight="1">
      <c r="A819" s="13" t="s">
        <v>1393</v>
      </c>
      <c r="B819" s="5">
        <v>2402</v>
      </c>
      <c r="C819" s="6" t="s">
        <v>1537</v>
      </c>
      <c r="D819" s="7">
        <v>2022008263</v>
      </c>
      <c r="E819" s="7">
        <v>2201010973</v>
      </c>
      <c r="F819" s="7" t="s">
        <v>1813</v>
      </c>
      <c r="G819" s="7" t="s">
        <v>13</v>
      </c>
      <c r="H819" s="6" t="s">
        <v>1538</v>
      </c>
      <c r="I819" s="6" t="s">
        <v>3443</v>
      </c>
      <c r="J819" s="6" t="s">
        <v>3444</v>
      </c>
      <c r="K819" s="6" t="s">
        <v>1396</v>
      </c>
      <c r="L819" s="6" t="s">
        <v>21</v>
      </c>
      <c r="M819" s="6" t="s">
        <v>16</v>
      </c>
      <c r="N819" s="7" t="s">
        <v>18</v>
      </c>
      <c r="O819" s="23" t="s">
        <v>3630</v>
      </c>
      <c r="P819" s="25" t="s">
        <v>3631</v>
      </c>
      <c r="R819" s="23" t="s">
        <v>3632</v>
      </c>
      <c r="S819" s="2" t="s">
        <v>3613</v>
      </c>
      <c r="T819" s="2" t="s">
        <v>3614</v>
      </c>
      <c r="U819" s="2" t="s">
        <v>3615</v>
      </c>
      <c r="V819" s="23" t="s">
        <v>3616</v>
      </c>
      <c r="W819" s="24" t="s">
        <v>3617</v>
      </c>
      <c r="X819" s="23" t="s">
        <v>3618</v>
      </c>
      <c r="Y819" s="23" t="s">
        <v>3620</v>
      </c>
      <c r="Z819" s="23" t="s">
        <v>3621</v>
      </c>
      <c r="AA819" s="23" t="s">
        <v>3633</v>
      </c>
      <c r="AB819" s="9"/>
      <c r="AC819" s="9"/>
      <c r="AD819" s="9"/>
    </row>
    <row r="820" spans="1:30" ht="15.75" customHeight="1">
      <c r="A820" s="14" t="s">
        <v>1393</v>
      </c>
      <c r="B820" s="5">
        <v>2402</v>
      </c>
      <c r="C820" s="6" t="s">
        <v>1492</v>
      </c>
      <c r="D820" s="7">
        <v>2022619784</v>
      </c>
      <c r="E820" s="7">
        <v>2201010976</v>
      </c>
      <c r="F820" s="7" t="s">
        <v>1813</v>
      </c>
      <c r="G820" s="7" t="s">
        <v>13</v>
      </c>
      <c r="H820" s="6" t="s">
        <v>1493</v>
      </c>
      <c r="I820" s="6" t="s">
        <v>3445</v>
      </c>
      <c r="J820" s="6" t="s">
        <v>3446</v>
      </c>
      <c r="K820" s="6" t="s">
        <v>1396</v>
      </c>
      <c r="L820" s="6" t="s">
        <v>21</v>
      </c>
      <c r="M820" s="6" t="s">
        <v>17</v>
      </c>
      <c r="N820" s="7" t="s">
        <v>18</v>
      </c>
      <c r="O820" s="23" t="s">
        <v>3630</v>
      </c>
      <c r="P820" s="25" t="s">
        <v>3631</v>
      </c>
      <c r="R820" s="23" t="s">
        <v>3632</v>
      </c>
      <c r="S820" s="2" t="s">
        <v>3613</v>
      </c>
      <c r="T820" s="2" t="s">
        <v>3614</v>
      </c>
      <c r="U820" s="2" t="s">
        <v>3615</v>
      </c>
      <c r="V820" s="23" t="s">
        <v>3616</v>
      </c>
      <c r="W820" s="24" t="s">
        <v>3617</v>
      </c>
      <c r="X820" s="23" t="s">
        <v>3618</v>
      </c>
      <c r="Y820" s="23" t="s">
        <v>3620</v>
      </c>
      <c r="Z820" s="23" t="s">
        <v>3621</v>
      </c>
      <c r="AA820" s="23" t="s">
        <v>3633</v>
      </c>
      <c r="AB820" s="8"/>
      <c r="AC820" s="8"/>
      <c r="AD820" s="8"/>
    </row>
    <row r="821" spans="1:30" ht="15.75" customHeight="1">
      <c r="A821" s="14" t="s">
        <v>1393</v>
      </c>
      <c r="B821" s="5">
        <v>2402</v>
      </c>
      <c r="C821" s="6" t="s">
        <v>1443</v>
      </c>
      <c r="D821" s="7">
        <v>2022306619</v>
      </c>
      <c r="E821" s="7">
        <v>2201010044</v>
      </c>
      <c r="F821" s="7" t="s">
        <v>1813</v>
      </c>
      <c r="G821" s="7" t="s">
        <v>13</v>
      </c>
      <c r="H821" s="6" t="s">
        <v>1444</v>
      </c>
      <c r="I821" s="6" t="s">
        <v>3447</v>
      </c>
      <c r="J821" s="6" t="s">
        <v>3448</v>
      </c>
      <c r="K821" s="6" t="s">
        <v>1372</v>
      </c>
      <c r="L821" s="6" t="s">
        <v>21</v>
      </c>
      <c r="M821" s="6" t="s">
        <v>17</v>
      </c>
      <c r="N821" s="7" t="s">
        <v>18</v>
      </c>
      <c r="O821" s="23" t="s">
        <v>3640</v>
      </c>
      <c r="P821" s="23" t="s">
        <v>3641</v>
      </c>
      <c r="Q821" s="23" t="s">
        <v>3642</v>
      </c>
      <c r="R821" s="23" t="s">
        <v>3612</v>
      </c>
      <c r="S821" s="2" t="s">
        <v>3613</v>
      </c>
      <c r="T821" s="2" t="s">
        <v>3614</v>
      </c>
      <c r="U821" s="2" t="s">
        <v>3615</v>
      </c>
      <c r="V821" s="23" t="s">
        <v>3616</v>
      </c>
      <c r="W821" s="24" t="s">
        <v>3617</v>
      </c>
      <c r="X821" s="23" t="s">
        <v>3618</v>
      </c>
      <c r="Y821" s="23" t="s">
        <v>3620</v>
      </c>
      <c r="Z821" s="23" t="s">
        <v>3621</v>
      </c>
      <c r="AA821" s="23" t="s">
        <v>3643</v>
      </c>
      <c r="AB821" s="8"/>
      <c r="AC821" s="8"/>
      <c r="AD821" s="8"/>
    </row>
    <row r="822" spans="1:30" ht="15.75" customHeight="1">
      <c r="A822" s="13" t="s">
        <v>1393</v>
      </c>
      <c r="B822" s="5">
        <v>2402</v>
      </c>
      <c r="C822" s="6" t="s">
        <v>1523</v>
      </c>
      <c r="D822" s="7">
        <v>2022005043</v>
      </c>
      <c r="E822" s="7">
        <v>2201010054</v>
      </c>
      <c r="F822" s="7" t="s">
        <v>1813</v>
      </c>
      <c r="G822" s="7" t="s">
        <v>13</v>
      </c>
      <c r="H822" s="6" t="s">
        <v>1524</v>
      </c>
      <c r="I822" s="6" t="s">
        <v>3449</v>
      </c>
      <c r="J822" s="6" t="s">
        <v>3450</v>
      </c>
      <c r="K822" s="6" t="s">
        <v>1372</v>
      </c>
      <c r="L822" s="6" t="s">
        <v>16</v>
      </c>
      <c r="M822" s="6" t="s">
        <v>49</v>
      </c>
      <c r="N822" s="7" t="s">
        <v>18</v>
      </c>
      <c r="O822" s="23" t="s">
        <v>3640</v>
      </c>
      <c r="P822" s="23" t="s">
        <v>3641</v>
      </c>
      <c r="Q822" s="23" t="s">
        <v>3642</v>
      </c>
      <c r="R822" s="23" t="s">
        <v>3612</v>
      </c>
      <c r="S822" s="2" t="s">
        <v>3613</v>
      </c>
      <c r="T822" s="2" t="s">
        <v>3614</v>
      </c>
      <c r="U822" s="2" t="s">
        <v>3615</v>
      </c>
      <c r="V822" s="23" t="s">
        <v>3616</v>
      </c>
      <c r="W822" s="24" t="s">
        <v>3617</v>
      </c>
      <c r="X822" s="23" t="s">
        <v>3618</v>
      </c>
      <c r="Y822" s="23" t="s">
        <v>3620</v>
      </c>
      <c r="Z822" s="23" t="s">
        <v>3621</v>
      </c>
      <c r="AA822" s="23" t="s">
        <v>3643</v>
      </c>
      <c r="AB822" s="8"/>
      <c r="AC822" s="8"/>
      <c r="AD822" s="8"/>
    </row>
    <row r="823" spans="1:30" ht="15.75" customHeight="1">
      <c r="A823" s="14" t="s">
        <v>1393</v>
      </c>
      <c r="B823" s="5">
        <v>2402</v>
      </c>
      <c r="C823" s="6" t="s">
        <v>1411</v>
      </c>
      <c r="D823" s="7">
        <v>2022006195</v>
      </c>
      <c r="E823" s="7">
        <v>2201010089</v>
      </c>
      <c r="F823" s="7" t="s">
        <v>1813</v>
      </c>
      <c r="G823" s="7" t="s">
        <v>13</v>
      </c>
      <c r="H823" s="6" t="s">
        <v>1412</v>
      </c>
      <c r="I823" s="6" t="s">
        <v>3451</v>
      </c>
      <c r="J823" s="6" t="s">
        <v>3452</v>
      </c>
      <c r="K823" s="6" t="s">
        <v>1372</v>
      </c>
      <c r="L823" s="6" t="s">
        <v>139</v>
      </c>
      <c r="M823" s="6" t="s">
        <v>21</v>
      </c>
      <c r="N823" s="7" t="s">
        <v>18</v>
      </c>
      <c r="O823" s="23" t="s">
        <v>3640</v>
      </c>
      <c r="P823" s="23" t="s">
        <v>3641</v>
      </c>
      <c r="Q823" s="23" t="s">
        <v>3642</v>
      </c>
      <c r="R823" s="23" t="s">
        <v>3612</v>
      </c>
      <c r="S823" s="2" t="s">
        <v>3613</v>
      </c>
      <c r="T823" s="2" t="s">
        <v>3614</v>
      </c>
      <c r="U823" s="2" t="s">
        <v>3615</v>
      </c>
      <c r="V823" s="23" t="s">
        <v>3616</v>
      </c>
      <c r="W823" s="24" t="s">
        <v>3617</v>
      </c>
      <c r="X823" s="23" t="s">
        <v>3618</v>
      </c>
      <c r="Y823" s="23" t="s">
        <v>3620</v>
      </c>
      <c r="Z823" s="23" t="s">
        <v>3621</v>
      </c>
      <c r="AA823" s="23" t="s">
        <v>3643</v>
      </c>
      <c r="AB823" s="8"/>
      <c r="AC823" s="8"/>
      <c r="AD823" s="8"/>
    </row>
    <row r="824" spans="1:30" ht="15.75" customHeight="1">
      <c r="A824" s="14" t="s">
        <v>1393</v>
      </c>
      <c r="B824" s="5">
        <v>2402</v>
      </c>
      <c r="C824" s="6" t="s">
        <v>1482</v>
      </c>
      <c r="D824" s="7">
        <v>2022569459</v>
      </c>
      <c r="E824" s="7">
        <v>2201010117</v>
      </c>
      <c r="F824" s="7" t="s">
        <v>1813</v>
      </c>
      <c r="G824" s="7" t="s">
        <v>13</v>
      </c>
      <c r="H824" s="6" t="s">
        <v>1483</v>
      </c>
      <c r="I824" s="6" t="s">
        <v>3453</v>
      </c>
      <c r="J824" s="6" t="s">
        <v>3454</v>
      </c>
      <c r="K824" s="6" t="s">
        <v>1372</v>
      </c>
      <c r="L824" s="6" t="s">
        <v>21</v>
      </c>
      <c r="M824" s="6" t="s">
        <v>49</v>
      </c>
      <c r="N824" s="7" t="s">
        <v>18</v>
      </c>
      <c r="O824" s="23" t="s">
        <v>3640</v>
      </c>
      <c r="P824" s="23" t="s">
        <v>3641</v>
      </c>
      <c r="Q824" s="23" t="s">
        <v>3642</v>
      </c>
      <c r="R824" s="23" t="s">
        <v>3612</v>
      </c>
      <c r="S824" s="2" t="s">
        <v>3613</v>
      </c>
      <c r="T824" s="2" t="s">
        <v>3614</v>
      </c>
      <c r="U824" s="2" t="s">
        <v>3615</v>
      </c>
      <c r="V824" s="23" t="s">
        <v>3616</v>
      </c>
      <c r="W824" s="24" t="s">
        <v>3617</v>
      </c>
      <c r="X824" s="23" t="s">
        <v>3618</v>
      </c>
      <c r="Y824" s="23" t="s">
        <v>3620</v>
      </c>
      <c r="Z824" s="23" t="s">
        <v>3621</v>
      </c>
      <c r="AA824" s="23" t="s">
        <v>3643</v>
      </c>
      <c r="AB824" s="8"/>
      <c r="AC824" s="8"/>
      <c r="AD824" s="8"/>
    </row>
    <row r="825" spans="1:30" ht="15.75" customHeight="1">
      <c r="A825" s="14" t="s">
        <v>1393</v>
      </c>
      <c r="B825" s="5">
        <v>2402</v>
      </c>
      <c r="C825" s="6" t="s">
        <v>1419</v>
      </c>
      <c r="D825" s="7">
        <v>2022006607</v>
      </c>
      <c r="E825" s="7">
        <v>2201010137</v>
      </c>
      <c r="F825" s="7" t="s">
        <v>1813</v>
      </c>
      <c r="G825" s="7" t="s">
        <v>13</v>
      </c>
      <c r="H825" s="6" t="s">
        <v>1420</v>
      </c>
      <c r="I825" s="6" t="s">
        <v>3455</v>
      </c>
      <c r="J825" s="6" t="s">
        <v>3456</v>
      </c>
      <c r="K825" s="6" t="s">
        <v>1372</v>
      </c>
      <c r="L825" s="6" t="s">
        <v>21</v>
      </c>
      <c r="M825" s="6" t="s">
        <v>49</v>
      </c>
      <c r="N825" s="7" t="s">
        <v>18</v>
      </c>
      <c r="O825" s="23" t="s">
        <v>3640</v>
      </c>
      <c r="P825" s="23" t="s">
        <v>3641</v>
      </c>
      <c r="Q825" s="23" t="s">
        <v>3642</v>
      </c>
      <c r="R825" s="23" t="s">
        <v>3612</v>
      </c>
      <c r="S825" s="2" t="s">
        <v>3613</v>
      </c>
      <c r="T825" s="2" t="s">
        <v>3614</v>
      </c>
      <c r="U825" s="2" t="s">
        <v>3615</v>
      </c>
      <c r="V825" s="23" t="s">
        <v>3616</v>
      </c>
      <c r="W825" s="24" t="s">
        <v>3617</v>
      </c>
      <c r="X825" s="23" t="s">
        <v>3618</v>
      </c>
      <c r="Y825" s="23" t="s">
        <v>3620</v>
      </c>
      <c r="Z825" s="23" t="s">
        <v>3621</v>
      </c>
      <c r="AA825" s="23" t="s">
        <v>3643</v>
      </c>
      <c r="AB825" s="8"/>
      <c r="AC825" s="8"/>
      <c r="AD825" s="8"/>
    </row>
    <row r="826" spans="1:30" ht="15.75" customHeight="1">
      <c r="A826" s="14" t="s">
        <v>1393</v>
      </c>
      <c r="B826" s="5">
        <v>2402</v>
      </c>
      <c r="C826" s="6" t="s">
        <v>1456</v>
      </c>
      <c r="D826" s="7">
        <v>2022394539</v>
      </c>
      <c r="E826" s="7">
        <v>2201010148</v>
      </c>
      <c r="F826" s="7" t="s">
        <v>1813</v>
      </c>
      <c r="G826" s="7" t="s">
        <v>13</v>
      </c>
      <c r="H826" s="6" t="s">
        <v>1457</v>
      </c>
      <c r="I826" s="6" t="s">
        <v>3457</v>
      </c>
      <c r="J826" s="6" t="s">
        <v>3458</v>
      </c>
      <c r="K826" s="6" t="s">
        <v>1372</v>
      </c>
      <c r="L826" s="6" t="s">
        <v>49</v>
      </c>
      <c r="M826" s="6" t="s">
        <v>16</v>
      </c>
      <c r="N826" s="7" t="s">
        <v>18</v>
      </c>
      <c r="O826" s="23" t="s">
        <v>3640</v>
      </c>
      <c r="P826" s="23" t="s">
        <v>3641</v>
      </c>
      <c r="Q826" s="23" t="s">
        <v>3642</v>
      </c>
      <c r="R826" s="23" t="s">
        <v>3612</v>
      </c>
      <c r="S826" s="2" t="s">
        <v>3613</v>
      </c>
      <c r="T826" s="2" t="s">
        <v>3614</v>
      </c>
      <c r="U826" s="2" t="s">
        <v>3615</v>
      </c>
      <c r="V826" s="23" t="s">
        <v>3616</v>
      </c>
      <c r="W826" s="24" t="s">
        <v>3617</v>
      </c>
      <c r="X826" s="23" t="s">
        <v>3618</v>
      </c>
      <c r="Y826" s="23" t="s">
        <v>3620</v>
      </c>
      <c r="Z826" s="23" t="s">
        <v>3621</v>
      </c>
      <c r="AA826" s="23" t="s">
        <v>3643</v>
      </c>
      <c r="AB826" s="8"/>
      <c r="AC826" s="8"/>
      <c r="AD826" s="8"/>
    </row>
    <row r="827" spans="1:30" ht="15.75" customHeight="1">
      <c r="A827" s="14" t="s">
        <v>1393</v>
      </c>
      <c r="B827" s="5">
        <v>2402</v>
      </c>
      <c r="C827" s="6" t="s">
        <v>1449</v>
      </c>
      <c r="D827" s="7">
        <v>2022330517</v>
      </c>
      <c r="E827" s="7">
        <v>2201010212</v>
      </c>
      <c r="F827" s="7" t="s">
        <v>1813</v>
      </c>
      <c r="G827" s="7" t="s">
        <v>13</v>
      </c>
      <c r="H827" s="6" t="s">
        <v>1450</v>
      </c>
      <c r="I827" s="6" t="s">
        <v>3459</v>
      </c>
      <c r="J827" s="6" t="s">
        <v>3460</v>
      </c>
      <c r="K827" s="6" t="s">
        <v>1372</v>
      </c>
      <c r="L827" s="6" t="s">
        <v>49</v>
      </c>
      <c r="M827" s="6" t="s">
        <v>104</v>
      </c>
      <c r="N827" s="7" t="s">
        <v>18</v>
      </c>
      <c r="O827" s="23" t="s">
        <v>3640</v>
      </c>
      <c r="P827" s="23" t="s">
        <v>3641</v>
      </c>
      <c r="Q827" s="23" t="s">
        <v>3642</v>
      </c>
      <c r="R827" s="23" t="s">
        <v>3612</v>
      </c>
      <c r="S827" s="2" t="s">
        <v>3613</v>
      </c>
      <c r="T827" s="2" t="s">
        <v>3614</v>
      </c>
      <c r="U827" s="2" t="s">
        <v>3615</v>
      </c>
      <c r="V827" s="23" t="s">
        <v>3616</v>
      </c>
      <c r="W827" s="24" t="s">
        <v>3617</v>
      </c>
      <c r="X827" s="23" t="s">
        <v>3618</v>
      </c>
      <c r="Y827" s="23" t="s">
        <v>3620</v>
      </c>
      <c r="Z827" s="23" t="s">
        <v>3621</v>
      </c>
      <c r="AA827" s="23" t="s">
        <v>3643</v>
      </c>
      <c r="AB827" s="8"/>
      <c r="AC827" s="8"/>
      <c r="AD827" s="8"/>
    </row>
    <row r="828" spans="1:30" ht="15.75" customHeight="1">
      <c r="A828" s="14" t="s">
        <v>1393</v>
      </c>
      <c r="B828" s="5">
        <v>2402</v>
      </c>
      <c r="C828" s="6" t="s">
        <v>1480</v>
      </c>
      <c r="D828" s="7">
        <v>2022560746</v>
      </c>
      <c r="E828" s="7">
        <v>2201010219</v>
      </c>
      <c r="F828" s="7" t="s">
        <v>1813</v>
      </c>
      <c r="G828" s="7" t="s">
        <v>13</v>
      </c>
      <c r="H828" s="6" t="s">
        <v>1481</v>
      </c>
      <c r="I828" s="6" t="s">
        <v>3461</v>
      </c>
      <c r="J828" s="6" t="s">
        <v>3462</v>
      </c>
      <c r="K828" s="6" t="s">
        <v>1372</v>
      </c>
      <c r="L828" s="6" t="s">
        <v>21</v>
      </c>
      <c r="M828" s="6" t="s">
        <v>139</v>
      </c>
      <c r="N828" s="7" t="s">
        <v>18</v>
      </c>
      <c r="O828" s="23" t="s">
        <v>3640</v>
      </c>
      <c r="P828" s="23" t="s">
        <v>3641</v>
      </c>
      <c r="Q828" s="23" t="s">
        <v>3642</v>
      </c>
      <c r="R828" s="23" t="s">
        <v>3612</v>
      </c>
      <c r="S828" s="2" t="s">
        <v>3613</v>
      </c>
      <c r="T828" s="2" t="s">
        <v>3614</v>
      </c>
      <c r="U828" s="2" t="s">
        <v>3615</v>
      </c>
      <c r="V828" s="23" t="s">
        <v>3616</v>
      </c>
      <c r="W828" s="24" t="s">
        <v>3617</v>
      </c>
      <c r="X828" s="23" t="s">
        <v>3618</v>
      </c>
      <c r="Y828" s="23" t="s">
        <v>3620</v>
      </c>
      <c r="Z828" s="23" t="s">
        <v>3621</v>
      </c>
      <c r="AA828" s="23" t="s">
        <v>3643</v>
      </c>
      <c r="AB828" s="8"/>
      <c r="AC828" s="8"/>
      <c r="AD828" s="8"/>
    </row>
    <row r="829" spans="1:30" ht="15.75" customHeight="1">
      <c r="A829" s="14" t="s">
        <v>1393</v>
      </c>
      <c r="B829" s="5">
        <v>2402</v>
      </c>
      <c r="C829" s="6" t="s">
        <v>1402</v>
      </c>
      <c r="D829" s="7">
        <v>2022004439</v>
      </c>
      <c r="E829" s="7">
        <v>2201010221</v>
      </c>
      <c r="F829" s="7" t="s">
        <v>1813</v>
      </c>
      <c r="G829" s="7" t="s">
        <v>13</v>
      </c>
      <c r="H829" s="6" t="s">
        <v>1403</v>
      </c>
      <c r="I829" s="6" t="s">
        <v>3463</v>
      </c>
      <c r="J829" s="6" t="s">
        <v>3464</v>
      </c>
      <c r="K829" s="6" t="s">
        <v>1372</v>
      </c>
      <c r="L829" s="6" t="s">
        <v>49</v>
      </c>
      <c r="M829" s="6" t="s">
        <v>104</v>
      </c>
      <c r="N829" s="7" t="s">
        <v>18</v>
      </c>
      <c r="O829" s="23" t="s">
        <v>3640</v>
      </c>
      <c r="P829" s="23" t="s">
        <v>3641</v>
      </c>
      <c r="Q829" s="23" t="s">
        <v>3642</v>
      </c>
      <c r="R829" s="23" t="s">
        <v>3612</v>
      </c>
      <c r="S829" s="2" t="s">
        <v>3613</v>
      </c>
      <c r="T829" s="2" t="s">
        <v>3614</v>
      </c>
      <c r="U829" s="2" t="s">
        <v>3615</v>
      </c>
      <c r="V829" s="23" t="s">
        <v>3616</v>
      </c>
      <c r="W829" s="24" t="s">
        <v>3617</v>
      </c>
      <c r="X829" s="23" t="s">
        <v>3618</v>
      </c>
      <c r="Y829" s="23" t="s">
        <v>3620</v>
      </c>
      <c r="Z829" s="23" t="s">
        <v>3621</v>
      </c>
      <c r="AA829" s="23" t="s">
        <v>3643</v>
      </c>
      <c r="AB829" s="8"/>
      <c r="AC829" s="8"/>
      <c r="AD829" s="8"/>
    </row>
    <row r="830" spans="1:30" ht="15.75" customHeight="1">
      <c r="A830" s="13" t="s">
        <v>1393</v>
      </c>
      <c r="B830" s="5">
        <v>2402</v>
      </c>
      <c r="C830" s="6" t="s">
        <v>1574</v>
      </c>
      <c r="D830" s="7">
        <v>2022514043</v>
      </c>
      <c r="E830" s="7">
        <v>2201010390</v>
      </c>
      <c r="F830" s="7" t="s">
        <v>1813</v>
      </c>
      <c r="G830" s="7" t="s">
        <v>13</v>
      </c>
      <c r="H830" s="6" t="s">
        <v>1575</v>
      </c>
      <c r="I830" s="6" t="s">
        <v>3465</v>
      </c>
      <c r="J830" s="6" t="s">
        <v>3466</v>
      </c>
      <c r="K830" s="6" t="s">
        <v>1372</v>
      </c>
      <c r="L830" s="6" t="s">
        <v>16</v>
      </c>
      <c r="M830" s="6" t="s">
        <v>49</v>
      </c>
      <c r="N830" s="7" t="s">
        <v>18</v>
      </c>
      <c r="O830" s="23" t="s">
        <v>3640</v>
      </c>
      <c r="P830" s="23" t="s">
        <v>3641</v>
      </c>
      <c r="Q830" s="23" t="s">
        <v>3642</v>
      </c>
      <c r="R830" s="23" t="s">
        <v>3612</v>
      </c>
      <c r="S830" s="2" t="s">
        <v>3613</v>
      </c>
      <c r="T830" s="2" t="s">
        <v>3614</v>
      </c>
      <c r="U830" s="2" t="s">
        <v>3615</v>
      </c>
      <c r="V830" s="23" t="s">
        <v>3616</v>
      </c>
      <c r="W830" s="24" t="s">
        <v>3617</v>
      </c>
      <c r="X830" s="23" t="s">
        <v>3618</v>
      </c>
      <c r="Y830" s="23" t="s">
        <v>3620</v>
      </c>
      <c r="Z830" s="23" t="s">
        <v>3621</v>
      </c>
      <c r="AA830" s="23" t="s">
        <v>3643</v>
      </c>
      <c r="AB830" s="8"/>
      <c r="AC830" s="8"/>
      <c r="AD830" s="8"/>
    </row>
    <row r="831" spans="1:30" ht="15.75" customHeight="1">
      <c r="A831" s="13" t="s">
        <v>1393</v>
      </c>
      <c r="B831" s="5">
        <v>2402</v>
      </c>
      <c r="C831" s="6" t="s">
        <v>1572</v>
      </c>
      <c r="D831" s="7">
        <v>2022514039</v>
      </c>
      <c r="E831" s="7">
        <v>2201010393</v>
      </c>
      <c r="F831" s="7" t="s">
        <v>1813</v>
      </c>
      <c r="G831" s="7" t="s">
        <v>13</v>
      </c>
      <c r="H831" s="6" t="s">
        <v>1573</v>
      </c>
      <c r="I831" s="6" t="s">
        <v>3467</v>
      </c>
      <c r="J831" s="6" t="s">
        <v>3468</v>
      </c>
      <c r="K831" s="6" t="s">
        <v>1372</v>
      </c>
      <c r="L831" s="6" t="s">
        <v>16</v>
      </c>
      <c r="M831" s="6" t="s">
        <v>49</v>
      </c>
      <c r="N831" s="7" t="s">
        <v>18</v>
      </c>
      <c r="O831" s="23" t="s">
        <v>3640</v>
      </c>
      <c r="P831" s="23" t="s">
        <v>3641</v>
      </c>
      <c r="Q831" s="23" t="s">
        <v>3642</v>
      </c>
      <c r="R831" s="23" t="s">
        <v>3612</v>
      </c>
      <c r="S831" s="2" t="s">
        <v>3613</v>
      </c>
      <c r="T831" s="2" t="s">
        <v>3614</v>
      </c>
      <c r="U831" s="2" t="s">
        <v>3615</v>
      </c>
      <c r="V831" s="23" t="s">
        <v>3616</v>
      </c>
      <c r="W831" s="24" t="s">
        <v>3617</v>
      </c>
      <c r="X831" s="23" t="s">
        <v>3618</v>
      </c>
      <c r="Y831" s="23" t="s">
        <v>3620</v>
      </c>
      <c r="Z831" s="23" t="s">
        <v>3621</v>
      </c>
      <c r="AA831" s="23" t="s">
        <v>3643</v>
      </c>
      <c r="AB831" s="8"/>
      <c r="AC831" s="8"/>
      <c r="AD831" s="8"/>
    </row>
    <row r="832" spans="1:30" ht="15.75" customHeight="1">
      <c r="A832" s="14" t="s">
        <v>1393</v>
      </c>
      <c r="B832" s="5">
        <v>2402</v>
      </c>
      <c r="C832" s="6" t="s">
        <v>306</v>
      </c>
      <c r="D832" s="7">
        <v>2022489962</v>
      </c>
      <c r="E832" s="7">
        <v>2201010519</v>
      </c>
      <c r="F832" s="7" t="s">
        <v>1813</v>
      </c>
      <c r="G832" s="7" t="s">
        <v>13</v>
      </c>
      <c r="H832" s="6" t="s">
        <v>1473</v>
      </c>
      <c r="I832" s="6" t="s">
        <v>3469</v>
      </c>
      <c r="J832" s="6" t="s">
        <v>3470</v>
      </c>
      <c r="K832" s="6" t="s">
        <v>1372</v>
      </c>
      <c r="L832" s="6" t="s">
        <v>49</v>
      </c>
      <c r="M832" s="6" t="s">
        <v>49</v>
      </c>
      <c r="N832" s="7" t="s">
        <v>18</v>
      </c>
      <c r="O832" s="23" t="s">
        <v>3640</v>
      </c>
      <c r="P832" s="23" t="s">
        <v>3641</v>
      </c>
      <c r="Q832" s="23" t="s">
        <v>3642</v>
      </c>
      <c r="R832" s="23" t="s">
        <v>3612</v>
      </c>
      <c r="S832" s="2" t="s">
        <v>3613</v>
      </c>
      <c r="T832" s="2" t="s">
        <v>3614</v>
      </c>
      <c r="U832" s="2" t="s">
        <v>3615</v>
      </c>
      <c r="V832" s="23" t="s">
        <v>3616</v>
      </c>
      <c r="W832" s="24" t="s">
        <v>3617</v>
      </c>
      <c r="X832" s="23" t="s">
        <v>3618</v>
      </c>
      <c r="Y832" s="23" t="s">
        <v>3620</v>
      </c>
      <c r="Z832" s="23" t="s">
        <v>3621</v>
      </c>
      <c r="AA832" s="23" t="s">
        <v>3643</v>
      </c>
      <c r="AB832" s="8"/>
      <c r="AC832" s="8"/>
      <c r="AD832" s="8"/>
    </row>
    <row r="833" spans="1:30" ht="15.75" customHeight="1">
      <c r="A833" s="14" t="s">
        <v>1393</v>
      </c>
      <c r="B833" s="5">
        <v>2402</v>
      </c>
      <c r="C833" s="6" t="s">
        <v>1445</v>
      </c>
      <c r="D833" s="7">
        <v>2022307728</v>
      </c>
      <c r="E833" s="7">
        <v>2201010544</v>
      </c>
      <c r="F833" s="7" t="s">
        <v>1813</v>
      </c>
      <c r="G833" s="7" t="s">
        <v>13</v>
      </c>
      <c r="H833" s="6" t="s">
        <v>1446</v>
      </c>
      <c r="I833" s="6" t="s">
        <v>3471</v>
      </c>
      <c r="J833" s="6" t="s">
        <v>3472</v>
      </c>
      <c r="K833" s="6" t="s">
        <v>1372</v>
      </c>
      <c r="L833" s="6" t="s">
        <v>49</v>
      </c>
      <c r="M833" s="6" t="s">
        <v>21</v>
      </c>
      <c r="N833" s="7" t="s">
        <v>18</v>
      </c>
      <c r="O833" s="23" t="s">
        <v>3640</v>
      </c>
      <c r="P833" s="23" t="s">
        <v>3641</v>
      </c>
      <c r="Q833" s="23" t="s">
        <v>3642</v>
      </c>
      <c r="R833" s="23" t="s">
        <v>3612</v>
      </c>
      <c r="S833" s="2" t="s">
        <v>3613</v>
      </c>
      <c r="T833" s="2" t="s">
        <v>3614</v>
      </c>
      <c r="U833" s="2" t="s">
        <v>3615</v>
      </c>
      <c r="V833" s="23" t="s">
        <v>3616</v>
      </c>
      <c r="W833" s="24" t="s">
        <v>3617</v>
      </c>
      <c r="X833" s="23" t="s">
        <v>3618</v>
      </c>
      <c r="Y833" s="23" t="s">
        <v>3620</v>
      </c>
      <c r="Z833" s="23" t="s">
        <v>3621</v>
      </c>
      <c r="AA833" s="23" t="s">
        <v>3643</v>
      </c>
      <c r="AB833" s="8"/>
      <c r="AC833" s="8"/>
      <c r="AD833" s="8"/>
    </row>
    <row r="834" spans="1:30" ht="15.75" customHeight="1">
      <c r="A834" s="13" t="s">
        <v>1393</v>
      </c>
      <c r="B834" s="5">
        <v>2402</v>
      </c>
      <c r="C834" s="6" t="s">
        <v>1541</v>
      </c>
      <c r="D834" s="7">
        <v>2022316318</v>
      </c>
      <c r="E834" s="7">
        <v>2201010765</v>
      </c>
      <c r="F834" s="7" t="s">
        <v>1813</v>
      </c>
      <c r="G834" s="7" t="s">
        <v>13</v>
      </c>
      <c r="H834" s="6" t="s">
        <v>1542</v>
      </c>
      <c r="I834" s="6" t="s">
        <v>3473</v>
      </c>
      <c r="J834" s="6" t="s">
        <v>3474</v>
      </c>
      <c r="K834" s="6" t="s">
        <v>1372</v>
      </c>
      <c r="L834" s="6" t="s">
        <v>16</v>
      </c>
      <c r="M834" s="6" t="s">
        <v>17</v>
      </c>
      <c r="N834" s="7" t="s">
        <v>18</v>
      </c>
      <c r="O834" s="23" t="s">
        <v>3640</v>
      </c>
      <c r="P834" s="23" t="s">
        <v>3641</v>
      </c>
      <c r="Q834" s="23" t="s">
        <v>3642</v>
      </c>
      <c r="R834" s="23" t="s">
        <v>3612</v>
      </c>
      <c r="S834" s="2" t="s">
        <v>3613</v>
      </c>
      <c r="T834" s="2" t="s">
        <v>3614</v>
      </c>
      <c r="U834" s="2" t="s">
        <v>3615</v>
      </c>
      <c r="V834" s="23" t="s">
        <v>3616</v>
      </c>
      <c r="W834" s="24" t="s">
        <v>3617</v>
      </c>
      <c r="X834" s="23" t="s">
        <v>3618</v>
      </c>
      <c r="Y834" s="23" t="s">
        <v>3620</v>
      </c>
      <c r="Z834" s="23" t="s">
        <v>3621</v>
      </c>
      <c r="AA834" s="23" t="s">
        <v>3643</v>
      </c>
      <c r="AB834" s="8"/>
      <c r="AC834" s="8"/>
      <c r="AD834" s="8"/>
    </row>
    <row r="835" spans="1:30" ht="15.75" customHeight="1">
      <c r="A835" s="14" t="s">
        <v>1393</v>
      </c>
      <c r="B835" s="5">
        <v>2402</v>
      </c>
      <c r="C835" s="6" t="s">
        <v>375</v>
      </c>
      <c r="D835" s="7">
        <v>2022005003</v>
      </c>
      <c r="E835" s="7">
        <v>2201010795</v>
      </c>
      <c r="F835" s="7" t="s">
        <v>1813</v>
      </c>
      <c r="G835" s="7" t="s">
        <v>13</v>
      </c>
      <c r="H835" s="6" t="s">
        <v>1408</v>
      </c>
      <c r="I835" s="6" t="s">
        <v>3475</v>
      </c>
      <c r="J835" s="6" t="s">
        <v>3476</v>
      </c>
      <c r="K835" s="6" t="s">
        <v>1372</v>
      </c>
      <c r="L835" s="6" t="s">
        <v>49</v>
      </c>
      <c r="M835" s="6" t="s">
        <v>21</v>
      </c>
      <c r="N835" s="7" t="s">
        <v>18</v>
      </c>
      <c r="O835" s="23" t="s">
        <v>3640</v>
      </c>
      <c r="P835" s="23" t="s">
        <v>3641</v>
      </c>
      <c r="Q835" s="23" t="s">
        <v>3642</v>
      </c>
      <c r="R835" s="23" t="s">
        <v>3612</v>
      </c>
      <c r="S835" s="2" t="s">
        <v>3613</v>
      </c>
      <c r="T835" s="2" t="s">
        <v>3614</v>
      </c>
      <c r="U835" s="2" t="s">
        <v>3615</v>
      </c>
      <c r="V835" s="23" t="s">
        <v>3616</v>
      </c>
      <c r="W835" s="24" t="s">
        <v>3617</v>
      </c>
      <c r="X835" s="23" t="s">
        <v>3618</v>
      </c>
      <c r="Y835" s="23" t="s">
        <v>3620</v>
      </c>
      <c r="Z835" s="23" t="s">
        <v>3621</v>
      </c>
      <c r="AA835" s="23" t="s">
        <v>3643</v>
      </c>
      <c r="AB835" s="8"/>
      <c r="AC835" s="8"/>
      <c r="AD835" s="8"/>
    </row>
    <row r="836" spans="1:30" ht="15.75" customHeight="1">
      <c r="A836" s="13" t="s">
        <v>1393</v>
      </c>
      <c r="B836" s="5">
        <v>2402</v>
      </c>
      <c r="C836" s="6" t="s">
        <v>1529</v>
      </c>
      <c r="D836" s="7">
        <v>2022007017</v>
      </c>
      <c r="E836" s="7">
        <v>2201010351</v>
      </c>
      <c r="F836" s="7" t="s">
        <v>1813</v>
      </c>
      <c r="G836" s="7" t="s">
        <v>13</v>
      </c>
      <c r="H836" s="6" t="s">
        <v>1530</v>
      </c>
      <c r="I836" s="6" t="s">
        <v>3477</v>
      </c>
      <c r="J836" s="6" t="s">
        <v>3478</v>
      </c>
      <c r="K836" s="6" t="s">
        <v>131</v>
      </c>
      <c r="L836" s="6" t="s">
        <v>16</v>
      </c>
      <c r="M836" s="6" t="s">
        <v>17</v>
      </c>
      <c r="N836" s="7" t="s">
        <v>18</v>
      </c>
      <c r="O836" s="23" t="s">
        <v>3634</v>
      </c>
      <c r="P836" s="23" t="s">
        <v>3635</v>
      </c>
      <c r="R836" s="23" t="s">
        <v>3636</v>
      </c>
      <c r="S836" s="2" t="s">
        <v>3613</v>
      </c>
      <c r="T836" s="2" t="s">
        <v>3614</v>
      </c>
      <c r="U836" s="2" t="s">
        <v>3615</v>
      </c>
      <c r="V836" s="23" t="s">
        <v>3616</v>
      </c>
      <c r="W836" s="24" t="s">
        <v>3617</v>
      </c>
      <c r="X836" s="23" t="s">
        <v>3618</v>
      </c>
      <c r="Y836" s="23" t="s">
        <v>3620</v>
      </c>
      <c r="Z836" s="23" t="s">
        <v>3621</v>
      </c>
      <c r="AA836" s="23" t="s">
        <v>3637</v>
      </c>
    </row>
    <row r="837" spans="1:30" ht="15.75" customHeight="1">
      <c r="A837" s="13" t="s">
        <v>1393</v>
      </c>
      <c r="B837" s="5">
        <v>2402</v>
      </c>
      <c r="C837" s="6" t="s">
        <v>1513</v>
      </c>
      <c r="D837" s="7">
        <v>2022001453</v>
      </c>
      <c r="E837" s="7">
        <v>2201010766</v>
      </c>
      <c r="F837" s="7" t="s">
        <v>1813</v>
      </c>
      <c r="G837" s="7" t="s">
        <v>13</v>
      </c>
      <c r="H837" s="6" t="s">
        <v>1514</v>
      </c>
      <c r="I837" s="6" t="s">
        <v>3479</v>
      </c>
      <c r="J837" s="6" t="s">
        <v>3480</v>
      </c>
      <c r="K837" s="6" t="s">
        <v>131</v>
      </c>
      <c r="L837" s="6" t="s">
        <v>21</v>
      </c>
      <c r="M837" s="6" t="s">
        <v>16</v>
      </c>
      <c r="N837" s="7" t="s">
        <v>18</v>
      </c>
      <c r="O837" s="23" t="s">
        <v>3634</v>
      </c>
      <c r="P837" s="23" t="s">
        <v>3635</v>
      </c>
      <c r="R837" s="23" t="s">
        <v>3636</v>
      </c>
      <c r="S837" s="2" t="s">
        <v>3613</v>
      </c>
      <c r="T837" s="2" t="s">
        <v>3614</v>
      </c>
      <c r="U837" s="2" t="s">
        <v>3615</v>
      </c>
      <c r="V837" s="23" t="s">
        <v>3616</v>
      </c>
      <c r="W837" s="24" t="s">
        <v>3617</v>
      </c>
      <c r="X837" s="23" t="s">
        <v>3618</v>
      </c>
      <c r="Y837" s="23" t="s">
        <v>3620</v>
      </c>
      <c r="Z837" s="23" t="s">
        <v>3621</v>
      </c>
      <c r="AA837" s="23" t="s">
        <v>3637</v>
      </c>
    </row>
    <row r="838" spans="1:30" ht="15.75" customHeight="1">
      <c r="A838" s="13" t="s">
        <v>1393</v>
      </c>
      <c r="B838" s="5">
        <v>2402</v>
      </c>
      <c r="C838" s="6" t="s">
        <v>1531</v>
      </c>
      <c r="D838" s="7">
        <v>2022007457</v>
      </c>
      <c r="E838" s="7">
        <v>2201010980</v>
      </c>
      <c r="F838" s="7" t="s">
        <v>1813</v>
      </c>
      <c r="G838" s="7" t="s">
        <v>13</v>
      </c>
      <c r="H838" s="6" t="s">
        <v>1532</v>
      </c>
      <c r="I838" s="6" t="s">
        <v>3481</v>
      </c>
      <c r="J838" s="6" t="s">
        <v>3482</v>
      </c>
      <c r="K838" s="6" t="s">
        <v>131</v>
      </c>
      <c r="L838" s="6" t="s">
        <v>16</v>
      </c>
      <c r="M838" s="6" t="s">
        <v>104</v>
      </c>
      <c r="N838" s="7" t="s">
        <v>18</v>
      </c>
      <c r="O838" s="23" t="s">
        <v>3634</v>
      </c>
      <c r="P838" s="23" t="s">
        <v>3635</v>
      </c>
      <c r="R838" s="23" t="s">
        <v>3636</v>
      </c>
      <c r="S838" s="2" t="s">
        <v>3613</v>
      </c>
      <c r="T838" s="2" t="s">
        <v>3614</v>
      </c>
      <c r="U838" s="2" t="s">
        <v>3615</v>
      </c>
      <c r="V838" s="23" t="s">
        <v>3616</v>
      </c>
      <c r="W838" s="24" t="s">
        <v>3617</v>
      </c>
      <c r="X838" s="23" t="s">
        <v>3618</v>
      </c>
      <c r="Y838" s="23" t="s">
        <v>3620</v>
      </c>
      <c r="Z838" s="23" t="s">
        <v>3621</v>
      </c>
      <c r="AA838" s="23" t="s">
        <v>3637</v>
      </c>
      <c r="AB838" s="8"/>
      <c r="AC838" s="8"/>
      <c r="AD838" s="8"/>
    </row>
    <row r="839" spans="1:30" ht="15.75" customHeight="1">
      <c r="A839" s="4" t="s">
        <v>128</v>
      </c>
      <c r="B839" s="5">
        <v>2402</v>
      </c>
      <c r="C839" s="6" t="s">
        <v>1611</v>
      </c>
      <c r="D839" s="7">
        <v>2022006824</v>
      </c>
      <c r="E839" s="7">
        <v>2201010093</v>
      </c>
      <c r="F839" s="7" t="s">
        <v>1814</v>
      </c>
      <c r="G839" s="7" t="s">
        <v>13</v>
      </c>
      <c r="H839" s="6" t="s">
        <v>1612</v>
      </c>
      <c r="I839" s="6" t="s">
        <v>3483</v>
      </c>
      <c r="J839" s="6" t="s">
        <v>3484</v>
      </c>
      <c r="K839" s="6" t="s">
        <v>1401</v>
      </c>
      <c r="L839" s="6" t="s">
        <v>117</v>
      </c>
      <c r="M839" s="6" t="s">
        <v>26</v>
      </c>
      <c r="N839" s="7" t="s">
        <v>18</v>
      </c>
      <c r="O839" s="25" t="s">
        <v>3638</v>
      </c>
      <c r="P839" s="25" t="s">
        <v>3639</v>
      </c>
      <c r="R839" s="23" t="s">
        <v>3612</v>
      </c>
      <c r="S839" s="2" t="s">
        <v>3613</v>
      </c>
      <c r="T839" s="2" t="s">
        <v>3614</v>
      </c>
      <c r="U839" s="2" t="s">
        <v>3615</v>
      </c>
      <c r="V839" s="23" t="s">
        <v>3616</v>
      </c>
      <c r="W839" s="24" t="s">
        <v>3617</v>
      </c>
      <c r="X839" s="23" t="s">
        <v>3618</v>
      </c>
      <c r="Y839" s="23" t="s">
        <v>3620</v>
      </c>
      <c r="Z839" s="23" t="s">
        <v>3621</v>
      </c>
    </row>
    <row r="840" spans="1:30" ht="15.75" customHeight="1">
      <c r="A840" s="10" t="s">
        <v>128</v>
      </c>
      <c r="B840" s="5">
        <v>2402</v>
      </c>
      <c r="C840" s="6" t="s">
        <v>1453</v>
      </c>
      <c r="D840" s="7">
        <v>2022351697</v>
      </c>
      <c r="E840" s="7">
        <v>2201010373</v>
      </c>
      <c r="F840" s="7" t="s">
        <v>1814</v>
      </c>
      <c r="G840" s="7" t="s">
        <v>13</v>
      </c>
      <c r="H840" s="6" t="s">
        <v>1454</v>
      </c>
      <c r="I840" s="6" t="s">
        <v>3485</v>
      </c>
      <c r="J840" s="6" t="s">
        <v>3486</v>
      </c>
      <c r="K840" s="6" t="s">
        <v>1401</v>
      </c>
      <c r="L840" s="6" t="e">
        <v>#N/A</v>
      </c>
      <c r="M840" s="6" t="e">
        <v>#N/A</v>
      </c>
      <c r="N840" s="7" t="e">
        <v>#N/A</v>
      </c>
      <c r="O840" s="25" t="s">
        <v>3638</v>
      </c>
      <c r="P840" s="25" t="s">
        <v>3639</v>
      </c>
      <c r="R840" s="23" t="s">
        <v>3612</v>
      </c>
      <c r="S840" s="2" t="s">
        <v>3613</v>
      </c>
      <c r="T840" s="2" t="s">
        <v>3614</v>
      </c>
      <c r="U840" s="2" t="s">
        <v>3615</v>
      </c>
      <c r="V840" s="23" t="s">
        <v>3616</v>
      </c>
      <c r="W840" s="24" t="s">
        <v>3617</v>
      </c>
      <c r="X840" s="23" t="s">
        <v>3618</v>
      </c>
      <c r="Y840" s="23" t="s">
        <v>3620</v>
      </c>
      <c r="Z840" s="23" t="s">
        <v>3621</v>
      </c>
    </row>
    <row r="841" spans="1:30" ht="15.75" customHeight="1">
      <c r="A841" s="4" t="s">
        <v>128</v>
      </c>
      <c r="B841" s="5">
        <v>2402</v>
      </c>
      <c r="C841" s="6" t="s">
        <v>1681</v>
      </c>
      <c r="D841" s="7">
        <v>2022833430</v>
      </c>
      <c r="E841" s="7">
        <v>2201010479</v>
      </c>
      <c r="F841" s="7" t="s">
        <v>1814</v>
      </c>
      <c r="G841" s="7" t="s">
        <v>13</v>
      </c>
      <c r="H841" s="6" t="s">
        <v>1682</v>
      </c>
      <c r="I841" s="6" t="s">
        <v>3487</v>
      </c>
      <c r="J841" s="6" t="s">
        <v>3488</v>
      </c>
      <c r="K841" s="6" t="s">
        <v>1401</v>
      </c>
      <c r="L841" s="6" t="s">
        <v>117</v>
      </c>
      <c r="M841" s="6" t="s">
        <v>16</v>
      </c>
      <c r="N841" s="7" t="s">
        <v>18</v>
      </c>
      <c r="O841" s="25" t="s">
        <v>3638</v>
      </c>
      <c r="P841" s="25" t="s">
        <v>3639</v>
      </c>
      <c r="R841" s="23" t="s">
        <v>3612</v>
      </c>
      <c r="S841" s="2" t="s">
        <v>3613</v>
      </c>
      <c r="T841" s="2" t="s">
        <v>3614</v>
      </c>
      <c r="U841" s="2" t="s">
        <v>3615</v>
      </c>
      <c r="V841" s="23" t="s">
        <v>3616</v>
      </c>
      <c r="W841" s="24" t="s">
        <v>3617</v>
      </c>
      <c r="X841" s="23" t="s">
        <v>3618</v>
      </c>
      <c r="Y841" s="23" t="s">
        <v>3620</v>
      </c>
      <c r="Z841" s="23" t="s">
        <v>3621</v>
      </c>
      <c r="AA841" s="8"/>
      <c r="AB841" s="8"/>
      <c r="AC841" s="8"/>
      <c r="AD841" s="8"/>
    </row>
    <row r="842" spans="1:30" ht="15.75" customHeight="1">
      <c r="A842" s="4" t="s">
        <v>128</v>
      </c>
      <c r="B842" s="5">
        <v>2402</v>
      </c>
      <c r="C842" s="6" t="s">
        <v>1625</v>
      </c>
      <c r="D842" s="7">
        <v>2022360934</v>
      </c>
      <c r="E842" s="7">
        <v>2201010784</v>
      </c>
      <c r="F842" s="7" t="s">
        <v>1814</v>
      </c>
      <c r="G842" s="7" t="s">
        <v>13</v>
      </c>
      <c r="H842" s="6" t="s">
        <v>1626</v>
      </c>
      <c r="I842" s="6" t="s">
        <v>3489</v>
      </c>
      <c r="J842" s="6" t="s">
        <v>3490</v>
      </c>
      <c r="K842" s="6" t="s">
        <v>1401</v>
      </c>
      <c r="L842" s="6" t="s">
        <v>149</v>
      </c>
      <c r="M842" s="6" t="s">
        <v>16</v>
      </c>
      <c r="N842" s="7" t="s">
        <v>18</v>
      </c>
      <c r="O842" s="25" t="s">
        <v>3638</v>
      </c>
      <c r="P842" s="25" t="s">
        <v>3639</v>
      </c>
      <c r="R842" s="23" t="s">
        <v>3612</v>
      </c>
      <c r="S842" s="2" t="s">
        <v>3613</v>
      </c>
      <c r="T842" s="2" t="s">
        <v>3614</v>
      </c>
      <c r="U842" s="2" t="s">
        <v>3615</v>
      </c>
      <c r="V842" s="23" t="s">
        <v>3616</v>
      </c>
      <c r="W842" s="24" t="s">
        <v>3617</v>
      </c>
      <c r="X842" s="23" t="s">
        <v>3618</v>
      </c>
      <c r="Y842" s="23" t="s">
        <v>3620</v>
      </c>
      <c r="Z842" s="23" t="s">
        <v>3621</v>
      </c>
      <c r="AA842" s="8"/>
      <c r="AB842" s="8"/>
      <c r="AC842" s="8"/>
      <c r="AD842" s="8"/>
    </row>
    <row r="843" spans="1:30" ht="15.75" customHeight="1">
      <c r="A843" s="10" t="s">
        <v>128</v>
      </c>
      <c r="B843" s="5">
        <v>2402</v>
      </c>
      <c r="C843" s="6" t="s">
        <v>820</v>
      </c>
      <c r="D843" s="7">
        <v>2021407901</v>
      </c>
      <c r="E843" s="7">
        <v>210101360</v>
      </c>
      <c r="F843" s="7" t="s">
        <v>1814</v>
      </c>
      <c r="G843" s="7" t="s">
        <v>13</v>
      </c>
      <c r="H843" s="11" t="s">
        <v>821</v>
      </c>
      <c r="I843" s="6" t="s">
        <v>3491</v>
      </c>
      <c r="J843" s="6" t="s">
        <v>3492</v>
      </c>
      <c r="K843" s="6" t="s">
        <v>532</v>
      </c>
      <c r="L843" s="6" t="s">
        <v>21</v>
      </c>
      <c r="M843" s="6" t="s">
        <v>117</v>
      </c>
      <c r="N843" s="7" t="s">
        <v>18</v>
      </c>
      <c r="O843" s="23" t="s">
        <v>3622</v>
      </c>
      <c r="P843" s="23" t="s">
        <v>3623</v>
      </c>
      <c r="Q843" s="23" t="s">
        <v>3624</v>
      </c>
      <c r="R843" s="23" t="s">
        <v>3612</v>
      </c>
      <c r="S843" s="2" t="s">
        <v>3613</v>
      </c>
      <c r="T843" s="2" t="s">
        <v>3614</v>
      </c>
      <c r="U843" s="2" t="s">
        <v>3615</v>
      </c>
      <c r="V843" s="23" t="s">
        <v>3616</v>
      </c>
      <c r="W843" s="24" t="s">
        <v>3617</v>
      </c>
      <c r="X843" s="23" t="s">
        <v>3618</v>
      </c>
      <c r="Y843" s="23" t="s">
        <v>3620</v>
      </c>
      <c r="Z843" s="23" t="s">
        <v>3621</v>
      </c>
      <c r="AA843" s="23" t="s">
        <v>3625</v>
      </c>
      <c r="AB843" s="8"/>
      <c r="AC843" s="8"/>
      <c r="AD843" s="8"/>
    </row>
    <row r="844" spans="1:30" ht="15.75" customHeight="1">
      <c r="A844" s="10" t="s">
        <v>128</v>
      </c>
      <c r="B844" s="5">
        <v>2402</v>
      </c>
      <c r="C844" s="6" t="s">
        <v>818</v>
      </c>
      <c r="D844" s="7">
        <v>2021307894</v>
      </c>
      <c r="E844" s="7">
        <v>210101395</v>
      </c>
      <c r="F844" s="7" t="s">
        <v>1814</v>
      </c>
      <c r="G844" s="7" t="s">
        <v>13</v>
      </c>
      <c r="H844" s="6" t="s">
        <v>819</v>
      </c>
      <c r="I844" s="6" t="s">
        <v>3493</v>
      </c>
      <c r="J844" s="6" t="s">
        <v>3494</v>
      </c>
      <c r="K844" s="6" t="s">
        <v>532</v>
      </c>
      <c r="L844" s="6" t="s">
        <v>21</v>
      </c>
      <c r="M844" s="6" t="s">
        <v>117</v>
      </c>
      <c r="N844" s="7" t="s">
        <v>18</v>
      </c>
      <c r="O844" s="23" t="s">
        <v>3622</v>
      </c>
      <c r="P844" s="23" t="s">
        <v>3623</v>
      </c>
      <c r="Q844" s="23" t="s">
        <v>3624</v>
      </c>
      <c r="R844" s="23" t="s">
        <v>3612</v>
      </c>
      <c r="S844" s="2" t="s">
        <v>3613</v>
      </c>
      <c r="T844" s="2" t="s">
        <v>3614</v>
      </c>
      <c r="U844" s="2" t="s">
        <v>3615</v>
      </c>
      <c r="V844" s="23" t="s">
        <v>3616</v>
      </c>
      <c r="W844" s="24" t="s">
        <v>3617</v>
      </c>
      <c r="X844" s="23" t="s">
        <v>3618</v>
      </c>
      <c r="Y844" s="23" t="s">
        <v>3620</v>
      </c>
      <c r="Z844" s="23" t="s">
        <v>3621</v>
      </c>
      <c r="AA844" s="23" t="s">
        <v>3625</v>
      </c>
      <c r="AB844" s="9"/>
      <c r="AC844" s="9"/>
      <c r="AD844" s="9"/>
    </row>
    <row r="845" spans="1:30" ht="15.75" customHeight="1">
      <c r="A845" s="10" t="s">
        <v>128</v>
      </c>
      <c r="B845" s="5">
        <v>2402</v>
      </c>
      <c r="C845" s="6" t="s">
        <v>530</v>
      </c>
      <c r="D845" s="7">
        <v>2022490456</v>
      </c>
      <c r="E845" s="7">
        <v>2201010214</v>
      </c>
      <c r="F845" s="7" t="s">
        <v>1814</v>
      </c>
      <c r="G845" s="7" t="s">
        <v>13</v>
      </c>
      <c r="H845" s="6" t="s">
        <v>531</v>
      </c>
      <c r="I845" s="6" t="s">
        <v>3495</v>
      </c>
      <c r="J845" s="6" t="s">
        <v>3496</v>
      </c>
      <c r="K845" s="6" t="s">
        <v>532</v>
      </c>
      <c r="L845" s="6" t="s">
        <v>26</v>
      </c>
      <c r="M845" s="6" t="s">
        <v>117</v>
      </c>
      <c r="N845" s="7" t="s">
        <v>18</v>
      </c>
      <c r="O845" s="23" t="s">
        <v>3622</v>
      </c>
      <c r="P845" s="23" t="s">
        <v>3623</v>
      </c>
      <c r="Q845" s="23" t="s">
        <v>3624</v>
      </c>
      <c r="R845" s="23" t="s">
        <v>3612</v>
      </c>
      <c r="S845" s="2" t="s">
        <v>3613</v>
      </c>
      <c r="T845" s="2" t="s">
        <v>3614</v>
      </c>
      <c r="U845" s="2" t="s">
        <v>3615</v>
      </c>
      <c r="V845" s="23" t="s">
        <v>3616</v>
      </c>
      <c r="W845" s="24" t="s">
        <v>3617</v>
      </c>
      <c r="X845" s="23" t="s">
        <v>3618</v>
      </c>
      <c r="Y845" s="23" t="s">
        <v>3620</v>
      </c>
      <c r="Z845" s="23" t="s">
        <v>3621</v>
      </c>
      <c r="AA845" s="23" t="s">
        <v>3625</v>
      </c>
    </row>
    <row r="846" spans="1:30" ht="15.75" customHeight="1">
      <c r="A846" s="4" t="s">
        <v>128</v>
      </c>
      <c r="B846" s="5">
        <v>2402</v>
      </c>
      <c r="C846" s="6" t="s">
        <v>1596</v>
      </c>
      <c r="D846" s="7">
        <v>2022003855</v>
      </c>
      <c r="E846" s="7">
        <v>2201010516</v>
      </c>
      <c r="F846" s="7" t="s">
        <v>1814</v>
      </c>
      <c r="G846" s="7" t="s">
        <v>13</v>
      </c>
      <c r="H846" s="6" t="s">
        <v>1597</v>
      </c>
      <c r="I846" s="6" t="s">
        <v>3497</v>
      </c>
      <c r="J846" s="6" t="s">
        <v>3498</v>
      </c>
      <c r="K846" s="6" t="s">
        <v>532</v>
      </c>
      <c r="L846" s="6" t="s">
        <v>21</v>
      </c>
      <c r="M846" s="6" t="s">
        <v>117</v>
      </c>
      <c r="N846" s="7" t="s">
        <v>18</v>
      </c>
      <c r="O846" s="23" t="s">
        <v>3622</v>
      </c>
      <c r="P846" s="23" t="s">
        <v>3623</v>
      </c>
      <c r="Q846" s="23" t="s">
        <v>3624</v>
      </c>
      <c r="R846" s="23" t="s">
        <v>3612</v>
      </c>
      <c r="S846" s="2" t="s">
        <v>3613</v>
      </c>
      <c r="T846" s="2" t="s">
        <v>3614</v>
      </c>
      <c r="U846" s="2" t="s">
        <v>3615</v>
      </c>
      <c r="V846" s="23" t="s">
        <v>3616</v>
      </c>
      <c r="W846" s="24" t="s">
        <v>3617</v>
      </c>
      <c r="X846" s="23" t="s">
        <v>3618</v>
      </c>
      <c r="Y846" s="23" t="s">
        <v>3620</v>
      </c>
      <c r="Z846" s="23" t="s">
        <v>3621</v>
      </c>
      <c r="AA846" s="23" t="s">
        <v>3625</v>
      </c>
      <c r="AB846" s="9"/>
      <c r="AC846" s="9"/>
      <c r="AD846" s="9"/>
    </row>
    <row r="847" spans="1:30" ht="15.75" customHeight="1">
      <c r="A847" s="10" t="s">
        <v>128</v>
      </c>
      <c r="B847" s="5">
        <v>2402</v>
      </c>
      <c r="C847" s="6" t="s">
        <v>832</v>
      </c>
      <c r="D847" s="7">
        <v>2022006315</v>
      </c>
      <c r="E847" s="7">
        <v>2201010791</v>
      </c>
      <c r="F847" s="7" t="s">
        <v>1814</v>
      </c>
      <c r="G847" s="7" t="s">
        <v>13</v>
      </c>
      <c r="H847" s="6" t="s">
        <v>833</v>
      </c>
      <c r="I847" s="6" t="s">
        <v>3499</v>
      </c>
      <c r="J847" s="6" t="s">
        <v>3500</v>
      </c>
      <c r="K847" s="6" t="s">
        <v>532</v>
      </c>
      <c r="L847" s="6" t="s">
        <v>21</v>
      </c>
      <c r="M847" s="6" t="s">
        <v>117</v>
      </c>
      <c r="N847" s="7" t="s">
        <v>18</v>
      </c>
      <c r="O847" s="23" t="s">
        <v>3622</v>
      </c>
      <c r="P847" s="23" t="s">
        <v>3623</v>
      </c>
      <c r="Q847" s="23" t="s">
        <v>3624</v>
      </c>
      <c r="R847" s="23" t="s">
        <v>3612</v>
      </c>
      <c r="S847" s="2" t="s">
        <v>3613</v>
      </c>
      <c r="T847" s="2" t="s">
        <v>3614</v>
      </c>
      <c r="U847" s="2" t="s">
        <v>3615</v>
      </c>
      <c r="V847" s="23" t="s">
        <v>3616</v>
      </c>
      <c r="W847" s="24" t="s">
        <v>3617</v>
      </c>
      <c r="X847" s="23" t="s">
        <v>3618</v>
      </c>
      <c r="Y847" s="23" t="s">
        <v>3620</v>
      </c>
      <c r="Z847" s="23" t="s">
        <v>3621</v>
      </c>
      <c r="AA847" s="23" t="s">
        <v>3625</v>
      </c>
    </row>
    <row r="848" spans="1:30" ht="15.75" customHeight="1">
      <c r="A848" s="10" t="s">
        <v>128</v>
      </c>
      <c r="B848" s="5">
        <v>2402</v>
      </c>
      <c r="C848" s="6" t="s">
        <v>1590</v>
      </c>
      <c r="D848" s="7">
        <v>2022505539</v>
      </c>
      <c r="E848" s="7">
        <v>2201010124</v>
      </c>
      <c r="F848" s="7" t="s">
        <v>1814</v>
      </c>
      <c r="G848" s="7" t="s">
        <v>13</v>
      </c>
      <c r="H848" s="6" t="s">
        <v>1591</v>
      </c>
      <c r="I848" s="6" t="s">
        <v>3501</v>
      </c>
      <c r="J848" s="6" t="s">
        <v>3502</v>
      </c>
      <c r="K848" s="6" t="s">
        <v>1276</v>
      </c>
      <c r="L848" s="6" t="s">
        <v>104</v>
      </c>
      <c r="M848" s="6" t="s">
        <v>117</v>
      </c>
      <c r="N848" s="7" t="s">
        <v>18</v>
      </c>
      <c r="O848" s="23" t="s">
        <v>3626</v>
      </c>
      <c r="P848" s="23" t="s">
        <v>3627</v>
      </c>
      <c r="Q848" s="23" t="s">
        <v>3628</v>
      </c>
      <c r="R848" s="23" t="s">
        <v>3612</v>
      </c>
      <c r="S848" s="2" t="s">
        <v>3613</v>
      </c>
      <c r="T848" s="2" t="s">
        <v>3614</v>
      </c>
      <c r="U848" s="2" t="s">
        <v>3615</v>
      </c>
      <c r="V848" s="23" t="s">
        <v>3616</v>
      </c>
      <c r="W848" s="24" t="s">
        <v>3617</v>
      </c>
      <c r="X848" s="23" t="s">
        <v>3618</v>
      </c>
      <c r="Y848" s="23" t="s">
        <v>3620</v>
      </c>
      <c r="Z848" s="23" t="s">
        <v>3621</v>
      </c>
      <c r="AA848" s="23" t="s">
        <v>3629</v>
      </c>
    </row>
    <row r="849" spans="1:30" ht="15.75" customHeight="1">
      <c r="A849" s="4" t="s">
        <v>128</v>
      </c>
      <c r="B849" s="5">
        <v>2402</v>
      </c>
      <c r="C849" s="6" t="s">
        <v>1615</v>
      </c>
      <c r="D849" s="7">
        <v>2022307102</v>
      </c>
      <c r="E849" s="7">
        <v>2201010145</v>
      </c>
      <c r="F849" s="7" t="s">
        <v>1814</v>
      </c>
      <c r="G849" s="7" t="s">
        <v>13</v>
      </c>
      <c r="H849" s="6" t="s">
        <v>1616</v>
      </c>
      <c r="I849" s="6" t="s">
        <v>3503</v>
      </c>
      <c r="J849" s="6" t="s">
        <v>3504</v>
      </c>
      <c r="K849" s="6" t="s">
        <v>1372</v>
      </c>
      <c r="L849" s="6" t="s">
        <v>49</v>
      </c>
      <c r="M849" s="6" t="s">
        <v>117</v>
      </c>
      <c r="N849" s="7" t="s">
        <v>18</v>
      </c>
      <c r="O849" s="23" t="s">
        <v>3640</v>
      </c>
      <c r="P849" s="23" t="s">
        <v>3641</v>
      </c>
      <c r="Q849" s="23" t="s">
        <v>3642</v>
      </c>
      <c r="R849" s="23" t="s">
        <v>3612</v>
      </c>
      <c r="S849" s="2" t="s">
        <v>3613</v>
      </c>
      <c r="T849" s="2" t="s">
        <v>3614</v>
      </c>
      <c r="U849" s="2" t="s">
        <v>3615</v>
      </c>
      <c r="V849" s="23" t="s">
        <v>3616</v>
      </c>
      <c r="W849" s="24" t="s">
        <v>3617</v>
      </c>
      <c r="X849" s="23" t="s">
        <v>3618</v>
      </c>
      <c r="Y849" s="23" t="s">
        <v>3620</v>
      </c>
      <c r="Z849" s="23" t="s">
        <v>3621</v>
      </c>
      <c r="AA849" s="23" t="s">
        <v>3643</v>
      </c>
    </row>
    <row r="850" spans="1:30" ht="15.75" customHeight="1">
      <c r="A850" s="10" t="s">
        <v>128</v>
      </c>
      <c r="B850" s="5">
        <v>2402</v>
      </c>
      <c r="C850" s="6" t="s">
        <v>1406</v>
      </c>
      <c r="D850" s="7">
        <v>2022004886</v>
      </c>
      <c r="E850" s="7">
        <v>2201010218</v>
      </c>
      <c r="F850" s="7" t="s">
        <v>1814</v>
      </c>
      <c r="G850" s="7" t="s">
        <v>13</v>
      </c>
      <c r="H850" s="6" t="s">
        <v>1407</v>
      </c>
      <c r="I850" s="6" t="s">
        <v>3505</v>
      </c>
      <c r="J850" s="6" t="s">
        <v>3506</v>
      </c>
      <c r="K850" s="6" t="s">
        <v>1372</v>
      </c>
      <c r="L850" s="6" t="s">
        <v>49</v>
      </c>
      <c r="M850" s="6" t="s">
        <v>117</v>
      </c>
      <c r="N850" s="7" t="s">
        <v>18</v>
      </c>
      <c r="O850" s="23" t="s">
        <v>3640</v>
      </c>
      <c r="P850" s="23" t="s">
        <v>3641</v>
      </c>
      <c r="Q850" s="23" t="s">
        <v>3642</v>
      </c>
      <c r="R850" s="23" t="s">
        <v>3612</v>
      </c>
      <c r="S850" s="2" t="s">
        <v>3613</v>
      </c>
      <c r="T850" s="2" t="s">
        <v>3614</v>
      </c>
      <c r="U850" s="2" t="s">
        <v>3615</v>
      </c>
      <c r="V850" s="23" t="s">
        <v>3616</v>
      </c>
      <c r="W850" s="24" t="s">
        <v>3617</v>
      </c>
      <c r="X850" s="23" t="s">
        <v>3618</v>
      </c>
      <c r="Y850" s="23" t="s">
        <v>3620</v>
      </c>
      <c r="Z850" s="23" t="s">
        <v>3621</v>
      </c>
      <c r="AA850" s="23" t="s">
        <v>3643</v>
      </c>
    </row>
    <row r="851" spans="1:30" ht="15.75" customHeight="1">
      <c r="A851" s="10" t="s">
        <v>128</v>
      </c>
      <c r="B851" s="5">
        <v>2402</v>
      </c>
      <c r="C851" s="6" t="s">
        <v>1474</v>
      </c>
      <c r="D851" s="7">
        <v>2022494267</v>
      </c>
      <c r="E851" s="7">
        <v>2201010473</v>
      </c>
      <c r="F851" s="7" t="s">
        <v>1814</v>
      </c>
      <c r="G851" s="7" t="s">
        <v>13</v>
      </c>
      <c r="H851" s="6" t="s">
        <v>1475</v>
      </c>
      <c r="I851" s="6" t="s">
        <v>3507</v>
      </c>
      <c r="J851" s="6" t="s">
        <v>3508</v>
      </c>
      <c r="K851" s="6" t="s">
        <v>1372</v>
      </c>
      <c r="L851" s="6" t="s">
        <v>49</v>
      </c>
      <c r="M851" s="6" t="s">
        <v>117</v>
      </c>
      <c r="N851" s="7" t="s">
        <v>18</v>
      </c>
      <c r="O851" s="23" t="s">
        <v>3640</v>
      </c>
      <c r="P851" s="23" t="s">
        <v>3641</v>
      </c>
      <c r="Q851" s="23" t="s">
        <v>3642</v>
      </c>
      <c r="R851" s="23" t="s">
        <v>3612</v>
      </c>
      <c r="S851" s="2" t="s">
        <v>3613</v>
      </c>
      <c r="T851" s="2" t="s">
        <v>3614</v>
      </c>
      <c r="U851" s="2" t="s">
        <v>3615</v>
      </c>
      <c r="V851" s="23" t="s">
        <v>3616</v>
      </c>
      <c r="W851" s="24" t="s">
        <v>3617</v>
      </c>
      <c r="X851" s="23" t="s">
        <v>3618</v>
      </c>
      <c r="Y851" s="23" t="s">
        <v>3620</v>
      </c>
      <c r="Z851" s="23" t="s">
        <v>3621</v>
      </c>
      <c r="AA851" s="23" t="s">
        <v>3643</v>
      </c>
    </row>
    <row r="852" spans="1:30" ht="15.75" customHeight="1">
      <c r="A852" s="10" t="s">
        <v>128</v>
      </c>
      <c r="B852" s="5">
        <v>2402</v>
      </c>
      <c r="C852" s="6" t="s">
        <v>1415</v>
      </c>
      <c r="D852" s="7">
        <v>2022006280</v>
      </c>
      <c r="E852" s="7">
        <v>2201010577</v>
      </c>
      <c r="F852" s="7" t="s">
        <v>1814</v>
      </c>
      <c r="G852" s="7" t="s">
        <v>13</v>
      </c>
      <c r="H852" s="6" t="s">
        <v>1416</v>
      </c>
      <c r="I852" s="6" t="s">
        <v>3509</v>
      </c>
      <c r="J852" s="6" t="s">
        <v>3510</v>
      </c>
      <c r="K852" s="6" t="s">
        <v>1372</v>
      </c>
      <c r="L852" s="6" t="e">
        <v>#N/A</v>
      </c>
      <c r="M852" s="6" t="e">
        <v>#N/A</v>
      </c>
      <c r="N852" s="7" t="e">
        <v>#N/A</v>
      </c>
      <c r="O852" s="23" t="s">
        <v>3640</v>
      </c>
      <c r="P852" s="23" t="s">
        <v>3641</v>
      </c>
      <c r="Q852" s="23" t="s">
        <v>3642</v>
      </c>
      <c r="R852" s="23" t="s">
        <v>3612</v>
      </c>
      <c r="S852" s="2" t="s">
        <v>3613</v>
      </c>
      <c r="T852" s="2" t="s">
        <v>3614</v>
      </c>
      <c r="U852" s="2" t="s">
        <v>3615</v>
      </c>
      <c r="V852" s="23" t="s">
        <v>3616</v>
      </c>
      <c r="W852" s="24" t="s">
        <v>3617</v>
      </c>
      <c r="X852" s="23" t="s">
        <v>3618</v>
      </c>
      <c r="Y852" s="23" t="s">
        <v>3620</v>
      </c>
      <c r="Z852" s="23" t="s">
        <v>3621</v>
      </c>
      <c r="AA852" s="23" t="s">
        <v>3643</v>
      </c>
      <c r="AB852" s="8"/>
      <c r="AC852" s="8"/>
      <c r="AD852" s="8"/>
    </row>
    <row r="853" spans="1:30" ht="15.75" customHeight="1">
      <c r="A853" s="4" t="s">
        <v>128</v>
      </c>
      <c r="B853" s="5">
        <v>2402</v>
      </c>
      <c r="C853" s="6" t="s">
        <v>1639</v>
      </c>
      <c r="D853" s="7">
        <v>2022447868</v>
      </c>
      <c r="E853" s="7">
        <v>2201010637</v>
      </c>
      <c r="F853" s="7" t="s">
        <v>1814</v>
      </c>
      <c r="G853" s="7" t="s">
        <v>13</v>
      </c>
      <c r="H853" s="6" t="s">
        <v>1640</v>
      </c>
      <c r="I853" s="6" t="s">
        <v>3511</v>
      </c>
      <c r="J853" s="6" t="s">
        <v>3512</v>
      </c>
      <c r="K853" s="6" t="s">
        <v>1372</v>
      </c>
      <c r="L853" s="6" t="s">
        <v>49</v>
      </c>
      <c r="M853" s="6" t="s">
        <v>117</v>
      </c>
      <c r="N853" s="7" t="s">
        <v>18</v>
      </c>
      <c r="O853" s="23" t="s">
        <v>3640</v>
      </c>
      <c r="P853" s="23" t="s">
        <v>3641</v>
      </c>
      <c r="Q853" s="23" t="s">
        <v>3642</v>
      </c>
      <c r="R853" s="23" t="s">
        <v>3612</v>
      </c>
      <c r="S853" s="2" t="s">
        <v>3613</v>
      </c>
      <c r="T853" s="2" t="s">
        <v>3614</v>
      </c>
      <c r="U853" s="2" t="s">
        <v>3615</v>
      </c>
      <c r="V853" s="23" t="s">
        <v>3616</v>
      </c>
      <c r="W853" s="24" t="s">
        <v>3617</v>
      </c>
      <c r="X853" s="23" t="s">
        <v>3618</v>
      </c>
      <c r="Y853" s="23" t="s">
        <v>3620</v>
      </c>
      <c r="Z853" s="23" t="s">
        <v>3621</v>
      </c>
      <c r="AA853" s="23" t="s">
        <v>3643</v>
      </c>
      <c r="AB853" s="8"/>
      <c r="AC853" s="8"/>
      <c r="AD853" s="8"/>
    </row>
    <row r="854" spans="1:30" ht="15.75" customHeight="1">
      <c r="A854" s="10" t="s">
        <v>128</v>
      </c>
      <c r="B854" s="5">
        <v>2402</v>
      </c>
      <c r="C854" s="6" t="s">
        <v>1460</v>
      </c>
      <c r="D854" s="7">
        <v>2022400313</v>
      </c>
      <c r="E854" s="7">
        <v>2201010683</v>
      </c>
      <c r="F854" s="7" t="s">
        <v>1814</v>
      </c>
      <c r="G854" s="7" t="s">
        <v>13</v>
      </c>
      <c r="H854" s="6" t="s">
        <v>1461</v>
      </c>
      <c r="I854" s="6" t="s">
        <v>3513</v>
      </c>
      <c r="J854" s="6" t="s">
        <v>3514</v>
      </c>
      <c r="K854" s="6" t="s">
        <v>1372</v>
      </c>
      <c r="L854" s="6" t="s">
        <v>49</v>
      </c>
      <c r="M854" s="6" t="s">
        <v>117</v>
      </c>
      <c r="N854" s="7" t="s">
        <v>18</v>
      </c>
      <c r="O854" s="23" t="s">
        <v>3640</v>
      </c>
      <c r="P854" s="23" t="s">
        <v>3641</v>
      </c>
      <c r="Q854" s="23" t="s">
        <v>3642</v>
      </c>
      <c r="R854" s="23" t="s">
        <v>3612</v>
      </c>
      <c r="S854" s="2" t="s">
        <v>3613</v>
      </c>
      <c r="T854" s="2" t="s">
        <v>3614</v>
      </c>
      <c r="U854" s="2" t="s">
        <v>3615</v>
      </c>
      <c r="V854" s="23" t="s">
        <v>3616</v>
      </c>
      <c r="W854" s="24" t="s">
        <v>3617</v>
      </c>
      <c r="X854" s="23" t="s">
        <v>3618</v>
      </c>
      <c r="Y854" s="23" t="s">
        <v>3620</v>
      </c>
      <c r="Z854" s="23" t="s">
        <v>3621</v>
      </c>
      <c r="AA854" s="23" t="s">
        <v>3643</v>
      </c>
      <c r="AB854" s="8"/>
      <c r="AC854" s="8"/>
      <c r="AD854" s="8"/>
    </row>
    <row r="855" spans="1:30" ht="15.75" customHeight="1">
      <c r="A855" s="10" t="s">
        <v>128</v>
      </c>
      <c r="B855" s="5">
        <v>2402</v>
      </c>
      <c r="C855" s="6" t="s">
        <v>1425</v>
      </c>
      <c r="D855" s="7">
        <v>2022006905</v>
      </c>
      <c r="E855" s="7">
        <v>2201010691</v>
      </c>
      <c r="F855" s="7" t="s">
        <v>1814</v>
      </c>
      <c r="G855" s="7" t="s">
        <v>13</v>
      </c>
      <c r="H855" s="6" t="s">
        <v>1426</v>
      </c>
      <c r="I855" s="6" t="s">
        <v>3515</v>
      </c>
      <c r="J855" s="6" t="s">
        <v>3516</v>
      </c>
      <c r="K855" s="6" t="s">
        <v>1372</v>
      </c>
      <c r="L855" s="6" t="e">
        <v>#N/A</v>
      </c>
      <c r="M855" s="6" t="e">
        <v>#N/A</v>
      </c>
      <c r="N855" s="7" t="e">
        <v>#N/A</v>
      </c>
      <c r="O855" s="23" t="s">
        <v>3640</v>
      </c>
      <c r="P855" s="23" t="s">
        <v>3641</v>
      </c>
      <c r="Q855" s="23" t="s">
        <v>3642</v>
      </c>
      <c r="R855" s="23" t="s">
        <v>3612</v>
      </c>
      <c r="S855" s="2" t="s">
        <v>3613</v>
      </c>
      <c r="T855" s="2" t="s">
        <v>3614</v>
      </c>
      <c r="U855" s="2" t="s">
        <v>3615</v>
      </c>
      <c r="V855" s="23" t="s">
        <v>3616</v>
      </c>
      <c r="W855" s="24" t="s">
        <v>3617</v>
      </c>
      <c r="X855" s="23" t="s">
        <v>3618</v>
      </c>
      <c r="Y855" s="23" t="s">
        <v>3620</v>
      </c>
      <c r="Z855" s="23" t="s">
        <v>3621</v>
      </c>
      <c r="AA855" s="23" t="s">
        <v>3643</v>
      </c>
      <c r="AB855" s="8"/>
      <c r="AC855" s="8"/>
      <c r="AD855" s="8"/>
    </row>
    <row r="856" spans="1:30" ht="15.75" customHeight="1">
      <c r="A856" s="4" t="s">
        <v>128</v>
      </c>
      <c r="B856" s="5">
        <v>2402</v>
      </c>
      <c r="C856" s="6" t="s">
        <v>1613</v>
      </c>
      <c r="D856" s="7">
        <v>2022007628</v>
      </c>
      <c r="E856" s="7">
        <v>2201010978</v>
      </c>
      <c r="F856" s="7" t="s">
        <v>1814</v>
      </c>
      <c r="G856" s="7" t="s">
        <v>13</v>
      </c>
      <c r="H856" s="6" t="s">
        <v>1614</v>
      </c>
      <c r="I856" s="6" t="s">
        <v>3517</v>
      </c>
      <c r="J856" s="6" t="s">
        <v>3518</v>
      </c>
      <c r="K856" s="6" t="s">
        <v>1372</v>
      </c>
      <c r="L856" s="6" t="s">
        <v>49</v>
      </c>
      <c r="M856" s="6" t="s">
        <v>26</v>
      </c>
      <c r="N856" s="7" t="s">
        <v>18</v>
      </c>
      <c r="O856" s="23" t="s">
        <v>3640</v>
      </c>
      <c r="P856" s="23" t="s">
        <v>3641</v>
      </c>
      <c r="Q856" s="23" t="s">
        <v>3642</v>
      </c>
      <c r="R856" s="23" t="s">
        <v>3612</v>
      </c>
      <c r="S856" s="2" t="s">
        <v>3613</v>
      </c>
      <c r="T856" s="2" t="s">
        <v>3614</v>
      </c>
      <c r="U856" s="2" t="s">
        <v>3615</v>
      </c>
      <c r="V856" s="23" t="s">
        <v>3616</v>
      </c>
      <c r="W856" s="24" t="s">
        <v>3617</v>
      </c>
      <c r="X856" s="23" t="s">
        <v>3618</v>
      </c>
      <c r="Y856" s="23" t="s">
        <v>3620</v>
      </c>
      <c r="Z856" s="23" t="s">
        <v>3621</v>
      </c>
      <c r="AA856" s="23" t="s">
        <v>3643</v>
      </c>
      <c r="AB856" s="8"/>
      <c r="AC856" s="8"/>
      <c r="AD856" s="8"/>
    </row>
    <row r="857" spans="1:30" ht="15.75" customHeight="1">
      <c r="A857" s="4" t="s">
        <v>128</v>
      </c>
      <c r="B857" s="5">
        <v>2402</v>
      </c>
      <c r="C857" s="6" t="s">
        <v>1592</v>
      </c>
      <c r="D857" s="7">
        <v>2021455216</v>
      </c>
      <c r="E857" s="7">
        <v>210101098</v>
      </c>
      <c r="F857" s="7" t="s">
        <v>1814</v>
      </c>
      <c r="G857" s="7" t="s">
        <v>13</v>
      </c>
      <c r="H857" s="6" t="s">
        <v>1593</v>
      </c>
      <c r="I857" s="6" t="s">
        <v>3519</v>
      </c>
      <c r="J857" s="6" t="s">
        <v>3520</v>
      </c>
      <c r="K857" s="6" t="s">
        <v>131</v>
      </c>
      <c r="L857" s="6" t="e">
        <v>#N/A</v>
      </c>
      <c r="M857" s="6" t="e">
        <v>#N/A</v>
      </c>
      <c r="N857" s="7" t="e">
        <v>#N/A</v>
      </c>
      <c r="O857" s="23" t="s">
        <v>3634</v>
      </c>
      <c r="P857" s="23" t="s">
        <v>3635</v>
      </c>
      <c r="Q857" s="23" t="s">
        <v>3636</v>
      </c>
      <c r="R857" s="23" t="s">
        <v>3612</v>
      </c>
      <c r="S857" s="2" t="s">
        <v>3613</v>
      </c>
      <c r="T857" s="2" t="s">
        <v>3614</v>
      </c>
      <c r="U857" s="2" t="s">
        <v>3615</v>
      </c>
      <c r="V857" s="23" t="s">
        <v>3616</v>
      </c>
      <c r="W857" s="24" t="s">
        <v>3617</v>
      </c>
      <c r="X857" s="23" t="s">
        <v>3618</v>
      </c>
      <c r="Y857" s="23" t="s">
        <v>3620</v>
      </c>
      <c r="Z857" s="23" t="s">
        <v>3621</v>
      </c>
      <c r="AA857" s="23" t="s">
        <v>3637</v>
      </c>
      <c r="AB857" s="8"/>
      <c r="AC857" s="8"/>
      <c r="AD857" s="8"/>
    </row>
    <row r="858" spans="1:30" ht="15.75" customHeight="1">
      <c r="A858" s="4" t="s">
        <v>128</v>
      </c>
      <c r="B858" s="5">
        <v>2402</v>
      </c>
      <c r="C858" s="6" t="s">
        <v>1607</v>
      </c>
      <c r="D858" s="7">
        <v>2022006231</v>
      </c>
      <c r="E858" s="7">
        <v>2201010016</v>
      </c>
      <c r="F858" s="7" t="s">
        <v>1814</v>
      </c>
      <c r="G858" s="7" t="s">
        <v>13</v>
      </c>
      <c r="H858" s="6" t="s">
        <v>1608</v>
      </c>
      <c r="I858" s="6" t="s">
        <v>3521</v>
      </c>
      <c r="J858" s="6" t="s">
        <v>3522</v>
      </c>
      <c r="K858" s="6" t="s">
        <v>131</v>
      </c>
      <c r="L858" s="6" t="s">
        <v>117</v>
      </c>
      <c r="M858" s="6" t="s">
        <v>117</v>
      </c>
      <c r="N858" s="7" t="s">
        <v>18</v>
      </c>
      <c r="O858" s="23" t="s">
        <v>3634</v>
      </c>
      <c r="P858" s="23" t="s">
        <v>3635</v>
      </c>
      <c r="Q858" s="23" t="s">
        <v>3636</v>
      </c>
      <c r="R858" s="23" t="s">
        <v>3612</v>
      </c>
      <c r="S858" s="2" t="s">
        <v>3613</v>
      </c>
      <c r="T858" s="2" t="s">
        <v>3614</v>
      </c>
      <c r="U858" s="2" t="s">
        <v>3615</v>
      </c>
      <c r="V858" s="23" t="s">
        <v>3616</v>
      </c>
      <c r="W858" s="24" t="s">
        <v>3617</v>
      </c>
      <c r="X858" s="23" t="s">
        <v>3618</v>
      </c>
      <c r="Y858" s="23" t="s">
        <v>3620</v>
      </c>
      <c r="Z858" s="23" t="s">
        <v>3621</v>
      </c>
      <c r="AA858" s="23" t="s">
        <v>3637</v>
      </c>
      <c r="AB858" s="8"/>
      <c r="AC858" s="8"/>
      <c r="AD858" s="8"/>
    </row>
    <row r="859" spans="1:30" ht="15.75" customHeight="1">
      <c r="A859" s="4" t="s">
        <v>128</v>
      </c>
      <c r="B859" s="5">
        <v>2402</v>
      </c>
      <c r="C859" s="6" t="s">
        <v>1643</v>
      </c>
      <c r="D859" s="7">
        <v>2022473539</v>
      </c>
      <c r="E859" s="7">
        <v>2201010019</v>
      </c>
      <c r="F859" s="7" t="s">
        <v>1814</v>
      </c>
      <c r="G859" s="7" t="s">
        <v>13</v>
      </c>
      <c r="H859" s="6" t="s">
        <v>1644</v>
      </c>
      <c r="I859" s="6" t="s">
        <v>3523</v>
      </c>
      <c r="J859" s="6" t="s">
        <v>3524</v>
      </c>
      <c r="K859" s="6" t="s">
        <v>131</v>
      </c>
      <c r="L859" s="6" t="s">
        <v>117</v>
      </c>
      <c r="M859" s="6" t="s">
        <v>117</v>
      </c>
      <c r="N859" s="7" t="s">
        <v>18</v>
      </c>
      <c r="O859" s="23" t="s">
        <v>3634</v>
      </c>
      <c r="P859" s="23" t="s">
        <v>3635</v>
      </c>
      <c r="Q859" s="23" t="s">
        <v>3636</v>
      </c>
      <c r="R859" s="23" t="s">
        <v>3612</v>
      </c>
      <c r="S859" s="2" t="s">
        <v>3613</v>
      </c>
      <c r="T859" s="2" t="s">
        <v>3614</v>
      </c>
      <c r="U859" s="2" t="s">
        <v>3615</v>
      </c>
      <c r="V859" s="23" t="s">
        <v>3616</v>
      </c>
      <c r="W859" s="24" t="s">
        <v>3617</v>
      </c>
      <c r="X859" s="23" t="s">
        <v>3618</v>
      </c>
      <c r="Y859" s="23" t="s">
        <v>3620</v>
      </c>
      <c r="Z859" s="23" t="s">
        <v>3621</v>
      </c>
      <c r="AA859" s="23" t="s">
        <v>3637</v>
      </c>
      <c r="AB859" s="8"/>
      <c r="AC859" s="8"/>
      <c r="AD859" s="8"/>
    </row>
    <row r="860" spans="1:30" ht="15.75" customHeight="1">
      <c r="A860" s="4" t="s">
        <v>128</v>
      </c>
      <c r="B860" s="5">
        <v>2402</v>
      </c>
      <c r="C860" s="6" t="s">
        <v>1629</v>
      </c>
      <c r="D860" s="7">
        <v>2022405514</v>
      </c>
      <c r="E860" s="7">
        <v>2201010031</v>
      </c>
      <c r="F860" s="7" t="s">
        <v>1814</v>
      </c>
      <c r="G860" s="7" t="s">
        <v>13</v>
      </c>
      <c r="H860" s="6" t="s">
        <v>1630</v>
      </c>
      <c r="I860" s="6" t="s">
        <v>3525</v>
      </c>
      <c r="J860" s="6" t="s">
        <v>3526</v>
      </c>
      <c r="K860" s="6" t="s">
        <v>131</v>
      </c>
      <c r="L860" s="6" t="s">
        <v>117</v>
      </c>
      <c r="M860" s="6" t="s">
        <v>139</v>
      </c>
      <c r="N860" s="7" t="s">
        <v>18</v>
      </c>
      <c r="O860" s="23" t="s">
        <v>3634</v>
      </c>
      <c r="P860" s="23" t="s">
        <v>3635</v>
      </c>
      <c r="Q860" s="23" t="s">
        <v>3636</v>
      </c>
      <c r="R860" s="23" t="s">
        <v>3612</v>
      </c>
      <c r="S860" s="2" t="s">
        <v>3613</v>
      </c>
      <c r="T860" s="2" t="s">
        <v>3614</v>
      </c>
      <c r="U860" s="2" t="s">
        <v>3615</v>
      </c>
      <c r="V860" s="23" t="s">
        <v>3616</v>
      </c>
      <c r="W860" s="24" t="s">
        <v>3617</v>
      </c>
      <c r="X860" s="23" t="s">
        <v>3618</v>
      </c>
      <c r="Y860" s="23" t="s">
        <v>3620</v>
      </c>
      <c r="Z860" s="23" t="s">
        <v>3621</v>
      </c>
      <c r="AA860" s="23" t="s">
        <v>3637</v>
      </c>
      <c r="AB860" s="8"/>
      <c r="AC860" s="8"/>
      <c r="AD860" s="8"/>
    </row>
    <row r="861" spans="1:30" ht="15.75" customHeight="1">
      <c r="A861" s="4" t="s">
        <v>128</v>
      </c>
      <c r="B861" s="5">
        <v>2402</v>
      </c>
      <c r="C861" s="6" t="s">
        <v>1617</v>
      </c>
      <c r="D861" s="7">
        <v>2022310618</v>
      </c>
      <c r="E861" s="7">
        <v>2201010037</v>
      </c>
      <c r="F861" s="7" t="s">
        <v>1814</v>
      </c>
      <c r="G861" s="7" t="s">
        <v>13</v>
      </c>
      <c r="H861" s="6" t="s">
        <v>1618</v>
      </c>
      <c r="I861" s="6" t="s">
        <v>3527</v>
      </c>
      <c r="J861" s="6" t="s">
        <v>3528</v>
      </c>
      <c r="K861" s="6" t="s">
        <v>131</v>
      </c>
      <c r="L861" s="6" t="s">
        <v>117</v>
      </c>
      <c r="M861" s="6" t="s">
        <v>139</v>
      </c>
      <c r="N861" s="7" t="s">
        <v>18</v>
      </c>
      <c r="O861" s="23" t="s">
        <v>3634</v>
      </c>
      <c r="P861" s="23" t="s">
        <v>3635</v>
      </c>
      <c r="Q861" s="23" t="s">
        <v>3636</v>
      </c>
      <c r="R861" s="23" t="s">
        <v>3612</v>
      </c>
      <c r="S861" s="2" t="s">
        <v>3613</v>
      </c>
      <c r="T861" s="2" t="s">
        <v>3614</v>
      </c>
      <c r="U861" s="2" t="s">
        <v>3615</v>
      </c>
      <c r="V861" s="23" t="s">
        <v>3616</v>
      </c>
      <c r="W861" s="24" t="s">
        <v>3617</v>
      </c>
      <c r="X861" s="23" t="s">
        <v>3618</v>
      </c>
      <c r="Y861" s="23" t="s">
        <v>3620</v>
      </c>
      <c r="Z861" s="23" t="s">
        <v>3621</v>
      </c>
      <c r="AA861" s="23" t="s">
        <v>3637</v>
      </c>
      <c r="AB861" s="8"/>
      <c r="AC861" s="8"/>
      <c r="AD861" s="8"/>
    </row>
    <row r="862" spans="1:30" ht="15.75" customHeight="1">
      <c r="A862" s="4" t="s">
        <v>128</v>
      </c>
      <c r="B862" s="5">
        <v>2402</v>
      </c>
      <c r="C862" s="6" t="s">
        <v>1651</v>
      </c>
      <c r="D862" s="7">
        <v>2022484226</v>
      </c>
      <c r="E862" s="7">
        <v>2201010040</v>
      </c>
      <c r="F862" s="7" t="s">
        <v>1814</v>
      </c>
      <c r="G862" s="7" t="s">
        <v>13</v>
      </c>
      <c r="H862" s="6" t="s">
        <v>1652</v>
      </c>
      <c r="I862" s="6" t="s">
        <v>3529</v>
      </c>
      <c r="J862" s="6" t="s">
        <v>3530</v>
      </c>
      <c r="K862" s="6" t="s">
        <v>131</v>
      </c>
      <c r="L862" s="6" t="s">
        <v>117</v>
      </c>
      <c r="M862" s="6" t="s">
        <v>117</v>
      </c>
      <c r="N862" s="7" t="s">
        <v>18</v>
      </c>
      <c r="O862" s="23" t="s">
        <v>3634</v>
      </c>
      <c r="P862" s="23" t="s">
        <v>3635</v>
      </c>
      <c r="Q862" s="23" t="s">
        <v>3636</v>
      </c>
      <c r="R862" s="23" t="s">
        <v>3612</v>
      </c>
      <c r="S862" s="2" t="s">
        <v>3613</v>
      </c>
      <c r="T862" s="2" t="s">
        <v>3614</v>
      </c>
      <c r="U862" s="2" t="s">
        <v>3615</v>
      </c>
      <c r="V862" s="23" t="s">
        <v>3616</v>
      </c>
      <c r="W862" s="24" t="s">
        <v>3617</v>
      </c>
      <c r="X862" s="23" t="s">
        <v>3618</v>
      </c>
      <c r="Y862" s="23" t="s">
        <v>3620</v>
      </c>
      <c r="Z862" s="23" t="s">
        <v>3621</v>
      </c>
      <c r="AA862" s="23" t="s">
        <v>3637</v>
      </c>
      <c r="AB862" s="8"/>
      <c r="AC862" s="8"/>
      <c r="AD862" s="8"/>
    </row>
    <row r="863" spans="1:30" ht="15.75" customHeight="1">
      <c r="A863" s="4" t="s">
        <v>128</v>
      </c>
      <c r="B863" s="5">
        <v>2402</v>
      </c>
      <c r="C863" s="6" t="s">
        <v>1645</v>
      </c>
      <c r="D863" s="7">
        <v>2022474671</v>
      </c>
      <c r="E863" s="7">
        <v>2201010057</v>
      </c>
      <c r="F863" s="7" t="s">
        <v>1814</v>
      </c>
      <c r="G863" s="7" t="s">
        <v>13</v>
      </c>
      <c r="H863" s="6" t="s">
        <v>1646</v>
      </c>
      <c r="I863" s="6" t="s">
        <v>3531</v>
      </c>
      <c r="J863" s="6" t="s">
        <v>3532</v>
      </c>
      <c r="K863" s="6" t="s">
        <v>131</v>
      </c>
      <c r="L863" s="6" t="s">
        <v>117</v>
      </c>
      <c r="M863" s="6" t="s">
        <v>21</v>
      </c>
      <c r="N863" s="7" t="s">
        <v>18</v>
      </c>
      <c r="O863" s="23" t="s">
        <v>3634</v>
      </c>
      <c r="P863" s="23" t="s">
        <v>3635</v>
      </c>
      <c r="Q863" s="23" t="s">
        <v>3636</v>
      </c>
      <c r="R863" s="23" t="s">
        <v>3612</v>
      </c>
      <c r="S863" s="2" t="s">
        <v>3613</v>
      </c>
      <c r="T863" s="2" t="s">
        <v>3614</v>
      </c>
      <c r="U863" s="2" t="s">
        <v>3615</v>
      </c>
      <c r="V863" s="23" t="s">
        <v>3616</v>
      </c>
      <c r="W863" s="24" t="s">
        <v>3617</v>
      </c>
      <c r="X863" s="23" t="s">
        <v>3618</v>
      </c>
      <c r="Y863" s="23" t="s">
        <v>3620</v>
      </c>
      <c r="Z863" s="23" t="s">
        <v>3621</v>
      </c>
      <c r="AA863" s="23" t="s">
        <v>3637</v>
      </c>
      <c r="AB863" s="9"/>
      <c r="AC863" s="9"/>
      <c r="AD863" s="9"/>
    </row>
    <row r="864" spans="1:30" ht="15.75" customHeight="1">
      <c r="A864" s="4" t="s">
        <v>128</v>
      </c>
      <c r="B864" s="5">
        <v>2402</v>
      </c>
      <c r="C864" s="6" t="s">
        <v>1637</v>
      </c>
      <c r="D864" s="7">
        <v>2022447404</v>
      </c>
      <c r="E864" s="7">
        <v>2201010072</v>
      </c>
      <c r="F864" s="7" t="s">
        <v>1814</v>
      </c>
      <c r="G864" s="7" t="s">
        <v>13</v>
      </c>
      <c r="H864" s="6" t="s">
        <v>1638</v>
      </c>
      <c r="I864" s="6" t="s">
        <v>3533</v>
      </c>
      <c r="J864" s="6" t="s">
        <v>3534</v>
      </c>
      <c r="K864" s="6" t="s">
        <v>131</v>
      </c>
      <c r="L864" s="6" t="s">
        <v>117</v>
      </c>
      <c r="M864" s="6" t="s">
        <v>21</v>
      </c>
      <c r="N864" s="7" t="s">
        <v>18</v>
      </c>
      <c r="O864" s="23" t="s">
        <v>3634</v>
      </c>
      <c r="P864" s="23" t="s">
        <v>3635</v>
      </c>
      <c r="Q864" s="23" t="s">
        <v>3636</v>
      </c>
      <c r="R864" s="23" t="s">
        <v>3612</v>
      </c>
      <c r="S864" s="2" t="s">
        <v>3613</v>
      </c>
      <c r="T864" s="2" t="s">
        <v>3614</v>
      </c>
      <c r="U864" s="2" t="s">
        <v>3615</v>
      </c>
      <c r="V864" s="23" t="s">
        <v>3616</v>
      </c>
      <c r="W864" s="24" t="s">
        <v>3617</v>
      </c>
      <c r="X864" s="23" t="s">
        <v>3618</v>
      </c>
      <c r="Y864" s="23" t="s">
        <v>3620</v>
      </c>
      <c r="Z864" s="23" t="s">
        <v>3621</v>
      </c>
      <c r="AA864" s="23" t="s">
        <v>3637</v>
      </c>
      <c r="AB864" s="9"/>
      <c r="AC864" s="9"/>
      <c r="AD864" s="9"/>
    </row>
    <row r="865" spans="1:30" ht="15.75" customHeight="1">
      <c r="A865" s="4" t="s">
        <v>128</v>
      </c>
      <c r="B865" s="5">
        <v>2402</v>
      </c>
      <c r="C865" s="6" t="s">
        <v>1641</v>
      </c>
      <c r="D865" s="7">
        <v>2022466374</v>
      </c>
      <c r="E865" s="7">
        <v>2201010142</v>
      </c>
      <c r="F865" s="7" t="s">
        <v>1814</v>
      </c>
      <c r="G865" s="7" t="s">
        <v>13</v>
      </c>
      <c r="H865" s="6" t="s">
        <v>1642</v>
      </c>
      <c r="I865" s="6" t="s">
        <v>3535</v>
      </c>
      <c r="J865" s="6" t="s">
        <v>3536</v>
      </c>
      <c r="K865" s="6" t="s">
        <v>131</v>
      </c>
      <c r="L865" s="6" t="e">
        <v>#N/A</v>
      </c>
      <c r="M865" s="6" t="e">
        <v>#N/A</v>
      </c>
      <c r="N865" s="7" t="e">
        <v>#N/A</v>
      </c>
      <c r="O865" s="23" t="s">
        <v>3634</v>
      </c>
      <c r="P865" s="23" t="s">
        <v>3635</v>
      </c>
      <c r="Q865" s="23" t="s">
        <v>3636</v>
      </c>
      <c r="R865" s="23" t="s">
        <v>3612</v>
      </c>
      <c r="S865" s="2" t="s">
        <v>3613</v>
      </c>
      <c r="T865" s="2" t="s">
        <v>3614</v>
      </c>
      <c r="U865" s="2" t="s">
        <v>3615</v>
      </c>
      <c r="V865" s="23" t="s">
        <v>3616</v>
      </c>
      <c r="W865" s="24" t="s">
        <v>3617</v>
      </c>
      <c r="X865" s="23" t="s">
        <v>3618</v>
      </c>
      <c r="Y865" s="23" t="s">
        <v>3620</v>
      </c>
      <c r="Z865" s="23" t="s">
        <v>3621</v>
      </c>
      <c r="AA865" s="23" t="s">
        <v>3637</v>
      </c>
      <c r="AB865" s="9"/>
      <c r="AC865" s="9"/>
      <c r="AD865" s="9"/>
    </row>
    <row r="866" spans="1:30" ht="15.75" customHeight="1">
      <c r="A866" s="4" t="s">
        <v>128</v>
      </c>
      <c r="B866" s="5">
        <v>2402</v>
      </c>
      <c r="C866" s="6" t="s">
        <v>1635</v>
      </c>
      <c r="D866" s="7">
        <v>2022440656</v>
      </c>
      <c r="E866" s="7">
        <v>2201010143</v>
      </c>
      <c r="F866" s="7" t="s">
        <v>1814</v>
      </c>
      <c r="G866" s="7" t="s">
        <v>13</v>
      </c>
      <c r="H866" s="6" t="s">
        <v>1636</v>
      </c>
      <c r="I866" s="6" t="s">
        <v>3537</v>
      </c>
      <c r="J866" s="6" t="s">
        <v>3538</v>
      </c>
      <c r="K866" s="6" t="s">
        <v>131</v>
      </c>
      <c r="L866" s="6" t="s">
        <v>117</v>
      </c>
      <c r="M866" s="6" t="s">
        <v>117</v>
      </c>
      <c r="N866" s="7" t="s">
        <v>18</v>
      </c>
      <c r="O866" s="23" t="s">
        <v>3634</v>
      </c>
      <c r="P866" s="23" t="s">
        <v>3635</v>
      </c>
      <c r="Q866" s="23" t="s">
        <v>3636</v>
      </c>
      <c r="R866" s="23" t="s">
        <v>3612</v>
      </c>
      <c r="S866" s="2" t="s">
        <v>3613</v>
      </c>
      <c r="T866" s="2" t="s">
        <v>3614</v>
      </c>
      <c r="U866" s="2" t="s">
        <v>3615</v>
      </c>
      <c r="V866" s="23" t="s">
        <v>3616</v>
      </c>
      <c r="W866" s="24" t="s">
        <v>3617</v>
      </c>
      <c r="X866" s="23" t="s">
        <v>3618</v>
      </c>
      <c r="Y866" s="23" t="s">
        <v>3620</v>
      </c>
      <c r="Z866" s="23" t="s">
        <v>3621</v>
      </c>
      <c r="AA866" s="23" t="s">
        <v>3637</v>
      </c>
      <c r="AB866" s="9"/>
      <c r="AC866" s="9"/>
      <c r="AD866" s="9"/>
    </row>
    <row r="867" spans="1:30" ht="15.75" customHeight="1">
      <c r="A867" s="4" t="s">
        <v>128</v>
      </c>
      <c r="B867" s="5">
        <v>2402</v>
      </c>
      <c r="C867" s="6" t="s">
        <v>1379</v>
      </c>
      <c r="D867" s="7">
        <v>2022005319</v>
      </c>
      <c r="E867" s="7">
        <v>2201010173</v>
      </c>
      <c r="F867" s="7" t="s">
        <v>1814</v>
      </c>
      <c r="G867" s="7" t="s">
        <v>13</v>
      </c>
      <c r="H867" s="6" t="s">
        <v>1602</v>
      </c>
      <c r="I867" s="6" t="s">
        <v>3539</v>
      </c>
      <c r="J867" s="6" t="s">
        <v>3540</v>
      </c>
      <c r="K867" s="6" t="s">
        <v>131</v>
      </c>
      <c r="L867" s="6" t="s">
        <v>117</v>
      </c>
      <c r="M867" s="6" t="s">
        <v>149</v>
      </c>
      <c r="N867" s="7" t="s">
        <v>18</v>
      </c>
      <c r="O867" s="23" t="s">
        <v>3634</v>
      </c>
      <c r="P867" s="23" t="s">
        <v>3635</v>
      </c>
      <c r="Q867" s="23" t="s">
        <v>3636</v>
      </c>
      <c r="R867" s="23" t="s">
        <v>3612</v>
      </c>
      <c r="S867" s="2" t="s">
        <v>3613</v>
      </c>
      <c r="T867" s="2" t="s">
        <v>3614</v>
      </c>
      <c r="U867" s="2" t="s">
        <v>3615</v>
      </c>
      <c r="V867" s="23" t="s">
        <v>3616</v>
      </c>
      <c r="W867" s="24" t="s">
        <v>3617</v>
      </c>
      <c r="X867" s="23" t="s">
        <v>3618</v>
      </c>
      <c r="Y867" s="23" t="s">
        <v>3620</v>
      </c>
      <c r="Z867" s="23" t="s">
        <v>3621</v>
      </c>
      <c r="AA867" s="23" t="s">
        <v>3637</v>
      </c>
      <c r="AB867" s="9"/>
      <c r="AC867" s="9"/>
      <c r="AD867" s="9"/>
    </row>
    <row r="868" spans="1:30" ht="15.75" customHeight="1">
      <c r="A868" s="4" t="s">
        <v>128</v>
      </c>
      <c r="B868" s="5">
        <v>2402</v>
      </c>
      <c r="C868" s="6" t="s">
        <v>1598</v>
      </c>
      <c r="D868" s="7">
        <v>2022003898</v>
      </c>
      <c r="E868" s="7">
        <v>2201010198</v>
      </c>
      <c r="F868" s="7" t="s">
        <v>1814</v>
      </c>
      <c r="G868" s="7" t="s">
        <v>13</v>
      </c>
      <c r="H868" s="6" t="s">
        <v>1599</v>
      </c>
      <c r="I868" s="6" t="s">
        <v>3541</v>
      </c>
      <c r="J868" s="6" t="s">
        <v>3542</v>
      </c>
      <c r="K868" s="6" t="s">
        <v>131</v>
      </c>
      <c r="L868" s="6" t="s">
        <v>117</v>
      </c>
      <c r="M868" s="6" t="s">
        <v>149</v>
      </c>
      <c r="N868" s="7" t="s">
        <v>18</v>
      </c>
      <c r="O868" s="23" t="s">
        <v>3634</v>
      </c>
      <c r="P868" s="23" t="s">
        <v>3635</v>
      </c>
      <c r="Q868" s="23" t="s">
        <v>3636</v>
      </c>
      <c r="R868" s="23" t="s">
        <v>3612</v>
      </c>
      <c r="S868" s="2" t="s">
        <v>3613</v>
      </c>
      <c r="T868" s="2" t="s">
        <v>3614</v>
      </c>
      <c r="U868" s="2" t="s">
        <v>3615</v>
      </c>
      <c r="V868" s="23" t="s">
        <v>3616</v>
      </c>
      <c r="W868" s="24" t="s">
        <v>3617</v>
      </c>
      <c r="X868" s="23" t="s">
        <v>3618</v>
      </c>
      <c r="Y868" s="23" t="s">
        <v>3620</v>
      </c>
      <c r="Z868" s="23" t="s">
        <v>3621</v>
      </c>
      <c r="AA868" s="23" t="s">
        <v>3637</v>
      </c>
      <c r="AB868" s="9"/>
      <c r="AC868" s="9"/>
      <c r="AD868" s="9"/>
    </row>
    <row r="869" spans="1:30" ht="15.75" customHeight="1">
      <c r="A869" s="4" t="s">
        <v>128</v>
      </c>
      <c r="B869" s="5">
        <v>2402</v>
      </c>
      <c r="C869" s="6" t="s">
        <v>1663</v>
      </c>
      <c r="D869" s="7">
        <v>2022512685</v>
      </c>
      <c r="E869" s="7">
        <v>2201010230</v>
      </c>
      <c r="F869" s="7" t="s">
        <v>1814</v>
      </c>
      <c r="G869" s="7" t="s">
        <v>13</v>
      </c>
      <c r="H869" s="6" t="s">
        <v>1664</v>
      </c>
      <c r="I869" s="6" t="s">
        <v>3543</v>
      </c>
      <c r="J869" s="6" t="s">
        <v>3544</v>
      </c>
      <c r="K869" s="6" t="s">
        <v>131</v>
      </c>
      <c r="L869" s="6" t="s">
        <v>117</v>
      </c>
      <c r="M869" s="6" t="s">
        <v>139</v>
      </c>
      <c r="N869" s="7" t="s">
        <v>18</v>
      </c>
      <c r="O869" s="23" t="s">
        <v>3634</v>
      </c>
      <c r="P869" s="23" t="s">
        <v>3635</v>
      </c>
      <c r="Q869" s="23" t="s">
        <v>3636</v>
      </c>
      <c r="R869" s="23" t="s">
        <v>3612</v>
      </c>
      <c r="S869" s="2" t="s">
        <v>3613</v>
      </c>
      <c r="T869" s="2" t="s">
        <v>3614</v>
      </c>
      <c r="U869" s="2" t="s">
        <v>3615</v>
      </c>
      <c r="V869" s="23" t="s">
        <v>3616</v>
      </c>
      <c r="W869" s="24" t="s">
        <v>3617</v>
      </c>
      <c r="X869" s="23" t="s">
        <v>3618</v>
      </c>
      <c r="Y869" s="23" t="s">
        <v>3620</v>
      </c>
      <c r="Z869" s="23" t="s">
        <v>3621</v>
      </c>
      <c r="AA869" s="23" t="s">
        <v>3637</v>
      </c>
      <c r="AB869" s="9"/>
      <c r="AC869" s="9"/>
      <c r="AD869" s="9"/>
    </row>
    <row r="870" spans="1:30" ht="15.75" customHeight="1">
      <c r="A870" s="4" t="s">
        <v>128</v>
      </c>
      <c r="B870" s="5">
        <v>2402</v>
      </c>
      <c r="C870" s="6" t="s">
        <v>1631</v>
      </c>
      <c r="D870" s="7">
        <v>2022407190</v>
      </c>
      <c r="E870" s="7">
        <v>2201010232</v>
      </c>
      <c r="F870" s="7" t="s">
        <v>1814</v>
      </c>
      <c r="G870" s="7" t="s">
        <v>13</v>
      </c>
      <c r="H870" s="6" t="s">
        <v>1632</v>
      </c>
      <c r="I870" s="6" t="s">
        <v>3545</v>
      </c>
      <c r="J870" s="6" t="s">
        <v>3546</v>
      </c>
      <c r="K870" s="6" t="s">
        <v>131</v>
      </c>
      <c r="L870" s="6" t="s">
        <v>117</v>
      </c>
      <c r="M870" s="6" t="s">
        <v>139</v>
      </c>
      <c r="N870" s="7" t="s">
        <v>18</v>
      </c>
      <c r="O870" s="23" t="s">
        <v>3634</v>
      </c>
      <c r="P870" s="23" t="s">
        <v>3635</v>
      </c>
      <c r="Q870" s="23" t="s">
        <v>3636</v>
      </c>
      <c r="R870" s="23" t="s">
        <v>3612</v>
      </c>
      <c r="S870" s="2" t="s">
        <v>3613</v>
      </c>
      <c r="T870" s="2" t="s">
        <v>3614</v>
      </c>
      <c r="U870" s="2" t="s">
        <v>3615</v>
      </c>
      <c r="V870" s="23" t="s">
        <v>3616</v>
      </c>
      <c r="W870" s="24" t="s">
        <v>3617</v>
      </c>
      <c r="X870" s="23" t="s">
        <v>3618</v>
      </c>
      <c r="Y870" s="23" t="s">
        <v>3620</v>
      </c>
      <c r="Z870" s="23" t="s">
        <v>3621</v>
      </c>
      <c r="AA870" s="23" t="s">
        <v>3637</v>
      </c>
    </row>
    <row r="871" spans="1:30" ht="15.75" customHeight="1">
      <c r="A871" s="10" t="s">
        <v>128</v>
      </c>
      <c r="B871" s="5">
        <v>2402</v>
      </c>
      <c r="C871" s="6" t="s">
        <v>129</v>
      </c>
      <c r="D871" s="7">
        <v>2022498160</v>
      </c>
      <c r="E871" s="7">
        <v>2201010240</v>
      </c>
      <c r="F871" s="7" t="s">
        <v>1814</v>
      </c>
      <c r="G871" s="7" t="s">
        <v>13</v>
      </c>
      <c r="H871" s="6" t="s">
        <v>130</v>
      </c>
      <c r="I871" s="6" t="s">
        <v>3547</v>
      </c>
      <c r="J871" s="6" t="s">
        <v>3548</v>
      </c>
      <c r="K871" s="6" t="s">
        <v>131</v>
      </c>
      <c r="L871" s="6" t="e">
        <v>#N/A</v>
      </c>
      <c r="M871" s="6" t="e">
        <v>#N/A</v>
      </c>
      <c r="N871" s="7" t="e">
        <v>#N/A</v>
      </c>
      <c r="O871" s="23" t="s">
        <v>3634</v>
      </c>
      <c r="P871" s="23" t="s">
        <v>3635</v>
      </c>
      <c r="Q871" s="23" t="s">
        <v>3636</v>
      </c>
      <c r="R871" s="23" t="s">
        <v>3612</v>
      </c>
      <c r="S871" s="2" t="s">
        <v>3613</v>
      </c>
      <c r="T871" s="2" t="s">
        <v>3614</v>
      </c>
      <c r="U871" s="2" t="s">
        <v>3615</v>
      </c>
      <c r="V871" s="23" t="s">
        <v>3616</v>
      </c>
      <c r="W871" s="24" t="s">
        <v>3617</v>
      </c>
      <c r="X871" s="23" t="s">
        <v>3618</v>
      </c>
      <c r="Y871" s="23" t="s">
        <v>3620</v>
      </c>
      <c r="Z871" s="23" t="s">
        <v>3621</v>
      </c>
      <c r="AA871" s="23" t="s">
        <v>3637</v>
      </c>
    </row>
    <row r="872" spans="1:30" ht="15.75" customHeight="1">
      <c r="A872" s="10" t="s">
        <v>128</v>
      </c>
      <c r="B872" s="5">
        <v>2402</v>
      </c>
      <c r="C872" s="6" t="s">
        <v>895</v>
      </c>
      <c r="D872" s="7">
        <v>2022319788</v>
      </c>
      <c r="E872" s="7">
        <v>2201010248</v>
      </c>
      <c r="F872" s="7" t="s">
        <v>1814</v>
      </c>
      <c r="G872" s="7" t="s">
        <v>13</v>
      </c>
      <c r="H872" s="6" t="s">
        <v>896</v>
      </c>
      <c r="I872" s="6" t="s">
        <v>3549</v>
      </c>
      <c r="J872" s="6" t="s">
        <v>3550</v>
      </c>
      <c r="K872" s="6" t="s">
        <v>131</v>
      </c>
      <c r="L872" s="6" t="s">
        <v>117</v>
      </c>
      <c r="M872" s="6" t="s">
        <v>149</v>
      </c>
      <c r="N872" s="7" t="s">
        <v>18</v>
      </c>
      <c r="O872" s="23" t="s">
        <v>3634</v>
      </c>
      <c r="P872" s="23" t="s">
        <v>3635</v>
      </c>
      <c r="Q872" s="23" t="s">
        <v>3636</v>
      </c>
      <c r="R872" s="23" t="s">
        <v>3612</v>
      </c>
      <c r="S872" s="2" t="s">
        <v>3613</v>
      </c>
      <c r="T872" s="2" t="s">
        <v>3614</v>
      </c>
      <c r="U872" s="2" t="s">
        <v>3615</v>
      </c>
      <c r="V872" s="23" t="s">
        <v>3616</v>
      </c>
      <c r="W872" s="24" t="s">
        <v>3617</v>
      </c>
      <c r="X872" s="23" t="s">
        <v>3618</v>
      </c>
      <c r="Y872" s="23" t="s">
        <v>3620</v>
      </c>
      <c r="Z872" s="23" t="s">
        <v>3621</v>
      </c>
      <c r="AA872" s="23" t="s">
        <v>3637</v>
      </c>
    </row>
    <row r="873" spans="1:30" ht="15.75" customHeight="1">
      <c r="A873" s="4" t="s">
        <v>128</v>
      </c>
      <c r="B873" s="5">
        <v>2402</v>
      </c>
      <c r="C873" s="6" t="s">
        <v>1627</v>
      </c>
      <c r="D873" s="7">
        <v>2022395985</v>
      </c>
      <c r="E873" s="7">
        <v>2201010258</v>
      </c>
      <c r="F873" s="7" t="s">
        <v>1814</v>
      </c>
      <c r="G873" s="7" t="s">
        <v>13</v>
      </c>
      <c r="H873" s="6" t="s">
        <v>1628</v>
      </c>
      <c r="I873" s="6" t="s">
        <v>3551</v>
      </c>
      <c r="J873" s="6" t="s">
        <v>3552</v>
      </c>
      <c r="K873" s="6" t="s">
        <v>131</v>
      </c>
      <c r="L873" s="6" t="s">
        <v>117</v>
      </c>
      <c r="M873" s="6" t="s">
        <v>117</v>
      </c>
      <c r="N873" s="7" t="s">
        <v>18</v>
      </c>
      <c r="O873" s="23" t="s">
        <v>3634</v>
      </c>
      <c r="P873" s="23" t="s">
        <v>3635</v>
      </c>
      <c r="Q873" s="23" t="s">
        <v>3636</v>
      </c>
      <c r="R873" s="23" t="s">
        <v>3612</v>
      </c>
      <c r="S873" s="2" t="s">
        <v>3613</v>
      </c>
      <c r="T873" s="2" t="s">
        <v>3614</v>
      </c>
      <c r="U873" s="2" t="s">
        <v>3615</v>
      </c>
      <c r="V873" s="23" t="s">
        <v>3616</v>
      </c>
      <c r="W873" s="24" t="s">
        <v>3617</v>
      </c>
      <c r="X873" s="23" t="s">
        <v>3618</v>
      </c>
      <c r="Y873" s="23" t="s">
        <v>3620</v>
      </c>
      <c r="Z873" s="23" t="s">
        <v>3621</v>
      </c>
      <c r="AA873" s="23" t="s">
        <v>3637</v>
      </c>
    </row>
    <row r="874" spans="1:30" ht="15.75" customHeight="1">
      <c r="A874" s="4" t="s">
        <v>128</v>
      </c>
      <c r="B874" s="5">
        <v>2402</v>
      </c>
      <c r="C874" s="6" t="s">
        <v>1667</v>
      </c>
      <c r="D874" s="7">
        <v>2022552126</v>
      </c>
      <c r="E874" s="7">
        <v>2201010260</v>
      </c>
      <c r="F874" s="7" t="s">
        <v>1814</v>
      </c>
      <c r="G874" s="7" t="s">
        <v>13</v>
      </c>
      <c r="H874" s="6" t="s">
        <v>1668</v>
      </c>
      <c r="I874" s="6" t="s">
        <v>3553</v>
      </c>
      <c r="J874" s="6" t="s">
        <v>3554</v>
      </c>
      <c r="K874" s="6" t="s">
        <v>131</v>
      </c>
      <c r="L874" s="6" t="e">
        <v>#N/A</v>
      </c>
      <c r="M874" s="6" t="e">
        <v>#N/A</v>
      </c>
      <c r="N874" s="7" t="e">
        <v>#N/A</v>
      </c>
      <c r="O874" s="23" t="s">
        <v>3634</v>
      </c>
      <c r="P874" s="23" t="s">
        <v>3635</v>
      </c>
      <c r="Q874" s="23" t="s">
        <v>3636</v>
      </c>
      <c r="R874" s="23" t="s">
        <v>3612</v>
      </c>
      <c r="S874" s="2" t="s">
        <v>3613</v>
      </c>
      <c r="T874" s="2" t="s">
        <v>3614</v>
      </c>
      <c r="U874" s="2" t="s">
        <v>3615</v>
      </c>
      <c r="V874" s="23" t="s">
        <v>3616</v>
      </c>
      <c r="W874" s="24" t="s">
        <v>3617</v>
      </c>
      <c r="X874" s="23" t="s">
        <v>3618</v>
      </c>
      <c r="Y874" s="23" t="s">
        <v>3620</v>
      </c>
      <c r="Z874" s="23" t="s">
        <v>3621</v>
      </c>
      <c r="AA874" s="23" t="s">
        <v>3637</v>
      </c>
    </row>
    <row r="875" spans="1:30" ht="15.75" customHeight="1">
      <c r="A875" s="4" t="s">
        <v>128</v>
      </c>
      <c r="B875" s="5">
        <v>2402</v>
      </c>
      <c r="C875" s="6" t="s">
        <v>1657</v>
      </c>
      <c r="D875" s="7">
        <v>2022508051</v>
      </c>
      <c r="E875" s="7">
        <v>2201010301</v>
      </c>
      <c r="F875" s="7" t="s">
        <v>1814</v>
      </c>
      <c r="G875" s="7" t="s">
        <v>13</v>
      </c>
      <c r="H875" s="6" t="s">
        <v>1658</v>
      </c>
      <c r="I875" s="6" t="s">
        <v>3555</v>
      </c>
      <c r="J875" s="6" t="s">
        <v>3556</v>
      </c>
      <c r="K875" s="6" t="s">
        <v>131</v>
      </c>
      <c r="L875" s="6" t="e">
        <v>#N/A</v>
      </c>
      <c r="M875" s="6" t="e">
        <v>#N/A</v>
      </c>
      <c r="N875" s="7" t="e">
        <v>#N/A</v>
      </c>
      <c r="O875" s="23" t="s">
        <v>3634</v>
      </c>
      <c r="P875" s="23" t="s">
        <v>3635</v>
      </c>
      <c r="Q875" s="23" t="s">
        <v>3636</v>
      </c>
      <c r="R875" s="23" t="s">
        <v>3612</v>
      </c>
      <c r="S875" s="2" t="s">
        <v>3613</v>
      </c>
      <c r="T875" s="2" t="s">
        <v>3614</v>
      </c>
      <c r="U875" s="2" t="s">
        <v>3615</v>
      </c>
      <c r="V875" s="23" t="s">
        <v>3616</v>
      </c>
      <c r="W875" s="24" t="s">
        <v>3617</v>
      </c>
      <c r="X875" s="23" t="s">
        <v>3618</v>
      </c>
      <c r="Y875" s="23" t="s">
        <v>3620</v>
      </c>
      <c r="Z875" s="23" t="s">
        <v>3621</v>
      </c>
      <c r="AA875" s="23" t="s">
        <v>3637</v>
      </c>
    </row>
    <row r="876" spans="1:30" ht="15.75" customHeight="1">
      <c r="A876" s="4" t="s">
        <v>128</v>
      </c>
      <c r="B876" s="5">
        <v>2402</v>
      </c>
      <c r="C876" s="6" t="s">
        <v>1621</v>
      </c>
      <c r="D876" s="7">
        <v>2022346529</v>
      </c>
      <c r="E876" s="7">
        <v>2201010324</v>
      </c>
      <c r="F876" s="7" t="s">
        <v>1814</v>
      </c>
      <c r="G876" s="7" t="s">
        <v>13</v>
      </c>
      <c r="H876" s="6" t="s">
        <v>1622</v>
      </c>
      <c r="I876" s="6" t="s">
        <v>3557</v>
      </c>
      <c r="J876" s="6" t="s">
        <v>3558</v>
      </c>
      <c r="K876" s="6" t="s">
        <v>131</v>
      </c>
      <c r="L876" s="6" t="s">
        <v>117</v>
      </c>
      <c r="M876" s="6" t="s">
        <v>21</v>
      </c>
      <c r="N876" s="7" t="s">
        <v>18</v>
      </c>
      <c r="O876" s="23" t="s">
        <v>3634</v>
      </c>
      <c r="P876" s="23" t="s">
        <v>3635</v>
      </c>
      <c r="Q876" s="23" t="s">
        <v>3636</v>
      </c>
      <c r="R876" s="23" t="s">
        <v>3612</v>
      </c>
      <c r="S876" s="2" t="s">
        <v>3613</v>
      </c>
      <c r="T876" s="2" t="s">
        <v>3614</v>
      </c>
      <c r="U876" s="2" t="s">
        <v>3615</v>
      </c>
      <c r="V876" s="23" t="s">
        <v>3616</v>
      </c>
      <c r="W876" s="24" t="s">
        <v>3617</v>
      </c>
      <c r="X876" s="23" t="s">
        <v>3618</v>
      </c>
      <c r="Y876" s="23" t="s">
        <v>3620</v>
      </c>
      <c r="Z876" s="23" t="s">
        <v>3621</v>
      </c>
      <c r="AA876" s="23" t="s">
        <v>3637</v>
      </c>
    </row>
    <row r="877" spans="1:30" ht="15.75" customHeight="1">
      <c r="A877" s="4" t="s">
        <v>128</v>
      </c>
      <c r="B877" s="5">
        <v>2402</v>
      </c>
      <c r="C877" s="6" t="s">
        <v>1677</v>
      </c>
      <c r="D877" s="7">
        <v>2022806985</v>
      </c>
      <c r="E877" s="7">
        <v>2201010394</v>
      </c>
      <c r="F877" s="7" t="s">
        <v>1814</v>
      </c>
      <c r="G877" s="7" t="s">
        <v>13</v>
      </c>
      <c r="H877" s="6" t="s">
        <v>1678</v>
      </c>
      <c r="I877" s="6" t="s">
        <v>3559</v>
      </c>
      <c r="J877" s="6" t="s">
        <v>3560</v>
      </c>
      <c r="K877" s="6" t="s">
        <v>131</v>
      </c>
      <c r="L877" s="6" t="s">
        <v>117</v>
      </c>
      <c r="M877" s="6" t="s">
        <v>117</v>
      </c>
      <c r="N877" s="7" t="s">
        <v>18</v>
      </c>
      <c r="O877" s="23" t="s">
        <v>3634</v>
      </c>
      <c r="P877" s="23" t="s">
        <v>3635</v>
      </c>
      <c r="Q877" s="23" t="s">
        <v>3636</v>
      </c>
      <c r="R877" s="23" t="s">
        <v>3612</v>
      </c>
      <c r="S877" s="2" t="s">
        <v>3613</v>
      </c>
      <c r="T877" s="2" t="s">
        <v>3614</v>
      </c>
      <c r="U877" s="2" t="s">
        <v>3615</v>
      </c>
      <c r="V877" s="23" t="s">
        <v>3616</v>
      </c>
      <c r="W877" s="24" t="s">
        <v>3617</v>
      </c>
      <c r="X877" s="23" t="s">
        <v>3618</v>
      </c>
      <c r="Y877" s="23" t="s">
        <v>3620</v>
      </c>
      <c r="Z877" s="23" t="s">
        <v>3621</v>
      </c>
      <c r="AA877" s="23" t="s">
        <v>3637</v>
      </c>
    </row>
    <row r="878" spans="1:30" ht="15.75" customHeight="1">
      <c r="A878" s="4" t="s">
        <v>128</v>
      </c>
      <c r="B878" s="5">
        <v>2402</v>
      </c>
      <c r="C878" s="6" t="s">
        <v>1647</v>
      </c>
      <c r="D878" s="7">
        <v>2022476924</v>
      </c>
      <c r="E878" s="7">
        <v>2201010449</v>
      </c>
      <c r="F878" s="7" t="s">
        <v>1814</v>
      </c>
      <c r="G878" s="7" t="s">
        <v>13</v>
      </c>
      <c r="H878" s="6" t="s">
        <v>1648</v>
      </c>
      <c r="I878" s="6" t="s">
        <v>3561</v>
      </c>
      <c r="J878" s="6" t="s">
        <v>3562</v>
      </c>
      <c r="K878" s="6" t="s">
        <v>131</v>
      </c>
      <c r="L878" s="6" t="s">
        <v>117</v>
      </c>
      <c r="M878" s="6" t="s">
        <v>104</v>
      </c>
      <c r="N878" s="7" t="s">
        <v>18</v>
      </c>
      <c r="O878" s="23" t="s">
        <v>3634</v>
      </c>
      <c r="P878" s="23" t="s">
        <v>3635</v>
      </c>
      <c r="Q878" s="23" t="s">
        <v>3636</v>
      </c>
      <c r="R878" s="23" t="s">
        <v>3612</v>
      </c>
      <c r="S878" s="2" t="s">
        <v>3613</v>
      </c>
      <c r="T878" s="2" t="s">
        <v>3614</v>
      </c>
      <c r="U878" s="2" t="s">
        <v>3615</v>
      </c>
      <c r="V878" s="23" t="s">
        <v>3616</v>
      </c>
      <c r="W878" s="24" t="s">
        <v>3617</v>
      </c>
      <c r="X878" s="23" t="s">
        <v>3618</v>
      </c>
      <c r="Y878" s="23" t="s">
        <v>3620</v>
      </c>
      <c r="Z878" s="23" t="s">
        <v>3621</v>
      </c>
      <c r="AA878" s="23" t="s">
        <v>3637</v>
      </c>
    </row>
    <row r="879" spans="1:30" ht="15.75" customHeight="1">
      <c r="A879" s="4" t="s">
        <v>128</v>
      </c>
      <c r="B879" s="5">
        <v>2402</v>
      </c>
      <c r="C879" s="6" t="s">
        <v>1600</v>
      </c>
      <c r="D879" s="7">
        <v>2022004628</v>
      </c>
      <c r="E879" s="7">
        <v>2201010465</v>
      </c>
      <c r="F879" s="7" t="s">
        <v>1814</v>
      </c>
      <c r="G879" s="7" t="s">
        <v>13</v>
      </c>
      <c r="H879" s="6" t="s">
        <v>1601</v>
      </c>
      <c r="I879" s="6" t="s">
        <v>3563</v>
      </c>
      <c r="J879" s="6" t="s">
        <v>3564</v>
      </c>
      <c r="K879" s="6" t="s">
        <v>131</v>
      </c>
      <c r="L879" s="6" t="s">
        <v>117</v>
      </c>
      <c r="M879" s="6" t="s">
        <v>139</v>
      </c>
      <c r="N879" s="7" t="s">
        <v>18</v>
      </c>
      <c r="O879" s="23" t="s">
        <v>3634</v>
      </c>
      <c r="P879" s="23" t="s">
        <v>3635</v>
      </c>
      <c r="Q879" s="23" t="s">
        <v>3636</v>
      </c>
      <c r="R879" s="23" t="s">
        <v>3612</v>
      </c>
      <c r="S879" s="2" t="s">
        <v>3613</v>
      </c>
      <c r="T879" s="2" t="s">
        <v>3614</v>
      </c>
      <c r="U879" s="2" t="s">
        <v>3615</v>
      </c>
      <c r="V879" s="23" t="s">
        <v>3616</v>
      </c>
      <c r="W879" s="24" t="s">
        <v>3617</v>
      </c>
      <c r="X879" s="23" t="s">
        <v>3618</v>
      </c>
      <c r="Y879" s="23" t="s">
        <v>3620</v>
      </c>
      <c r="Z879" s="23" t="s">
        <v>3621</v>
      </c>
      <c r="AA879" s="23" t="s">
        <v>3637</v>
      </c>
    </row>
    <row r="880" spans="1:30" ht="15.75" customHeight="1">
      <c r="A880" s="4" t="s">
        <v>128</v>
      </c>
      <c r="B880" s="5">
        <v>2402</v>
      </c>
      <c r="C880" s="6" t="s">
        <v>1665</v>
      </c>
      <c r="D880" s="7">
        <v>2022515845</v>
      </c>
      <c r="E880" s="7">
        <v>2201010470</v>
      </c>
      <c r="F880" s="7" t="s">
        <v>1814</v>
      </c>
      <c r="G880" s="7" t="s">
        <v>13</v>
      </c>
      <c r="H880" s="6" t="s">
        <v>1666</v>
      </c>
      <c r="I880" s="6" t="s">
        <v>3565</v>
      </c>
      <c r="J880" s="6" t="s">
        <v>3566</v>
      </c>
      <c r="K880" s="6" t="s">
        <v>131</v>
      </c>
      <c r="L880" s="6" t="e">
        <v>#N/A</v>
      </c>
      <c r="M880" s="6" t="e">
        <v>#N/A</v>
      </c>
      <c r="N880" s="7" t="e">
        <v>#N/A</v>
      </c>
      <c r="O880" s="23" t="s">
        <v>3634</v>
      </c>
      <c r="P880" s="23" t="s">
        <v>3635</v>
      </c>
      <c r="Q880" s="23" t="s">
        <v>3636</v>
      </c>
      <c r="R880" s="23" t="s">
        <v>3612</v>
      </c>
      <c r="S880" s="2" t="s">
        <v>3613</v>
      </c>
      <c r="T880" s="2" t="s">
        <v>3614</v>
      </c>
      <c r="U880" s="2" t="s">
        <v>3615</v>
      </c>
      <c r="V880" s="23" t="s">
        <v>3616</v>
      </c>
      <c r="W880" s="24" t="s">
        <v>3617</v>
      </c>
      <c r="X880" s="23" t="s">
        <v>3618</v>
      </c>
      <c r="Y880" s="23" t="s">
        <v>3620</v>
      </c>
      <c r="Z880" s="23" t="s">
        <v>3621</v>
      </c>
      <c r="AA880" s="23" t="s">
        <v>3637</v>
      </c>
    </row>
    <row r="881" spans="1:27" ht="15.75" customHeight="1">
      <c r="A881" s="4" t="s">
        <v>128</v>
      </c>
      <c r="B881" s="5">
        <v>2402</v>
      </c>
      <c r="C881" s="6" t="s">
        <v>1661</v>
      </c>
      <c r="D881" s="7">
        <v>2022512684</v>
      </c>
      <c r="E881" s="7">
        <v>2201010493</v>
      </c>
      <c r="F881" s="7" t="s">
        <v>1814</v>
      </c>
      <c r="G881" s="7" t="s">
        <v>13</v>
      </c>
      <c r="H881" s="6" t="s">
        <v>1662</v>
      </c>
      <c r="I881" s="6" t="s">
        <v>3567</v>
      </c>
      <c r="J881" s="6" t="s">
        <v>3568</v>
      </c>
      <c r="K881" s="6" t="s">
        <v>131</v>
      </c>
      <c r="L881" s="6" t="s">
        <v>117</v>
      </c>
      <c r="M881" s="6" t="s">
        <v>26</v>
      </c>
      <c r="N881" s="7" t="s">
        <v>18</v>
      </c>
      <c r="O881" s="23" t="s">
        <v>3634</v>
      </c>
      <c r="P881" s="23" t="s">
        <v>3635</v>
      </c>
      <c r="Q881" s="23" t="s">
        <v>3636</v>
      </c>
      <c r="R881" s="23" t="s">
        <v>3612</v>
      </c>
      <c r="S881" s="2" t="s">
        <v>3613</v>
      </c>
      <c r="T881" s="2" t="s">
        <v>3614</v>
      </c>
      <c r="U881" s="2" t="s">
        <v>3615</v>
      </c>
      <c r="V881" s="23" t="s">
        <v>3616</v>
      </c>
      <c r="W881" s="24" t="s">
        <v>3617</v>
      </c>
      <c r="X881" s="23" t="s">
        <v>3618</v>
      </c>
      <c r="Y881" s="23" t="s">
        <v>3620</v>
      </c>
      <c r="Z881" s="23" t="s">
        <v>3621</v>
      </c>
      <c r="AA881" s="23" t="s">
        <v>3637</v>
      </c>
    </row>
    <row r="882" spans="1:27" ht="15.75" customHeight="1">
      <c r="A882" s="4" t="s">
        <v>128</v>
      </c>
      <c r="B882" s="5">
        <v>2402</v>
      </c>
      <c r="C882" s="6" t="s">
        <v>1619</v>
      </c>
      <c r="D882" s="7">
        <v>2022313141</v>
      </c>
      <c r="E882" s="7">
        <v>2201010511</v>
      </c>
      <c r="F882" s="7" t="s">
        <v>1814</v>
      </c>
      <c r="G882" s="7" t="s">
        <v>13</v>
      </c>
      <c r="H882" s="6" t="s">
        <v>1620</v>
      </c>
      <c r="I882" s="6" t="s">
        <v>3569</v>
      </c>
      <c r="J882" s="6" t="s">
        <v>3570</v>
      </c>
      <c r="K882" s="6" t="s">
        <v>131</v>
      </c>
      <c r="L882" s="6" t="s">
        <v>117</v>
      </c>
      <c r="M882" s="6" t="s">
        <v>104</v>
      </c>
      <c r="N882" s="7" t="s">
        <v>18</v>
      </c>
      <c r="O882" s="23" t="s">
        <v>3634</v>
      </c>
      <c r="P882" s="23" t="s">
        <v>3635</v>
      </c>
      <c r="Q882" s="23" t="s">
        <v>3636</v>
      </c>
      <c r="R882" s="23" t="s">
        <v>3612</v>
      </c>
      <c r="S882" s="2" t="s">
        <v>3613</v>
      </c>
      <c r="T882" s="2" t="s">
        <v>3614</v>
      </c>
      <c r="U882" s="2" t="s">
        <v>3615</v>
      </c>
      <c r="V882" s="23" t="s">
        <v>3616</v>
      </c>
      <c r="W882" s="24" t="s">
        <v>3617</v>
      </c>
      <c r="X882" s="23" t="s">
        <v>3618</v>
      </c>
      <c r="Y882" s="23" t="s">
        <v>3620</v>
      </c>
      <c r="Z882" s="23" t="s">
        <v>3621</v>
      </c>
      <c r="AA882" s="23" t="s">
        <v>3637</v>
      </c>
    </row>
    <row r="883" spans="1:27" ht="15.75" customHeight="1">
      <c r="A883" s="4" t="s">
        <v>128</v>
      </c>
      <c r="B883" s="5">
        <v>2402</v>
      </c>
      <c r="C883" s="6" t="s">
        <v>1649</v>
      </c>
      <c r="D883" s="7">
        <v>2022482472</v>
      </c>
      <c r="E883" s="7">
        <v>2201010542</v>
      </c>
      <c r="F883" s="7" t="s">
        <v>1814</v>
      </c>
      <c r="G883" s="7" t="s">
        <v>13</v>
      </c>
      <c r="H883" s="6" t="s">
        <v>1650</v>
      </c>
      <c r="I883" s="6" t="s">
        <v>3571</v>
      </c>
      <c r="J883" s="6" t="s">
        <v>3572</v>
      </c>
      <c r="K883" s="6" t="s">
        <v>131</v>
      </c>
      <c r="L883" s="6" t="s">
        <v>117</v>
      </c>
      <c r="M883" s="6" t="s">
        <v>117</v>
      </c>
      <c r="N883" s="7" t="s">
        <v>18</v>
      </c>
      <c r="O883" s="23" t="s">
        <v>3634</v>
      </c>
      <c r="P883" s="23" t="s">
        <v>3635</v>
      </c>
      <c r="Q883" s="23" t="s">
        <v>3636</v>
      </c>
      <c r="R883" s="23" t="s">
        <v>3612</v>
      </c>
      <c r="S883" s="2" t="s">
        <v>3613</v>
      </c>
      <c r="T883" s="2" t="s">
        <v>3614</v>
      </c>
      <c r="U883" s="2" t="s">
        <v>3615</v>
      </c>
      <c r="V883" s="23" t="s">
        <v>3616</v>
      </c>
      <c r="W883" s="24" t="s">
        <v>3617</v>
      </c>
      <c r="X883" s="23" t="s">
        <v>3618</v>
      </c>
      <c r="Y883" s="23" t="s">
        <v>3620</v>
      </c>
      <c r="Z883" s="23" t="s">
        <v>3621</v>
      </c>
      <c r="AA883" s="23" t="s">
        <v>3637</v>
      </c>
    </row>
    <row r="884" spans="1:27" ht="15.75" customHeight="1">
      <c r="A884" s="4" t="s">
        <v>128</v>
      </c>
      <c r="B884" s="5">
        <v>2402</v>
      </c>
      <c r="C884" s="6" t="s">
        <v>1605</v>
      </c>
      <c r="D884" s="7">
        <v>2022005894</v>
      </c>
      <c r="E884" s="7">
        <v>2201010554</v>
      </c>
      <c r="F884" s="7" t="s">
        <v>1814</v>
      </c>
      <c r="G884" s="7" t="s">
        <v>13</v>
      </c>
      <c r="H884" s="6" t="s">
        <v>1606</v>
      </c>
      <c r="I884" s="6" t="s">
        <v>3573</v>
      </c>
      <c r="J884" s="6" t="s">
        <v>3574</v>
      </c>
      <c r="K884" s="6" t="s">
        <v>131</v>
      </c>
      <c r="L884" s="6" t="s">
        <v>117</v>
      </c>
      <c r="M884" s="6" t="s">
        <v>117</v>
      </c>
      <c r="N884" s="7" t="s">
        <v>18</v>
      </c>
      <c r="O884" s="23" t="s">
        <v>3634</v>
      </c>
      <c r="P884" s="23" t="s">
        <v>3635</v>
      </c>
      <c r="Q884" s="23" t="s">
        <v>3636</v>
      </c>
      <c r="R884" s="23" t="s">
        <v>3612</v>
      </c>
      <c r="S884" s="2" t="s">
        <v>3613</v>
      </c>
      <c r="T884" s="2" t="s">
        <v>3614</v>
      </c>
      <c r="U884" s="2" t="s">
        <v>3615</v>
      </c>
      <c r="V884" s="23" t="s">
        <v>3616</v>
      </c>
      <c r="W884" s="24" t="s">
        <v>3617</v>
      </c>
      <c r="X884" s="23" t="s">
        <v>3618</v>
      </c>
      <c r="Y884" s="23" t="s">
        <v>3620</v>
      </c>
      <c r="Z884" s="23" t="s">
        <v>3621</v>
      </c>
      <c r="AA884" s="23" t="s">
        <v>3637</v>
      </c>
    </row>
    <row r="885" spans="1:27" ht="15.75" customHeight="1">
      <c r="A885" s="4" t="s">
        <v>128</v>
      </c>
      <c r="B885" s="5">
        <v>2402</v>
      </c>
      <c r="C885" s="6" t="s">
        <v>1655</v>
      </c>
      <c r="D885" s="7">
        <v>2022506566</v>
      </c>
      <c r="E885" s="7">
        <v>2201010610</v>
      </c>
      <c r="F885" s="7" t="s">
        <v>1814</v>
      </c>
      <c r="G885" s="7" t="s">
        <v>13</v>
      </c>
      <c r="H885" s="6" t="s">
        <v>1656</v>
      </c>
      <c r="I885" s="6" t="s">
        <v>3575</v>
      </c>
      <c r="J885" s="6" t="s">
        <v>3576</v>
      </c>
      <c r="K885" s="6" t="s">
        <v>131</v>
      </c>
      <c r="L885" s="6" t="s">
        <v>117</v>
      </c>
      <c r="M885" s="6" t="s">
        <v>49</v>
      </c>
      <c r="N885" s="7" t="s">
        <v>18</v>
      </c>
      <c r="O885" s="23" t="s">
        <v>3634</v>
      </c>
      <c r="P885" s="23" t="s">
        <v>3635</v>
      </c>
      <c r="Q885" s="23" t="s">
        <v>3636</v>
      </c>
      <c r="R885" s="23" t="s">
        <v>3612</v>
      </c>
      <c r="S885" s="2" t="s">
        <v>3613</v>
      </c>
      <c r="T885" s="2" t="s">
        <v>3614</v>
      </c>
      <c r="U885" s="2" t="s">
        <v>3615</v>
      </c>
      <c r="V885" s="23" t="s">
        <v>3616</v>
      </c>
      <c r="W885" s="24" t="s">
        <v>3617</v>
      </c>
      <c r="X885" s="23" t="s">
        <v>3618</v>
      </c>
      <c r="Y885" s="23" t="s">
        <v>3620</v>
      </c>
      <c r="Z885" s="23" t="s">
        <v>3621</v>
      </c>
      <c r="AA885" s="23" t="s">
        <v>3637</v>
      </c>
    </row>
    <row r="886" spans="1:27" ht="15.75" customHeight="1">
      <c r="A886" s="4" t="s">
        <v>128</v>
      </c>
      <c r="B886" s="5">
        <v>2402</v>
      </c>
      <c r="C886" s="6" t="s">
        <v>1659</v>
      </c>
      <c r="D886" s="7">
        <v>2022509145</v>
      </c>
      <c r="E886" s="7">
        <v>2201010627</v>
      </c>
      <c r="F886" s="7" t="s">
        <v>1814</v>
      </c>
      <c r="G886" s="7" t="s">
        <v>13</v>
      </c>
      <c r="H886" s="6" t="s">
        <v>1660</v>
      </c>
      <c r="I886" s="6" t="s">
        <v>3577</v>
      </c>
      <c r="J886" s="6" t="s">
        <v>3578</v>
      </c>
      <c r="K886" s="6" t="s">
        <v>131</v>
      </c>
      <c r="L886" s="6" t="s">
        <v>117</v>
      </c>
      <c r="M886" s="6" t="s">
        <v>117</v>
      </c>
      <c r="N886" s="7" t="s">
        <v>18</v>
      </c>
      <c r="O886" s="23" t="s">
        <v>3634</v>
      </c>
      <c r="P886" s="23" t="s">
        <v>3635</v>
      </c>
      <c r="Q886" s="23" t="s">
        <v>3636</v>
      </c>
      <c r="R886" s="23" t="s">
        <v>3612</v>
      </c>
      <c r="S886" s="2" t="s">
        <v>3613</v>
      </c>
      <c r="T886" s="2" t="s">
        <v>3614</v>
      </c>
      <c r="U886" s="2" t="s">
        <v>3615</v>
      </c>
      <c r="V886" s="23" t="s">
        <v>3616</v>
      </c>
      <c r="W886" s="24" t="s">
        <v>3617</v>
      </c>
      <c r="X886" s="23" t="s">
        <v>3618</v>
      </c>
      <c r="Y886" s="23" t="s">
        <v>3620</v>
      </c>
      <c r="Z886" s="23" t="s">
        <v>3621</v>
      </c>
      <c r="AA886" s="23" t="s">
        <v>3637</v>
      </c>
    </row>
    <row r="887" spans="1:27" ht="15.75" customHeight="1">
      <c r="A887" s="10" t="s">
        <v>128</v>
      </c>
      <c r="B887" s="5">
        <v>2402</v>
      </c>
      <c r="C887" s="6" t="s">
        <v>1391</v>
      </c>
      <c r="D887" s="7">
        <v>2022001202</v>
      </c>
      <c r="E887" s="7">
        <v>2201010640</v>
      </c>
      <c r="F887" s="7" t="s">
        <v>1814</v>
      </c>
      <c r="G887" s="7" t="s">
        <v>13</v>
      </c>
      <c r="H887" s="6" t="s">
        <v>1392</v>
      </c>
      <c r="I887" s="6" t="s">
        <v>3579</v>
      </c>
      <c r="J887" s="6" t="s">
        <v>3580</v>
      </c>
      <c r="K887" s="6" t="s">
        <v>131</v>
      </c>
      <c r="L887" s="6" t="s">
        <v>16</v>
      </c>
      <c r="M887" s="6" t="s">
        <v>117</v>
      </c>
      <c r="N887" s="7" t="s">
        <v>18</v>
      </c>
      <c r="O887" s="23" t="s">
        <v>3634</v>
      </c>
      <c r="P887" s="23" t="s">
        <v>3635</v>
      </c>
      <c r="Q887" s="23" t="s">
        <v>3636</v>
      </c>
      <c r="R887" s="23" t="s">
        <v>3612</v>
      </c>
      <c r="S887" s="2" t="s">
        <v>3613</v>
      </c>
      <c r="T887" s="2" t="s">
        <v>3614</v>
      </c>
      <c r="U887" s="2" t="s">
        <v>3615</v>
      </c>
      <c r="V887" s="23" t="s">
        <v>3616</v>
      </c>
      <c r="W887" s="24" t="s">
        <v>3617</v>
      </c>
      <c r="X887" s="23" t="s">
        <v>3618</v>
      </c>
      <c r="Y887" s="23" t="s">
        <v>3620</v>
      </c>
      <c r="Z887" s="23" t="s">
        <v>3621</v>
      </c>
      <c r="AA887" s="23" t="s">
        <v>3637</v>
      </c>
    </row>
    <row r="888" spans="1:27" ht="15.75" customHeight="1">
      <c r="A888" s="4" t="s">
        <v>128</v>
      </c>
      <c r="B888" s="5">
        <v>2402</v>
      </c>
      <c r="C888" s="6" t="s">
        <v>1603</v>
      </c>
      <c r="D888" s="7">
        <v>2022005556</v>
      </c>
      <c r="E888" s="7">
        <v>2201010703</v>
      </c>
      <c r="F888" s="7" t="s">
        <v>1814</v>
      </c>
      <c r="G888" s="7" t="s">
        <v>13</v>
      </c>
      <c r="H888" s="6" t="s">
        <v>1604</v>
      </c>
      <c r="I888" s="6" t="s">
        <v>3581</v>
      </c>
      <c r="J888" s="6" t="s">
        <v>3582</v>
      </c>
      <c r="K888" s="6" t="s">
        <v>131</v>
      </c>
      <c r="L888" s="6" t="s">
        <v>117</v>
      </c>
      <c r="M888" s="6" t="s">
        <v>104</v>
      </c>
      <c r="N888" s="7" t="s">
        <v>18</v>
      </c>
      <c r="O888" s="23" t="s">
        <v>3634</v>
      </c>
      <c r="P888" s="23" t="s">
        <v>3635</v>
      </c>
      <c r="Q888" s="23" t="s">
        <v>3636</v>
      </c>
      <c r="R888" s="23" t="s">
        <v>3612</v>
      </c>
      <c r="S888" s="2" t="s">
        <v>3613</v>
      </c>
      <c r="T888" s="2" t="s">
        <v>3614</v>
      </c>
      <c r="U888" s="2" t="s">
        <v>3615</v>
      </c>
      <c r="V888" s="23" t="s">
        <v>3616</v>
      </c>
      <c r="W888" s="24" t="s">
        <v>3617</v>
      </c>
      <c r="X888" s="23" t="s">
        <v>3618</v>
      </c>
      <c r="Y888" s="23" t="s">
        <v>3620</v>
      </c>
      <c r="Z888" s="23" t="s">
        <v>3621</v>
      </c>
      <c r="AA888" s="23" t="s">
        <v>3637</v>
      </c>
    </row>
    <row r="889" spans="1:27" ht="15.75" customHeight="1">
      <c r="A889" s="4" t="s">
        <v>128</v>
      </c>
      <c r="B889" s="5">
        <v>2402</v>
      </c>
      <c r="C889" s="6" t="s">
        <v>1623</v>
      </c>
      <c r="D889" s="7">
        <v>2022350649</v>
      </c>
      <c r="E889" s="7">
        <v>2201010714</v>
      </c>
      <c r="F889" s="7" t="s">
        <v>1814</v>
      </c>
      <c r="G889" s="7" t="s">
        <v>13</v>
      </c>
      <c r="H889" s="6" t="s">
        <v>1624</v>
      </c>
      <c r="I889" s="6" t="s">
        <v>3583</v>
      </c>
      <c r="J889" s="6" t="s">
        <v>3584</v>
      </c>
      <c r="K889" s="6" t="s">
        <v>131</v>
      </c>
      <c r="L889" s="6" t="s">
        <v>117</v>
      </c>
      <c r="M889" s="6" t="s">
        <v>16</v>
      </c>
      <c r="N889" s="7" t="s">
        <v>18</v>
      </c>
      <c r="O889" s="23" t="s">
        <v>3634</v>
      </c>
      <c r="P889" s="23" t="s">
        <v>3635</v>
      </c>
      <c r="Q889" s="23" t="s">
        <v>3636</v>
      </c>
      <c r="R889" s="23" t="s">
        <v>3612</v>
      </c>
      <c r="S889" s="2" t="s">
        <v>3613</v>
      </c>
      <c r="T889" s="2" t="s">
        <v>3614</v>
      </c>
      <c r="U889" s="2" t="s">
        <v>3615</v>
      </c>
      <c r="V889" s="23" t="s">
        <v>3616</v>
      </c>
      <c r="W889" s="24" t="s">
        <v>3617</v>
      </c>
      <c r="X889" s="23" t="s">
        <v>3618</v>
      </c>
      <c r="Y889" s="23" t="s">
        <v>3620</v>
      </c>
      <c r="Z889" s="23" t="s">
        <v>3621</v>
      </c>
      <c r="AA889" s="23" t="s">
        <v>3637</v>
      </c>
    </row>
    <row r="890" spans="1:27" ht="15.75" customHeight="1">
      <c r="A890" s="4" t="s">
        <v>128</v>
      </c>
      <c r="B890" s="5">
        <v>2402</v>
      </c>
      <c r="C890" s="6" t="s">
        <v>1679</v>
      </c>
      <c r="D890" s="7">
        <v>2022817674</v>
      </c>
      <c r="E890" s="7">
        <v>2201010752</v>
      </c>
      <c r="F890" s="7" t="s">
        <v>1814</v>
      </c>
      <c r="G890" s="7" t="s">
        <v>13</v>
      </c>
      <c r="H890" s="6" t="s">
        <v>1680</v>
      </c>
      <c r="I890" s="6" t="s">
        <v>3585</v>
      </c>
      <c r="J890" s="6" t="s">
        <v>3586</v>
      </c>
      <c r="K890" s="6" t="s">
        <v>131</v>
      </c>
      <c r="L890" s="6" t="e">
        <v>#N/A</v>
      </c>
      <c r="M890" s="6" t="e">
        <v>#N/A</v>
      </c>
      <c r="N890" s="7" t="e">
        <v>#N/A</v>
      </c>
      <c r="O890" s="23" t="s">
        <v>3634</v>
      </c>
      <c r="P890" s="23" t="s">
        <v>3635</v>
      </c>
      <c r="Q890" s="23" t="s">
        <v>3636</v>
      </c>
      <c r="R890" s="23" t="s">
        <v>3612</v>
      </c>
      <c r="S890" s="2" t="s">
        <v>3613</v>
      </c>
      <c r="T890" s="2" t="s">
        <v>3614</v>
      </c>
      <c r="U890" s="2" t="s">
        <v>3615</v>
      </c>
      <c r="V890" s="23" t="s">
        <v>3616</v>
      </c>
      <c r="W890" s="24" t="s">
        <v>3617</v>
      </c>
      <c r="X890" s="23" t="s">
        <v>3618</v>
      </c>
      <c r="Y890" s="23" t="s">
        <v>3620</v>
      </c>
      <c r="Z890" s="23" t="s">
        <v>3621</v>
      </c>
      <c r="AA890" s="23" t="s">
        <v>3637</v>
      </c>
    </row>
    <row r="891" spans="1:27" ht="15.75" customHeight="1">
      <c r="A891" s="4" t="s">
        <v>128</v>
      </c>
      <c r="B891" s="5">
        <v>2402</v>
      </c>
      <c r="C891" s="6" t="s">
        <v>1633</v>
      </c>
      <c r="D891" s="7">
        <v>2022439682</v>
      </c>
      <c r="E891" s="7">
        <v>2201010753</v>
      </c>
      <c r="F891" s="7" t="s">
        <v>1814</v>
      </c>
      <c r="G891" s="7" t="s">
        <v>13</v>
      </c>
      <c r="H891" s="6" t="s">
        <v>1634</v>
      </c>
      <c r="I891" s="6" t="s">
        <v>3587</v>
      </c>
      <c r="J891" s="6" t="s">
        <v>3588</v>
      </c>
      <c r="K891" s="6" t="s">
        <v>131</v>
      </c>
      <c r="L891" s="6" t="s">
        <v>117</v>
      </c>
      <c r="M891" s="6" t="s">
        <v>26</v>
      </c>
      <c r="N891" s="7" t="s">
        <v>18</v>
      </c>
      <c r="O891" s="23" t="s">
        <v>3634</v>
      </c>
      <c r="P891" s="23" t="s">
        <v>3635</v>
      </c>
      <c r="Q891" s="23" t="s">
        <v>3636</v>
      </c>
      <c r="R891" s="23" t="s">
        <v>3612</v>
      </c>
      <c r="S891" s="2" t="s">
        <v>3613</v>
      </c>
      <c r="T891" s="2" t="s">
        <v>3614</v>
      </c>
      <c r="U891" s="2" t="s">
        <v>3615</v>
      </c>
      <c r="V891" s="23" t="s">
        <v>3616</v>
      </c>
      <c r="W891" s="24" t="s">
        <v>3617</v>
      </c>
      <c r="X891" s="23" t="s">
        <v>3618</v>
      </c>
      <c r="Y891" s="23" t="s">
        <v>3620</v>
      </c>
      <c r="Z891" s="23" t="s">
        <v>3621</v>
      </c>
      <c r="AA891" s="23" t="s">
        <v>3637</v>
      </c>
    </row>
    <row r="892" spans="1:27" ht="15.75" customHeight="1">
      <c r="A892" s="4" t="s">
        <v>128</v>
      </c>
      <c r="B892" s="5">
        <v>2402</v>
      </c>
      <c r="C892" s="6" t="s">
        <v>1609</v>
      </c>
      <c r="D892" s="7">
        <v>2022006271</v>
      </c>
      <c r="E892" s="7">
        <v>2201010769</v>
      </c>
      <c r="F892" s="7" t="s">
        <v>1814</v>
      </c>
      <c r="G892" s="7" t="s">
        <v>13</v>
      </c>
      <c r="H892" s="6" t="s">
        <v>1610</v>
      </c>
      <c r="I892" s="6" t="s">
        <v>3589</v>
      </c>
      <c r="J892" s="6" t="s">
        <v>3590</v>
      </c>
      <c r="K892" s="6" t="s">
        <v>131</v>
      </c>
      <c r="L892" s="6" t="s">
        <v>117</v>
      </c>
      <c r="M892" s="6" t="s">
        <v>21</v>
      </c>
      <c r="N892" s="7" t="s">
        <v>18</v>
      </c>
      <c r="O892" s="23" t="s">
        <v>3634</v>
      </c>
      <c r="P892" s="23" t="s">
        <v>3635</v>
      </c>
      <c r="Q892" s="23" t="s">
        <v>3636</v>
      </c>
      <c r="R892" s="23" t="s">
        <v>3612</v>
      </c>
      <c r="S892" s="2" t="s">
        <v>3613</v>
      </c>
      <c r="T892" s="2" t="s">
        <v>3614</v>
      </c>
      <c r="U892" s="2" t="s">
        <v>3615</v>
      </c>
      <c r="V892" s="23" t="s">
        <v>3616</v>
      </c>
      <c r="W892" s="24" t="s">
        <v>3617</v>
      </c>
      <c r="X892" s="23" t="s">
        <v>3618</v>
      </c>
      <c r="Y892" s="23" t="s">
        <v>3620</v>
      </c>
      <c r="Z892" s="23" t="s">
        <v>3621</v>
      </c>
      <c r="AA892" s="23" t="s">
        <v>3637</v>
      </c>
    </row>
    <row r="893" spans="1:27" ht="15.75" customHeight="1">
      <c r="A893" s="4" t="s">
        <v>128</v>
      </c>
      <c r="B893" s="5">
        <v>2402</v>
      </c>
      <c r="C893" s="6" t="s">
        <v>1594</v>
      </c>
      <c r="D893" s="7">
        <v>2022003490</v>
      </c>
      <c r="E893" s="7">
        <v>2201010783</v>
      </c>
      <c r="F893" s="7" t="s">
        <v>1814</v>
      </c>
      <c r="G893" s="7" t="s">
        <v>13</v>
      </c>
      <c r="H893" s="6" t="s">
        <v>1595</v>
      </c>
      <c r="I893" s="6" t="s">
        <v>3591</v>
      </c>
      <c r="J893" s="6" t="s">
        <v>3592</v>
      </c>
      <c r="K893" s="6" t="s">
        <v>131</v>
      </c>
      <c r="L893" s="6" t="s">
        <v>117</v>
      </c>
      <c r="M893" s="6" t="s">
        <v>49</v>
      </c>
      <c r="N893" s="7" t="s">
        <v>18</v>
      </c>
      <c r="O893" s="23" t="s">
        <v>3634</v>
      </c>
      <c r="P893" s="23" t="s">
        <v>3635</v>
      </c>
      <c r="Q893" s="23" t="s">
        <v>3636</v>
      </c>
      <c r="R893" s="23" t="s">
        <v>3612</v>
      </c>
      <c r="S893" s="2" t="s">
        <v>3613</v>
      </c>
      <c r="T893" s="2" t="s">
        <v>3614</v>
      </c>
      <c r="U893" s="2" t="s">
        <v>3615</v>
      </c>
      <c r="V893" s="23" t="s">
        <v>3616</v>
      </c>
      <c r="W893" s="24" t="s">
        <v>3617</v>
      </c>
      <c r="X893" s="23" t="s">
        <v>3618</v>
      </c>
      <c r="Y893" s="23" t="s">
        <v>3620</v>
      </c>
      <c r="Z893" s="23" t="s">
        <v>3621</v>
      </c>
      <c r="AA893" s="23" t="s">
        <v>3637</v>
      </c>
    </row>
    <row r="894" spans="1:27" ht="15.75" customHeight="1">
      <c r="A894" s="4" t="s">
        <v>128</v>
      </c>
      <c r="B894" s="5">
        <v>2402</v>
      </c>
      <c r="C894" s="6" t="s">
        <v>1653</v>
      </c>
      <c r="D894" s="7">
        <v>2022492708</v>
      </c>
      <c r="E894" s="7">
        <v>2201010785</v>
      </c>
      <c r="F894" s="7" t="s">
        <v>1814</v>
      </c>
      <c r="G894" s="7" t="s">
        <v>13</v>
      </c>
      <c r="H894" s="6" t="s">
        <v>1654</v>
      </c>
      <c r="I894" s="6" t="s">
        <v>3593</v>
      </c>
      <c r="J894" s="6" t="s">
        <v>3594</v>
      </c>
      <c r="K894" s="6" t="s">
        <v>131</v>
      </c>
      <c r="L894" s="6" t="s">
        <v>117</v>
      </c>
      <c r="M894" s="6" t="s">
        <v>117</v>
      </c>
      <c r="N894" s="7" t="s">
        <v>18</v>
      </c>
      <c r="O894" s="23" t="s">
        <v>3634</v>
      </c>
      <c r="P894" s="23" t="s">
        <v>3635</v>
      </c>
      <c r="Q894" s="23" t="s">
        <v>3636</v>
      </c>
      <c r="R894" s="23" t="s">
        <v>3612</v>
      </c>
      <c r="S894" s="2" t="s">
        <v>3613</v>
      </c>
      <c r="T894" s="2" t="s">
        <v>3614</v>
      </c>
      <c r="U894" s="2" t="s">
        <v>3615</v>
      </c>
      <c r="V894" s="23" t="s">
        <v>3616</v>
      </c>
      <c r="W894" s="24" t="s">
        <v>3617</v>
      </c>
      <c r="X894" s="23" t="s">
        <v>3618</v>
      </c>
      <c r="Y894" s="23" t="s">
        <v>3620</v>
      </c>
      <c r="Z894" s="23" t="s">
        <v>3621</v>
      </c>
      <c r="AA894" s="23" t="s">
        <v>3637</v>
      </c>
    </row>
    <row r="895" spans="1:27" ht="15.75" customHeight="1">
      <c r="A895" s="4" t="s">
        <v>128</v>
      </c>
      <c r="B895" s="5">
        <v>2402</v>
      </c>
      <c r="C895" s="6" t="s">
        <v>1673</v>
      </c>
      <c r="D895" s="7">
        <v>2022801912</v>
      </c>
      <c r="E895" s="7">
        <v>2201010803</v>
      </c>
      <c r="F895" s="7" t="s">
        <v>1814</v>
      </c>
      <c r="G895" s="7" t="s">
        <v>13</v>
      </c>
      <c r="H895" s="6" t="s">
        <v>1674</v>
      </c>
      <c r="I895" s="6" t="s">
        <v>3595</v>
      </c>
      <c r="J895" s="6" t="s">
        <v>3596</v>
      </c>
      <c r="K895" s="6" t="s">
        <v>131</v>
      </c>
      <c r="L895" s="6" t="e">
        <v>#N/A</v>
      </c>
      <c r="M895" s="6" t="e">
        <v>#N/A</v>
      </c>
      <c r="N895" s="7" t="e">
        <v>#N/A</v>
      </c>
      <c r="O895" s="23" t="s">
        <v>3634</v>
      </c>
      <c r="P895" s="23" t="s">
        <v>3635</v>
      </c>
      <c r="Q895" s="23" t="s">
        <v>3636</v>
      </c>
      <c r="R895" s="23" t="s">
        <v>3612</v>
      </c>
      <c r="S895" s="2" t="s">
        <v>3613</v>
      </c>
      <c r="T895" s="2" t="s">
        <v>3614</v>
      </c>
      <c r="U895" s="2" t="s">
        <v>3615</v>
      </c>
      <c r="V895" s="23" t="s">
        <v>3616</v>
      </c>
      <c r="W895" s="24" t="s">
        <v>3617</v>
      </c>
      <c r="X895" s="23" t="s">
        <v>3618</v>
      </c>
      <c r="Y895" s="23" t="s">
        <v>3620</v>
      </c>
      <c r="Z895" s="23" t="s">
        <v>3621</v>
      </c>
      <c r="AA895" s="23" t="s">
        <v>3637</v>
      </c>
    </row>
    <row r="896" spans="1:27" ht="15.75" customHeight="1">
      <c r="A896" s="4" t="s">
        <v>128</v>
      </c>
      <c r="B896" s="5">
        <v>2402</v>
      </c>
      <c r="C896" s="6" t="s">
        <v>1675</v>
      </c>
      <c r="D896" s="7">
        <v>2022805927</v>
      </c>
      <c r="E896" s="7">
        <v>2201010819</v>
      </c>
      <c r="F896" s="7" t="s">
        <v>1814</v>
      </c>
      <c r="G896" s="7" t="s">
        <v>13</v>
      </c>
      <c r="H896" s="6" t="s">
        <v>1676</v>
      </c>
      <c r="I896" s="6" t="s">
        <v>3597</v>
      </c>
      <c r="J896" s="6" t="s">
        <v>3598</v>
      </c>
      <c r="K896" s="6" t="s">
        <v>131</v>
      </c>
      <c r="L896" s="6" t="e">
        <v>#N/A</v>
      </c>
      <c r="M896" s="6" t="e">
        <v>#N/A</v>
      </c>
      <c r="N896" s="7" t="e">
        <v>#N/A</v>
      </c>
      <c r="O896" s="23" t="s">
        <v>3634</v>
      </c>
      <c r="P896" s="23" t="s">
        <v>3635</v>
      </c>
      <c r="Q896" s="23" t="s">
        <v>3636</v>
      </c>
      <c r="R896" s="23" t="s">
        <v>3612</v>
      </c>
      <c r="S896" s="2" t="s">
        <v>3613</v>
      </c>
      <c r="T896" s="2" t="s">
        <v>3614</v>
      </c>
      <c r="U896" s="2" t="s">
        <v>3615</v>
      </c>
      <c r="V896" s="23" t="s">
        <v>3616</v>
      </c>
      <c r="W896" s="24" t="s">
        <v>3617</v>
      </c>
      <c r="X896" s="23" t="s">
        <v>3618</v>
      </c>
      <c r="Y896" s="23" t="s">
        <v>3620</v>
      </c>
      <c r="Z896" s="23" t="s">
        <v>3621</v>
      </c>
      <c r="AA896" s="23" t="s">
        <v>3637</v>
      </c>
    </row>
    <row r="897" spans="1:30" ht="15.75" customHeight="1">
      <c r="A897" s="10" t="s">
        <v>128</v>
      </c>
      <c r="B897" s="5">
        <v>2402</v>
      </c>
      <c r="C897" s="6" t="s">
        <v>175</v>
      </c>
      <c r="D897" s="7">
        <v>2022387644</v>
      </c>
      <c r="E897" s="7">
        <v>2201010982</v>
      </c>
      <c r="F897" s="7" t="s">
        <v>1814</v>
      </c>
      <c r="G897" s="7" t="s">
        <v>13</v>
      </c>
      <c r="H897" s="6" t="s">
        <v>1455</v>
      </c>
      <c r="I897" s="6" t="s">
        <v>3599</v>
      </c>
      <c r="J897" s="6" t="s">
        <v>3600</v>
      </c>
      <c r="K897" s="6" t="s">
        <v>131</v>
      </c>
      <c r="L897" s="6" t="s">
        <v>21</v>
      </c>
      <c r="M897" s="6" t="s">
        <v>117</v>
      </c>
      <c r="N897" s="7" t="s">
        <v>18</v>
      </c>
      <c r="O897" s="23" t="s">
        <v>3634</v>
      </c>
      <c r="P897" s="23" t="s">
        <v>3635</v>
      </c>
      <c r="Q897" s="23" t="s">
        <v>3636</v>
      </c>
      <c r="R897" s="23" t="s">
        <v>3612</v>
      </c>
      <c r="S897" s="2" t="s">
        <v>3613</v>
      </c>
      <c r="T897" s="2" t="s">
        <v>3614</v>
      </c>
      <c r="U897" s="2" t="s">
        <v>3615</v>
      </c>
      <c r="V897" s="23" t="s">
        <v>3616</v>
      </c>
      <c r="W897" s="24" t="s">
        <v>3617</v>
      </c>
      <c r="X897" s="23" t="s">
        <v>3618</v>
      </c>
      <c r="Y897" s="23" t="s">
        <v>3620</v>
      </c>
      <c r="Z897" s="23" t="s">
        <v>3621</v>
      </c>
      <c r="AA897" s="23" t="s">
        <v>3637</v>
      </c>
    </row>
    <row r="898" spans="1:30" ht="15.75" customHeight="1">
      <c r="A898" s="4" t="s">
        <v>128</v>
      </c>
      <c r="B898" s="5">
        <v>2402</v>
      </c>
      <c r="C898" s="6" t="s">
        <v>1669</v>
      </c>
      <c r="D898" s="7">
        <v>2022570125</v>
      </c>
      <c r="E898" s="7">
        <v>2201010983</v>
      </c>
      <c r="F898" s="7" t="s">
        <v>1814</v>
      </c>
      <c r="G898" s="7" t="s">
        <v>13</v>
      </c>
      <c r="H898" s="6" t="s">
        <v>1670</v>
      </c>
      <c r="I898" s="6" t="s">
        <v>3601</v>
      </c>
      <c r="J898" s="6" t="s">
        <v>3602</v>
      </c>
      <c r="K898" s="6" t="s">
        <v>131</v>
      </c>
      <c r="L898" s="6" t="e">
        <v>#N/A</v>
      </c>
      <c r="M898" s="6" t="e">
        <v>#N/A</v>
      </c>
      <c r="N898" s="7" t="e">
        <v>#N/A</v>
      </c>
      <c r="O898" s="23" t="s">
        <v>3634</v>
      </c>
      <c r="P898" s="23" t="s">
        <v>3635</v>
      </c>
      <c r="Q898" s="23" t="s">
        <v>3636</v>
      </c>
      <c r="R898" s="23" t="s">
        <v>3612</v>
      </c>
      <c r="S898" s="2" t="s">
        <v>3613</v>
      </c>
      <c r="T898" s="2" t="s">
        <v>3614</v>
      </c>
      <c r="U898" s="2" t="s">
        <v>3615</v>
      </c>
      <c r="V898" s="23" t="s">
        <v>3616</v>
      </c>
      <c r="W898" s="24" t="s">
        <v>3617</v>
      </c>
      <c r="X898" s="23" t="s">
        <v>3618</v>
      </c>
      <c r="Y898" s="23" t="s">
        <v>3620</v>
      </c>
      <c r="Z898" s="23" t="s">
        <v>3621</v>
      </c>
      <c r="AA898" s="23" t="s">
        <v>3637</v>
      </c>
    </row>
    <row r="899" spans="1:30" ht="15.75" customHeight="1">
      <c r="A899" s="4" t="s">
        <v>128</v>
      </c>
      <c r="B899" s="5">
        <v>2402</v>
      </c>
      <c r="C899" s="6" t="s">
        <v>1671</v>
      </c>
      <c r="D899" s="7">
        <v>2022572570</v>
      </c>
      <c r="E899" s="7">
        <v>2201010984</v>
      </c>
      <c r="F899" s="7" t="s">
        <v>1814</v>
      </c>
      <c r="G899" s="7" t="s">
        <v>13</v>
      </c>
      <c r="H899" s="6" t="s">
        <v>1672</v>
      </c>
      <c r="I899" s="6" t="s">
        <v>3603</v>
      </c>
      <c r="J899" s="6" t="s">
        <v>3604</v>
      </c>
      <c r="K899" s="6" t="s">
        <v>131</v>
      </c>
      <c r="L899" s="6" t="s">
        <v>117</v>
      </c>
      <c r="M899" s="6" t="s">
        <v>117</v>
      </c>
      <c r="N899" s="7" t="s">
        <v>18</v>
      </c>
      <c r="O899" s="23" t="s">
        <v>3634</v>
      </c>
      <c r="P899" s="23" t="s">
        <v>3635</v>
      </c>
      <c r="Q899" s="23" t="s">
        <v>3636</v>
      </c>
      <c r="R899" s="23" t="s">
        <v>3612</v>
      </c>
      <c r="S899" s="2" t="s">
        <v>3613</v>
      </c>
      <c r="T899" s="2" t="s">
        <v>3614</v>
      </c>
      <c r="U899" s="2" t="s">
        <v>3615</v>
      </c>
      <c r="V899" s="23" t="s">
        <v>3616</v>
      </c>
      <c r="W899" s="24" t="s">
        <v>3617</v>
      </c>
      <c r="X899" s="23" t="s">
        <v>3618</v>
      </c>
      <c r="Y899" s="23" t="s">
        <v>3620</v>
      </c>
      <c r="Z899" s="23" t="s">
        <v>3621</v>
      </c>
      <c r="AA899" s="23" t="s">
        <v>3637</v>
      </c>
    </row>
    <row r="900" spans="1:30" ht="15.75" customHeight="1">
      <c r="A900" s="4" t="s">
        <v>128</v>
      </c>
      <c r="B900" s="5">
        <v>2402</v>
      </c>
      <c r="C900" s="6" t="s">
        <v>1683</v>
      </c>
      <c r="D900" s="7">
        <v>2022836076</v>
      </c>
      <c r="E900" s="7">
        <v>2201010986</v>
      </c>
      <c r="F900" s="7" t="s">
        <v>1814</v>
      </c>
      <c r="G900" s="7" t="s">
        <v>13</v>
      </c>
      <c r="H900" s="6" t="s">
        <v>1684</v>
      </c>
      <c r="I900" s="6" t="s">
        <v>3605</v>
      </c>
      <c r="J900" s="6" t="s">
        <v>3606</v>
      </c>
      <c r="K900" s="6" t="s">
        <v>131</v>
      </c>
      <c r="L900" s="6" t="s">
        <v>117</v>
      </c>
      <c r="M900" s="6" t="s">
        <v>117</v>
      </c>
      <c r="N900" s="7" t="s">
        <v>18</v>
      </c>
      <c r="O900" s="23" t="s">
        <v>3634</v>
      </c>
      <c r="P900" s="23" t="s">
        <v>3635</v>
      </c>
      <c r="Q900" s="23" t="s">
        <v>3636</v>
      </c>
      <c r="R900" s="23" t="s">
        <v>3612</v>
      </c>
      <c r="S900" s="2" t="s">
        <v>3613</v>
      </c>
      <c r="T900" s="2" t="s">
        <v>3614</v>
      </c>
      <c r="U900" s="2" t="s">
        <v>3615</v>
      </c>
      <c r="V900" s="23" t="s">
        <v>3616</v>
      </c>
      <c r="W900" s="24" t="s">
        <v>3617</v>
      </c>
      <c r="X900" s="23" t="s">
        <v>3618</v>
      </c>
      <c r="Y900" s="23" t="s">
        <v>3620</v>
      </c>
      <c r="Z900" s="23" t="s">
        <v>3621</v>
      </c>
      <c r="AA900" s="23" t="s">
        <v>3637</v>
      </c>
    </row>
    <row r="901" spans="1:30" ht="15.75" customHeight="1">
      <c r="A901" s="4" t="s">
        <v>128</v>
      </c>
      <c r="B901" s="5">
        <v>2402</v>
      </c>
      <c r="C901" s="6" t="s">
        <v>1685</v>
      </c>
      <c r="D901" s="7">
        <v>2022836286</v>
      </c>
      <c r="E901" s="7">
        <v>2201010987</v>
      </c>
      <c r="F901" s="7" t="s">
        <v>1814</v>
      </c>
      <c r="G901" s="7" t="s">
        <v>13</v>
      </c>
      <c r="H901" s="6" t="s">
        <v>1686</v>
      </c>
      <c r="I901" s="6" t="s">
        <v>3607</v>
      </c>
      <c r="J901" s="6" t="s">
        <v>3608</v>
      </c>
      <c r="K901" s="6" t="s">
        <v>131</v>
      </c>
      <c r="L901" s="6" t="s">
        <v>117</v>
      </c>
      <c r="M901" s="6" t="s">
        <v>139</v>
      </c>
      <c r="N901" s="7" t="s">
        <v>18</v>
      </c>
      <c r="O901" s="23" t="s">
        <v>3634</v>
      </c>
      <c r="P901" s="23" t="s">
        <v>3635</v>
      </c>
      <c r="Q901" s="23" t="s">
        <v>3636</v>
      </c>
      <c r="R901" s="23" t="s">
        <v>3612</v>
      </c>
      <c r="S901" s="2" t="s">
        <v>3613</v>
      </c>
      <c r="T901" s="2" t="s">
        <v>3614</v>
      </c>
      <c r="U901" s="2" t="s">
        <v>3615</v>
      </c>
      <c r="V901" s="23" t="s">
        <v>3616</v>
      </c>
      <c r="W901" s="24" t="s">
        <v>3617</v>
      </c>
      <c r="X901" s="23" t="s">
        <v>3618</v>
      </c>
      <c r="Y901" s="23" t="s">
        <v>3620</v>
      </c>
      <c r="Z901" s="23" t="s">
        <v>3621</v>
      </c>
      <c r="AA901" s="23" t="s">
        <v>3637</v>
      </c>
      <c r="AB901" s="9"/>
      <c r="AC901" s="9"/>
      <c r="AD901" s="9"/>
    </row>
    <row r="902" spans="1:30" ht="15.75" customHeight="1">
      <c r="A902" s="4" t="s">
        <v>128</v>
      </c>
      <c r="B902" s="5">
        <v>2402</v>
      </c>
      <c r="C902" s="6" t="s">
        <v>1687</v>
      </c>
      <c r="D902" s="7">
        <v>2022837222</v>
      </c>
      <c r="E902" s="7">
        <v>2201010988</v>
      </c>
      <c r="F902" s="7" t="s">
        <v>1814</v>
      </c>
      <c r="G902" s="7" t="s">
        <v>13</v>
      </c>
      <c r="H902" s="6" t="s">
        <v>1688</v>
      </c>
      <c r="I902" s="6" t="s">
        <v>3609</v>
      </c>
      <c r="J902" s="6" t="s">
        <v>3610</v>
      </c>
      <c r="K902" s="6" t="s">
        <v>131</v>
      </c>
      <c r="L902" s="6" t="s">
        <v>117</v>
      </c>
      <c r="M902" s="6" t="s">
        <v>139</v>
      </c>
      <c r="N902" s="7" t="s">
        <v>18</v>
      </c>
      <c r="O902" s="23" t="s">
        <v>3634</v>
      </c>
      <c r="P902" s="23" t="s">
        <v>3635</v>
      </c>
      <c r="Q902" s="23" t="s">
        <v>3636</v>
      </c>
      <c r="R902" s="23" t="s">
        <v>3612</v>
      </c>
      <c r="S902" s="2" t="s">
        <v>3613</v>
      </c>
      <c r="T902" s="2" t="s">
        <v>3614</v>
      </c>
      <c r="U902" s="2" t="s">
        <v>3615</v>
      </c>
      <c r="V902" s="23" t="s">
        <v>3616</v>
      </c>
      <c r="W902" s="24" t="s">
        <v>3617</v>
      </c>
      <c r="X902" s="23" t="s">
        <v>3618</v>
      </c>
      <c r="Y902" s="23" t="s">
        <v>3620</v>
      </c>
      <c r="Z902" s="23" t="s">
        <v>3621</v>
      </c>
      <c r="AA902" s="23" t="s">
        <v>3637</v>
      </c>
      <c r="AB902" s="9"/>
      <c r="AC902" s="9"/>
      <c r="AD902" s="9"/>
    </row>
    <row r="903" spans="1:30">
      <c r="D903" s="17"/>
    </row>
  </sheetData>
  <sortState ref="A522:N903">
    <sortCondition ref="E522:E903"/>
  </sortState>
  <conditionalFormatting sqref="D1:D903">
    <cfRule type="duplicateValues" dxfId="330" priority="287"/>
  </conditionalFormatting>
  <conditionalFormatting sqref="D1:D1048576">
    <cfRule type="duplicateValues" dxfId="329" priority="7"/>
  </conditionalFormatting>
  <conditionalFormatting sqref="D66">
    <cfRule type="duplicateValues" dxfId="328" priority="1"/>
    <cfRule type="duplicateValues" dxfId="327" priority="2"/>
    <cfRule type="duplicateValues" dxfId="326" priority="3"/>
    <cfRule type="duplicateValues" dxfId="325" priority="4"/>
    <cfRule type="duplicateValues" dxfId="324" priority="5"/>
    <cfRule type="duplicateValues" dxfId="323" priority="6"/>
    <cfRule type="duplicateValues" dxfId="322" priority="259"/>
  </conditionalFormatting>
  <conditionalFormatting sqref="D903">
    <cfRule type="duplicateValues" dxfId="321" priority="260"/>
  </conditionalFormatting>
  <conditionalFormatting sqref="D519:E662 D1:E65 D665:E902 D67:E515 E66 E903">
    <cfRule type="duplicateValues" dxfId="320" priority="275"/>
    <cfRule type="duplicateValues" dxfId="319" priority="276"/>
  </conditionalFormatting>
  <conditionalFormatting sqref="D663:E664 D516:E518">
    <cfRule type="duplicateValues" dxfId="318" priority="273"/>
    <cfRule type="duplicateValues" dxfId="317" priority="274"/>
  </conditionalFormatting>
  <hyperlinks>
    <hyperlink ref="H152" r:id="rId1"/>
    <hyperlink ref="H191" r:id="rId2"/>
    <hyperlink ref="H193" r:id="rId3"/>
    <hyperlink ref="H388" r:id="rId4"/>
    <hyperlink ref="H129" r:id="rId5"/>
    <hyperlink ref="H259" r:id="rId6"/>
    <hyperlink ref="H389" r:id="rId7"/>
    <hyperlink ref="H394" r:id="rId8"/>
    <hyperlink ref="H261" r:id="rId9"/>
    <hyperlink ref="H258" r:id="rId10"/>
    <hyperlink ref="H843" r:id="rId11"/>
    <hyperlink ref="H713" r:id="rId12"/>
    <hyperlink ref="H653" r:id="rId13"/>
    <hyperlink ref="H656" r:id="rId14"/>
    <hyperlink ref="H651" r:id="rId15"/>
    <hyperlink ref="H658" r:id="rId16"/>
    <hyperlink ref="H69" r:id="rId17"/>
  </hyperlinks>
  <pageMargins left="0.7" right="0.7" top="0.75" bottom="0.75" header="0.3" footer="0.3"/>
  <pageSetup orientation="portrait" r:id="rId1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9"/>
  <sheetViews>
    <sheetView tabSelected="1" topLeftCell="A869" zoomScale="85" zoomScaleNormal="85" workbookViewId="0">
      <selection activeCell="A2" sqref="A2:A889"/>
    </sheetView>
  </sheetViews>
  <sheetFormatPr defaultRowHeight="14.5"/>
  <cols>
    <col min="3" max="3" width="15.54296875" customWidth="1"/>
    <col min="5" max="5" width="18.7265625" bestFit="1" customWidth="1"/>
    <col min="7" max="7" width="39.54296875" customWidth="1"/>
    <col min="8" max="8" width="45.7265625" hidden="1" customWidth="1"/>
    <col min="9" max="9" width="44.08984375" hidden="1" customWidth="1"/>
    <col min="10" max="10" width="18.81640625" bestFit="1" customWidth="1"/>
  </cols>
  <sheetData>
    <row r="1" spans="1:12" ht="25">
      <c r="A1" s="1" t="s">
        <v>1</v>
      </c>
      <c r="B1" s="1" t="s">
        <v>2</v>
      </c>
      <c r="C1" s="1" t="s">
        <v>3</v>
      </c>
      <c r="D1" s="1" t="s">
        <v>4</v>
      </c>
      <c r="E1" s="1" t="s">
        <v>1817</v>
      </c>
      <c r="F1" s="1" t="s">
        <v>3695</v>
      </c>
      <c r="G1" s="1"/>
      <c r="H1" s="1" t="s">
        <v>1819</v>
      </c>
      <c r="I1" s="1" t="s">
        <v>1820</v>
      </c>
      <c r="J1" s="1" t="s">
        <v>7</v>
      </c>
      <c r="K1" s="36" t="s">
        <v>3676</v>
      </c>
      <c r="L1" s="41" t="s">
        <v>3677</v>
      </c>
    </row>
    <row r="2" spans="1:12">
      <c r="A2" s="17">
        <v>1</v>
      </c>
      <c r="B2" s="17" t="s">
        <v>899</v>
      </c>
      <c r="C2" s="17">
        <v>2021308861</v>
      </c>
      <c r="D2" s="17">
        <v>210101102</v>
      </c>
      <c r="E2" s="17" t="s">
        <v>1801</v>
      </c>
      <c r="F2" s="17" t="e">
        <f>VLOOKUP(C2,'Fast Track '!B:C,2,FALSE)</f>
        <v>#N/A</v>
      </c>
      <c r="G2" s="17" t="s">
        <v>3707</v>
      </c>
      <c r="H2" s="17" t="str">
        <f>VLOOKUP(C2,Sheet1!D:J,6,FALSE)</f>
        <v>2021308861.ashutoshkumar@pt.sharda.ac.in</v>
      </c>
      <c r="I2" s="17" t="str">
        <f>VLOOKUP(D2,Sheet1!E:K,6,FALSE)</f>
        <v>9936777552</v>
      </c>
      <c r="J2" s="33" t="s">
        <v>15</v>
      </c>
      <c r="K2" s="37" t="s">
        <v>3645</v>
      </c>
      <c r="L2" t="s">
        <v>3647</v>
      </c>
    </row>
    <row r="3" spans="1:12">
      <c r="A3" s="17">
        <v>2</v>
      </c>
      <c r="B3" s="17" t="s">
        <v>901</v>
      </c>
      <c r="C3" s="17">
        <v>2021828405</v>
      </c>
      <c r="D3" s="17">
        <v>210101591</v>
      </c>
      <c r="E3" s="17" t="s">
        <v>1801</v>
      </c>
      <c r="F3" s="17" t="e">
        <f>VLOOKUP(C3,'Fast Track '!B:C,2,FALSE)</f>
        <v>#N/A</v>
      </c>
      <c r="G3" s="17" t="s">
        <v>3707</v>
      </c>
      <c r="H3" s="17" t="str">
        <f>VLOOKUP(C3,Sheet1!D:J,6,FALSE)</f>
        <v>2021828405.ramananda@pt.sharda.ac.in</v>
      </c>
      <c r="I3" s="17" t="str">
        <f>VLOOKUP(D3,Sheet1!E:K,6,FALSE)</f>
        <v>8130538380</v>
      </c>
      <c r="J3" s="33" t="s">
        <v>15</v>
      </c>
      <c r="K3" s="37" t="s">
        <v>3645</v>
      </c>
      <c r="L3" t="s">
        <v>3647</v>
      </c>
    </row>
    <row r="4" spans="1:12">
      <c r="A4" s="17">
        <v>3</v>
      </c>
      <c r="B4" s="17" t="s">
        <v>897</v>
      </c>
      <c r="C4" s="17">
        <v>2021000009</v>
      </c>
      <c r="D4" s="17">
        <v>210121021</v>
      </c>
      <c r="E4" s="17" t="s">
        <v>1801</v>
      </c>
      <c r="F4" s="17" t="e">
        <f>VLOOKUP(C4,'Fast Track '!B:C,2,FALSE)</f>
        <v>#N/A</v>
      </c>
      <c r="G4" s="17" t="s">
        <v>3707</v>
      </c>
      <c r="H4" s="17" t="str">
        <f>VLOOKUP(C4,Sheet1!D:J,6,FALSE)</f>
        <v>2021000009.asad@pt.sharda.ac.in</v>
      </c>
      <c r="I4" s="17" t="str">
        <f>VLOOKUP(D4,Sheet1!E:K,6,FALSE)</f>
        <v>9599543010</v>
      </c>
      <c r="J4" s="33" t="s">
        <v>15</v>
      </c>
      <c r="K4" s="37" t="s">
        <v>3645</v>
      </c>
      <c r="L4" t="s">
        <v>3647</v>
      </c>
    </row>
    <row r="5" spans="1:12">
      <c r="A5" s="17">
        <v>4</v>
      </c>
      <c r="B5" s="17" t="s">
        <v>998</v>
      </c>
      <c r="C5" s="17">
        <v>2022579515</v>
      </c>
      <c r="D5" s="17">
        <v>2201010023</v>
      </c>
      <c r="E5" s="17" t="s">
        <v>1801</v>
      </c>
      <c r="F5" s="17" t="e">
        <f>VLOOKUP(C5,'Fast Track '!B:C,2,FALSE)</f>
        <v>#N/A</v>
      </c>
      <c r="G5" s="17" t="s">
        <v>3707</v>
      </c>
      <c r="H5" s="17" t="str">
        <f>VLOOKUP(C5,Sheet1!D:J,6,FALSE)</f>
        <v>2022579515.vijaykumar@pt.sharda.ac.in</v>
      </c>
      <c r="I5" s="17" t="str">
        <f>VLOOKUP(D5,Sheet1!E:K,6,FALSE)</f>
        <v>8826793887</v>
      </c>
      <c r="J5" s="33" t="s">
        <v>15</v>
      </c>
      <c r="K5" s="37" t="s">
        <v>3645</v>
      </c>
      <c r="L5" t="s">
        <v>3647</v>
      </c>
    </row>
    <row r="6" spans="1:12">
      <c r="A6" s="17">
        <v>5</v>
      </c>
      <c r="B6" s="17" t="s">
        <v>989</v>
      </c>
      <c r="C6" s="17">
        <v>2022534811</v>
      </c>
      <c r="D6" s="17">
        <v>2201010078</v>
      </c>
      <c r="E6" s="17" t="s">
        <v>1801</v>
      </c>
      <c r="F6" s="17" t="e">
        <f>VLOOKUP(C6,'Fast Track '!B:C,2,FALSE)</f>
        <v>#N/A</v>
      </c>
      <c r="G6" s="17" t="s">
        <v>3707</v>
      </c>
      <c r="H6" s="17" t="str">
        <f>VLOOKUP(C6,Sheet1!D:J,6,FALSE)</f>
        <v>2022534811.rajeshkumar@pt.sharda.ac.in</v>
      </c>
      <c r="I6" s="17" t="str">
        <f>VLOOKUP(D6,Sheet1!E:K,6,FALSE)</f>
        <v>7319641049</v>
      </c>
      <c r="J6" s="33" t="s">
        <v>15</v>
      </c>
      <c r="K6" s="37" t="s">
        <v>3645</v>
      </c>
      <c r="L6" t="s">
        <v>3647</v>
      </c>
    </row>
    <row r="7" spans="1:12">
      <c r="A7" s="17">
        <v>6</v>
      </c>
      <c r="B7" s="17" t="s">
        <v>957</v>
      </c>
      <c r="C7" s="17">
        <v>2022475156</v>
      </c>
      <c r="D7" s="17">
        <v>2201010099</v>
      </c>
      <c r="E7" s="17" t="s">
        <v>1801</v>
      </c>
      <c r="F7" s="17" t="e">
        <f>VLOOKUP(C7,'Fast Track '!B:C,2,FALSE)</f>
        <v>#N/A</v>
      </c>
      <c r="G7" s="17" t="s">
        <v>3707</v>
      </c>
      <c r="H7" s="17" t="str">
        <f>VLOOKUP(C7,Sheet1!D:J,6,FALSE)</f>
        <v>2022475156.dhananjay@pt.sharda.ac.in</v>
      </c>
      <c r="I7" s="17" t="str">
        <f>VLOOKUP(D7,Sheet1!E:K,6,FALSE)</f>
        <v>8789919805</v>
      </c>
      <c r="J7" s="33" t="s">
        <v>15</v>
      </c>
      <c r="K7" s="37" t="s">
        <v>3645</v>
      </c>
      <c r="L7" t="s">
        <v>3647</v>
      </c>
    </row>
    <row r="8" spans="1:12">
      <c r="A8" s="17">
        <v>7</v>
      </c>
      <c r="B8" s="17" t="s">
        <v>939</v>
      </c>
      <c r="C8" s="17">
        <v>2022394343</v>
      </c>
      <c r="D8" s="17">
        <v>2201010111</v>
      </c>
      <c r="E8" s="17" t="s">
        <v>1801</v>
      </c>
      <c r="F8" s="17" t="e">
        <f>VLOOKUP(C8,'Fast Track '!B:C,2,FALSE)</f>
        <v>#N/A</v>
      </c>
      <c r="G8" s="17" t="s">
        <v>3707</v>
      </c>
      <c r="H8" s="17" t="str">
        <f>VLOOKUP(C8,Sheet1!D:J,6,FALSE)</f>
        <v>2022394343.anandsingh@pt.sharda.ac.in</v>
      </c>
      <c r="I8" s="17" t="str">
        <f>VLOOKUP(D8,Sheet1!E:K,6,FALSE)</f>
        <v>8126133363</v>
      </c>
      <c r="J8" s="33" t="s">
        <v>15</v>
      </c>
      <c r="K8" s="37" t="s">
        <v>3645</v>
      </c>
      <c r="L8" t="s">
        <v>3647</v>
      </c>
    </row>
    <row r="9" spans="1:12">
      <c r="A9" s="17">
        <v>8</v>
      </c>
      <c r="B9" s="17" t="s">
        <v>915</v>
      </c>
      <c r="C9" s="17">
        <v>2022006308</v>
      </c>
      <c r="D9" s="17">
        <v>2201010121</v>
      </c>
      <c r="E9" s="17" t="s">
        <v>1801</v>
      </c>
      <c r="F9" s="17" t="e">
        <f>VLOOKUP(C9,'Fast Track '!B:C,2,FALSE)</f>
        <v>#N/A</v>
      </c>
      <c r="G9" s="17" t="s">
        <v>3707</v>
      </c>
      <c r="H9" s="17" t="str">
        <f>VLOOKUP(C9,Sheet1!D:J,6,FALSE)</f>
        <v>2022006308.asad@pt.sharda.ac.in</v>
      </c>
      <c r="I9" s="17" t="str">
        <f>VLOOKUP(D9,Sheet1!E:K,6,FALSE)</f>
        <v>7300577335</v>
      </c>
      <c r="J9" s="33" t="s">
        <v>15</v>
      </c>
      <c r="K9" s="37" t="s">
        <v>3645</v>
      </c>
      <c r="L9" t="s">
        <v>3647</v>
      </c>
    </row>
    <row r="10" spans="1:12">
      <c r="A10" s="17">
        <v>9</v>
      </c>
      <c r="B10" s="17" t="s">
        <v>951</v>
      </c>
      <c r="C10" s="17">
        <v>2022438604</v>
      </c>
      <c r="D10" s="17">
        <v>2201010162</v>
      </c>
      <c r="E10" s="17" t="s">
        <v>1801</v>
      </c>
      <c r="F10" s="17" t="e">
        <f>VLOOKUP(C10,'Fast Track '!B:C,2,FALSE)</f>
        <v>#N/A</v>
      </c>
      <c r="G10" s="17" t="s">
        <v>3707</v>
      </c>
      <c r="H10" s="17" t="str">
        <f>VLOOKUP(C10,Sheet1!D:J,6,FALSE)</f>
        <v>2022438604.kundansingh@pt.sharda.ac.in</v>
      </c>
      <c r="I10" s="17" t="str">
        <f>VLOOKUP(D10,Sheet1!E:K,6,FALSE)</f>
        <v>8920297350</v>
      </c>
      <c r="J10" s="33" t="s">
        <v>15</v>
      </c>
      <c r="K10" s="37" t="s">
        <v>3645</v>
      </c>
      <c r="L10" t="s">
        <v>3647</v>
      </c>
    </row>
    <row r="11" spans="1:12">
      <c r="A11" s="17">
        <v>10</v>
      </c>
      <c r="B11" s="17" t="s">
        <v>983</v>
      </c>
      <c r="C11" s="17">
        <v>2022521926</v>
      </c>
      <c r="D11" s="17">
        <v>2201010175</v>
      </c>
      <c r="E11" s="17" t="s">
        <v>1801</v>
      </c>
      <c r="F11" s="17" t="e">
        <f>VLOOKUP(C11,'Fast Track '!B:C,2,FALSE)</f>
        <v>#N/A</v>
      </c>
      <c r="G11" s="17" t="s">
        <v>3707</v>
      </c>
      <c r="H11" s="17" t="str">
        <f>VLOOKUP(C11,Sheet1!D:J,6,FALSE)</f>
        <v>2022521926.ghulamhassan@pt.sharda.ac.in</v>
      </c>
      <c r="I11" s="17" t="str">
        <f>VLOOKUP(D11,Sheet1!E:K,6,FALSE)</f>
        <v>8899544845</v>
      </c>
      <c r="J11" s="33" t="s">
        <v>15</v>
      </c>
      <c r="K11" s="37" t="s">
        <v>3645</v>
      </c>
      <c r="L11" t="s">
        <v>3647</v>
      </c>
    </row>
    <row r="12" spans="1:12">
      <c r="A12" s="17">
        <v>11</v>
      </c>
      <c r="B12" s="17" t="s">
        <v>935</v>
      </c>
      <c r="C12" s="17">
        <v>2022325232</v>
      </c>
      <c r="D12" s="17">
        <v>2201010178</v>
      </c>
      <c r="E12" s="17" t="s">
        <v>1801</v>
      </c>
      <c r="F12" s="17" t="e">
        <f>VLOOKUP(C12,'Fast Track '!B:C,2,FALSE)</f>
        <v>#N/A</v>
      </c>
      <c r="G12" s="17" t="s">
        <v>3707</v>
      </c>
      <c r="H12" s="17" t="str">
        <f>VLOOKUP(C12,Sheet1!D:J,6,FALSE)</f>
        <v>2022325232.latesuneet@pt.sharda.ac.in</v>
      </c>
      <c r="I12" s="17" t="str">
        <f>VLOOKUP(D12,Sheet1!E:K,6,FALSE)</f>
        <v>9717628588</v>
      </c>
      <c r="J12" s="33" t="s">
        <v>15</v>
      </c>
      <c r="K12" s="37" t="s">
        <v>3645</v>
      </c>
      <c r="L12" t="s">
        <v>3647</v>
      </c>
    </row>
    <row r="13" spans="1:12">
      <c r="A13" s="17">
        <v>12</v>
      </c>
      <c r="B13" s="17" t="s">
        <v>933</v>
      </c>
      <c r="C13" s="17">
        <v>2022305905</v>
      </c>
      <c r="D13" s="17">
        <v>2201010193</v>
      </c>
      <c r="E13" s="17" t="s">
        <v>1801</v>
      </c>
      <c r="F13" s="17" t="e">
        <f>VLOOKUP(C13,'Fast Track '!B:C,2,FALSE)</f>
        <v>#N/A</v>
      </c>
      <c r="G13" s="17" t="s">
        <v>3707</v>
      </c>
      <c r="H13" s="17" t="str">
        <f>VLOOKUP(C13,Sheet1!D:J,6,FALSE)</f>
        <v>2022305905.sanjeev@pt.sharda.ac.in</v>
      </c>
      <c r="I13" s="17" t="str">
        <f>VLOOKUP(D13,Sheet1!E:K,6,FALSE)</f>
        <v>9311273352</v>
      </c>
      <c r="J13" s="33" t="s">
        <v>15</v>
      </c>
      <c r="K13" s="37" t="s">
        <v>3645</v>
      </c>
      <c r="L13" t="s">
        <v>3647</v>
      </c>
    </row>
    <row r="14" spans="1:12">
      <c r="A14" s="17">
        <v>13</v>
      </c>
      <c r="B14" s="17" t="s">
        <v>941</v>
      </c>
      <c r="C14" s="17">
        <v>2022411800</v>
      </c>
      <c r="D14" s="17">
        <v>2201010236</v>
      </c>
      <c r="E14" s="17" t="s">
        <v>1801</v>
      </c>
      <c r="F14" s="17" t="e">
        <f>VLOOKUP(C14,'Fast Track '!B:C,2,FALSE)</f>
        <v>#N/A</v>
      </c>
      <c r="G14" s="17" t="s">
        <v>3707</v>
      </c>
      <c r="H14" s="17" t="str">
        <f>VLOOKUP(C14,Sheet1!D:J,6,FALSE)</f>
        <v>2022411800.mdrezaulhaque@pt.sharda.ac.in</v>
      </c>
      <c r="I14" s="17" t="str">
        <f>VLOOKUP(D14,Sheet1!E:K,6,FALSE)</f>
        <v>9801182652</v>
      </c>
      <c r="J14" s="33" t="s">
        <v>15</v>
      </c>
      <c r="K14" s="37" t="s">
        <v>3645</v>
      </c>
      <c r="L14" t="s">
        <v>3647</v>
      </c>
    </row>
    <row r="15" spans="1:12">
      <c r="A15" s="17">
        <v>14</v>
      </c>
      <c r="B15" s="17" t="s">
        <v>967</v>
      </c>
      <c r="C15" s="17">
        <v>2022503298</v>
      </c>
      <c r="D15" s="17">
        <v>2201010308</v>
      </c>
      <c r="E15" s="17" t="s">
        <v>1801</v>
      </c>
      <c r="F15" s="17" t="e">
        <f>VLOOKUP(C15,'Fast Track '!B:C,2,FALSE)</f>
        <v>#N/A</v>
      </c>
      <c r="G15" s="17" t="s">
        <v>3707</v>
      </c>
      <c r="H15" s="17" t="str">
        <f>VLOOKUP(C15,Sheet1!D:J,6,FALSE)</f>
        <v>2022503298.jitendra@pt.sharda.ac.in</v>
      </c>
      <c r="I15" s="17" t="str">
        <f>VLOOKUP(D15,Sheet1!E:K,6,FALSE)</f>
        <v>8287518828</v>
      </c>
      <c r="J15" s="33" t="s">
        <v>15</v>
      </c>
      <c r="K15" s="37" t="s">
        <v>3645</v>
      </c>
      <c r="L15" t="s">
        <v>3647</v>
      </c>
    </row>
    <row r="16" spans="1:12">
      <c r="A16" s="17">
        <v>15</v>
      </c>
      <c r="B16" s="17" t="s">
        <v>959</v>
      </c>
      <c r="C16" s="17">
        <v>2022476255</v>
      </c>
      <c r="D16" s="17">
        <v>2201010325</v>
      </c>
      <c r="E16" s="17" t="s">
        <v>1801</v>
      </c>
      <c r="F16" s="17" t="e">
        <f>VLOOKUP(C16,'Fast Track '!B:C,2,FALSE)</f>
        <v>#N/A</v>
      </c>
      <c r="G16" s="17" t="s">
        <v>3707</v>
      </c>
      <c r="H16" s="17" t="str">
        <f>VLOOKUP(C16,Sheet1!D:J,6,FALSE)</f>
        <v>2022476255.sanjeev@pt.sharda.ac.in</v>
      </c>
      <c r="I16" s="17" t="str">
        <f>VLOOKUP(D16,Sheet1!E:K,6,FALSE)</f>
        <v>8700745527</v>
      </c>
      <c r="J16" s="33" t="s">
        <v>15</v>
      </c>
      <c r="K16" s="37" t="s">
        <v>3645</v>
      </c>
      <c r="L16" t="s">
        <v>3647</v>
      </c>
    </row>
    <row r="17" spans="1:12">
      <c r="A17" s="17">
        <v>16</v>
      </c>
      <c r="B17" s="17" t="s">
        <v>965</v>
      </c>
      <c r="C17" s="17">
        <v>2022501762</v>
      </c>
      <c r="D17" s="17">
        <v>2201010355</v>
      </c>
      <c r="E17" s="17" t="s">
        <v>1801</v>
      </c>
      <c r="F17" s="17" t="e">
        <f>VLOOKUP(C17,'Fast Track '!B:C,2,FALSE)</f>
        <v>#N/A</v>
      </c>
      <c r="G17" s="17" t="s">
        <v>3707</v>
      </c>
      <c r="H17" s="17" t="str">
        <f>VLOOKUP(C17,Sheet1!D:J,6,FALSE)</f>
        <v>2022501762.aseem@pt.sharda.ac.in</v>
      </c>
      <c r="I17" s="17" t="str">
        <f>VLOOKUP(D17,Sheet1!E:K,6,FALSE)</f>
        <v>8585945645</v>
      </c>
      <c r="J17" s="33" t="s">
        <v>15</v>
      </c>
      <c r="K17" s="37" t="s">
        <v>3645</v>
      </c>
      <c r="L17" t="s">
        <v>3647</v>
      </c>
    </row>
    <row r="18" spans="1:12">
      <c r="A18" s="17">
        <v>17</v>
      </c>
      <c r="B18" s="17" t="s">
        <v>903</v>
      </c>
      <c r="C18" s="17">
        <v>2022002689</v>
      </c>
      <c r="D18" s="17">
        <v>2201010358</v>
      </c>
      <c r="E18" s="17" t="s">
        <v>1801</v>
      </c>
      <c r="F18" s="17" t="e">
        <f>VLOOKUP(C18,'Fast Track '!B:C,2,FALSE)</f>
        <v>#N/A</v>
      </c>
      <c r="G18" s="17" t="s">
        <v>3707</v>
      </c>
      <c r="H18" s="17" t="str">
        <f>VLOOKUP(C18,Sheet1!D:J,6,FALSE)</f>
        <v>2022002689.prempal@pt.sharda.ac.in</v>
      </c>
      <c r="I18" s="17" t="str">
        <f>VLOOKUP(D18,Sheet1!E:K,6,FALSE)</f>
        <v>8445090264</v>
      </c>
      <c r="J18" s="33" t="s">
        <v>15</v>
      </c>
      <c r="K18" s="37" t="s">
        <v>3645</v>
      </c>
      <c r="L18" t="s">
        <v>3647</v>
      </c>
    </row>
    <row r="19" spans="1:12">
      <c r="A19" s="17">
        <v>18</v>
      </c>
      <c r="B19" s="17" t="s">
        <v>911</v>
      </c>
      <c r="C19" s="17">
        <v>2022004863</v>
      </c>
      <c r="D19" s="17">
        <v>2201010370</v>
      </c>
      <c r="E19" s="17" t="s">
        <v>1801</v>
      </c>
      <c r="F19" s="17" t="e">
        <f>VLOOKUP(C19,'Fast Track '!B:C,2,FALSE)</f>
        <v>#N/A</v>
      </c>
      <c r="G19" s="17" t="s">
        <v>3707</v>
      </c>
      <c r="H19" s="17" t="str">
        <f>VLOOKUP(C19,Sheet1!D:J,6,FALSE)</f>
        <v>2022004863.rajeev@pt.sharda.ac.in</v>
      </c>
      <c r="I19" s="17" t="str">
        <f>VLOOKUP(D19,Sheet1!E:K,6,FALSE)</f>
        <v>9811299803</v>
      </c>
      <c r="J19" s="33" t="s">
        <v>15</v>
      </c>
      <c r="K19" s="37" t="s">
        <v>3645</v>
      </c>
      <c r="L19" t="s">
        <v>3647</v>
      </c>
    </row>
    <row r="20" spans="1:12">
      <c r="A20" s="17">
        <v>19</v>
      </c>
      <c r="B20" s="17" t="s">
        <v>985</v>
      </c>
      <c r="C20" s="17">
        <v>2022526514</v>
      </c>
      <c r="D20" s="17">
        <v>2201010415</v>
      </c>
      <c r="E20" s="17" t="s">
        <v>1801</v>
      </c>
      <c r="F20" s="17" t="e">
        <f>VLOOKUP(C20,'Fast Track '!B:C,2,FALSE)</f>
        <v>#N/A</v>
      </c>
      <c r="G20" s="17" t="s">
        <v>3707</v>
      </c>
      <c r="H20" s="17" t="str">
        <f>VLOOKUP(C20,Sheet1!D:J,6,FALSE)</f>
        <v>2022526514.mohd@pt.sharda.ac.in</v>
      </c>
      <c r="I20" s="17" t="str">
        <f>VLOOKUP(D20,Sheet1!E:K,6,FALSE)</f>
        <v>9582995581</v>
      </c>
      <c r="J20" s="33" t="s">
        <v>15</v>
      </c>
      <c r="K20" s="37" t="s">
        <v>3645</v>
      </c>
      <c r="L20" t="s">
        <v>3647</v>
      </c>
    </row>
    <row r="21" spans="1:12">
      <c r="A21" s="17">
        <v>20</v>
      </c>
      <c r="B21" s="17" t="s">
        <v>943</v>
      </c>
      <c r="C21" s="17">
        <v>2022429026</v>
      </c>
      <c r="D21" s="17">
        <v>2201010417</v>
      </c>
      <c r="E21" s="17" t="s">
        <v>1801</v>
      </c>
      <c r="F21" s="17" t="e">
        <f>VLOOKUP(C21,'Fast Track '!B:C,2,FALSE)</f>
        <v>#N/A</v>
      </c>
      <c r="G21" s="17" t="s">
        <v>3707</v>
      </c>
      <c r="H21" s="17" t="str">
        <f>VLOOKUP(C21,Sheet1!D:J,6,FALSE)</f>
        <v>2022429026.mustak@pt.sharda.ac.in</v>
      </c>
      <c r="I21" s="17" t="str">
        <f>VLOOKUP(D21,Sheet1!E:K,6,FALSE)</f>
        <v>8755495604</v>
      </c>
      <c r="J21" s="33" t="s">
        <v>15</v>
      </c>
      <c r="K21" s="37" t="s">
        <v>3645</v>
      </c>
      <c r="L21" t="s">
        <v>3647</v>
      </c>
    </row>
    <row r="22" spans="1:12">
      <c r="A22" s="17">
        <v>21</v>
      </c>
      <c r="B22" s="17" t="s">
        <v>977</v>
      </c>
      <c r="C22" s="17">
        <v>2022518370</v>
      </c>
      <c r="D22" s="17">
        <v>2201010459</v>
      </c>
      <c r="E22" s="17" t="s">
        <v>1801</v>
      </c>
      <c r="F22" s="17" t="e">
        <f>VLOOKUP(C22,'Fast Track '!B:C,2,FALSE)</f>
        <v>#N/A</v>
      </c>
      <c r="G22" s="17" t="s">
        <v>3707</v>
      </c>
      <c r="H22" s="17" t="str">
        <f>VLOOKUP(C22,Sheet1!D:J,6,FALSE)</f>
        <v>2022518370.premkumar@pt.sharda.ac.in</v>
      </c>
      <c r="I22" s="17" t="str">
        <f>VLOOKUP(D22,Sheet1!E:K,6,FALSE)</f>
        <v>9625306997</v>
      </c>
      <c r="J22" s="33" t="s">
        <v>15</v>
      </c>
      <c r="K22" s="37" t="s">
        <v>3645</v>
      </c>
      <c r="L22" t="s">
        <v>3647</v>
      </c>
    </row>
    <row r="23" spans="1:12">
      <c r="A23" s="17">
        <v>22</v>
      </c>
      <c r="B23" s="17" t="s">
        <v>947</v>
      </c>
      <c r="C23" s="17">
        <v>2022437668</v>
      </c>
      <c r="D23" s="17">
        <v>2201010467</v>
      </c>
      <c r="E23" s="17" t="s">
        <v>1801</v>
      </c>
      <c r="F23" s="17" t="e">
        <f>VLOOKUP(C23,'Fast Track '!B:C,2,FALSE)</f>
        <v>#N/A</v>
      </c>
      <c r="G23" s="17" t="s">
        <v>3707</v>
      </c>
      <c r="H23" s="17" t="str">
        <f>VLOOKUP(C23,Sheet1!D:J,6,FALSE)</f>
        <v>2022437668.arvindkumar@pt.sharda.ac.in</v>
      </c>
      <c r="I23" s="17" t="str">
        <f>VLOOKUP(D23,Sheet1!E:K,6,FALSE)</f>
        <v>8279969497</v>
      </c>
      <c r="J23" s="33" t="s">
        <v>15</v>
      </c>
      <c r="K23" s="37" t="s">
        <v>3645</v>
      </c>
      <c r="L23" t="s">
        <v>3647</v>
      </c>
    </row>
    <row r="24" spans="1:12">
      <c r="A24" s="17">
        <v>23</v>
      </c>
      <c r="B24" s="17" t="s">
        <v>973</v>
      </c>
      <c r="C24" s="17">
        <v>2022513603</v>
      </c>
      <c r="D24" s="17">
        <v>2201010538</v>
      </c>
      <c r="E24" s="17" t="s">
        <v>1801</v>
      </c>
      <c r="F24" s="17" t="e">
        <f>VLOOKUP(C24,'Fast Track '!B:C,2,FALSE)</f>
        <v>#N/A</v>
      </c>
      <c r="G24" s="17" t="s">
        <v>3707</v>
      </c>
      <c r="H24" s="17" t="str">
        <f>VLOOKUP(C24,Sheet1!D:J,6,FALSE)</f>
        <v>2022513603.pulle@pt.sharda.ac.in</v>
      </c>
      <c r="I24" s="17" t="str">
        <f>VLOOKUP(D24,Sheet1!E:K,6,FALSE)</f>
        <v>9542009934</v>
      </c>
      <c r="J24" s="33" t="s">
        <v>15</v>
      </c>
      <c r="K24" s="37" t="s">
        <v>3645</v>
      </c>
      <c r="L24" t="s">
        <v>3647</v>
      </c>
    </row>
    <row r="25" spans="1:12">
      <c r="A25" s="17">
        <v>24</v>
      </c>
      <c r="B25" s="17" t="s">
        <v>963</v>
      </c>
      <c r="C25" s="17">
        <v>2022497991</v>
      </c>
      <c r="D25" s="17">
        <v>2201010552</v>
      </c>
      <c r="E25" s="17" t="s">
        <v>1801</v>
      </c>
      <c r="F25" s="17" t="e">
        <f>VLOOKUP(C25,'Fast Track '!B:C,2,FALSE)</f>
        <v>#N/A</v>
      </c>
      <c r="G25" s="17" t="s">
        <v>3707</v>
      </c>
      <c r="H25" s="17" t="str">
        <f>VLOOKUP(C25,Sheet1!D:J,6,FALSE)</f>
        <v>2022497991.mahender@pt.sharda.ac.in</v>
      </c>
      <c r="I25" s="17" t="str">
        <f>VLOOKUP(D25,Sheet1!E:K,6,FALSE)</f>
        <v>7291063223</v>
      </c>
      <c r="J25" s="33" t="s">
        <v>15</v>
      </c>
      <c r="K25" s="37" t="s">
        <v>3645</v>
      </c>
      <c r="L25" t="s">
        <v>3647</v>
      </c>
    </row>
    <row r="26" spans="1:12">
      <c r="A26" s="17">
        <v>25</v>
      </c>
      <c r="B26" s="17" t="s">
        <v>993</v>
      </c>
      <c r="C26" s="17">
        <v>2022563106</v>
      </c>
      <c r="D26" s="17">
        <v>2201010558</v>
      </c>
      <c r="E26" s="17" t="s">
        <v>1801</v>
      </c>
      <c r="F26" s="17" t="e">
        <f>VLOOKUP(C26,'Fast Track '!B:C,2,FALSE)</f>
        <v>#N/A</v>
      </c>
      <c r="G26" s="17" t="s">
        <v>3707</v>
      </c>
      <c r="H26" s="17" t="str">
        <f>VLOOKUP(C26,Sheet1!D:J,6,FALSE)</f>
        <v>2022563106.sanjaykumar@pt.sharda.ac.in</v>
      </c>
      <c r="I26" s="17" t="str">
        <f>VLOOKUP(D26,Sheet1!E:K,6,FALSE)</f>
        <v>8929565652</v>
      </c>
      <c r="J26" s="33" t="s">
        <v>15</v>
      </c>
      <c r="K26" s="37" t="s">
        <v>3645</v>
      </c>
      <c r="L26" t="s">
        <v>3647</v>
      </c>
    </row>
    <row r="27" spans="1:12">
      <c r="A27" s="17">
        <v>26</v>
      </c>
      <c r="B27" s="17" t="s">
        <v>969</v>
      </c>
      <c r="C27" s="17">
        <v>2022506102</v>
      </c>
      <c r="D27" s="17">
        <v>2201010597</v>
      </c>
      <c r="E27" s="17" t="s">
        <v>1801</v>
      </c>
      <c r="F27" s="17" t="e">
        <f>VLOOKUP(C27,'Fast Track '!B:C,2,FALSE)</f>
        <v>#N/A</v>
      </c>
      <c r="G27" s="17" t="s">
        <v>3707</v>
      </c>
      <c r="H27" s="17" t="str">
        <f>VLOOKUP(C27,Sheet1!D:J,6,FALSE)</f>
        <v>2022506102.santoshkumar@pt.sharda.ac.in</v>
      </c>
      <c r="I27" s="17" t="str">
        <f>VLOOKUP(D27,Sheet1!E:K,6,FALSE)</f>
        <v>8887501600</v>
      </c>
      <c r="J27" s="33" t="s">
        <v>15</v>
      </c>
      <c r="K27" s="37" t="s">
        <v>3645</v>
      </c>
      <c r="L27" t="s">
        <v>3647</v>
      </c>
    </row>
    <row r="28" spans="1:12">
      <c r="A28" s="17">
        <v>27</v>
      </c>
      <c r="B28" s="17" t="s">
        <v>319</v>
      </c>
      <c r="C28" s="17">
        <v>2022462663</v>
      </c>
      <c r="D28" s="17">
        <v>2201010204</v>
      </c>
      <c r="E28" s="17" t="s">
        <v>1801</v>
      </c>
      <c r="F28" s="17" t="e">
        <f>VLOOKUP(C28,'Fast Track '!B:C,2,FALSE)</f>
        <v>#N/A</v>
      </c>
      <c r="G28" s="17" t="s">
        <v>3707</v>
      </c>
      <c r="H28" s="17" t="str">
        <f>VLOOKUP(C28,Sheet1!D:J,6,FALSE)</f>
        <v>2022462663.naurang@pt.sharda.ac.in</v>
      </c>
      <c r="I28" s="17" t="str">
        <f>VLOOKUP(D28,Sheet1!E:K,6,FALSE)</f>
        <v>9350536399</v>
      </c>
      <c r="J28" s="33" t="s">
        <v>15</v>
      </c>
      <c r="K28" s="37" t="s">
        <v>3645</v>
      </c>
      <c r="L28" t="s">
        <v>3647</v>
      </c>
    </row>
    <row r="29" spans="1:12">
      <c r="A29" s="17">
        <v>28</v>
      </c>
      <c r="B29" s="17" t="s">
        <v>937</v>
      </c>
      <c r="C29" s="17">
        <v>2022344264</v>
      </c>
      <c r="D29" s="17">
        <v>2201010634</v>
      </c>
      <c r="E29" s="17" t="s">
        <v>1801</v>
      </c>
      <c r="F29" s="17" t="e">
        <f>VLOOKUP(C29,'Fast Track '!B:C,2,FALSE)</f>
        <v>#N/A</v>
      </c>
      <c r="G29" s="17" t="s">
        <v>3707</v>
      </c>
      <c r="H29" s="17" t="str">
        <f>VLOOKUP(C29,Sheet1!D:J,6,FALSE)</f>
        <v>2022344264.krishna@pt.sharda.ac.in</v>
      </c>
      <c r="I29" s="17" t="str">
        <f>VLOOKUP(D29,Sheet1!E:K,6,FALSE)</f>
        <v>9899045081</v>
      </c>
      <c r="J29" s="33" t="s">
        <v>15</v>
      </c>
      <c r="K29" s="37" t="s">
        <v>3645</v>
      </c>
      <c r="L29" t="s">
        <v>3647</v>
      </c>
    </row>
    <row r="30" spans="1:12">
      <c r="A30" s="17">
        <v>29</v>
      </c>
      <c r="B30" s="17" t="s">
        <v>339</v>
      </c>
      <c r="C30" s="17">
        <v>2022487133</v>
      </c>
      <c r="D30" s="17">
        <v>2201010227</v>
      </c>
      <c r="E30" s="17" t="s">
        <v>1801</v>
      </c>
      <c r="F30" s="17" t="e">
        <f>VLOOKUP(C30,'Fast Track '!B:C,2,FALSE)</f>
        <v>#N/A</v>
      </c>
      <c r="G30" s="17" t="s">
        <v>3707</v>
      </c>
      <c r="H30" s="17" t="str">
        <f>VLOOKUP(C30,Sheet1!D:J,6,FALSE)</f>
        <v>2022487133.bhudeo@pt.sharda.ac.in</v>
      </c>
      <c r="I30" s="17" t="str">
        <f>VLOOKUP(D30,Sheet1!E:K,6,FALSE)</f>
        <v>7253008620</v>
      </c>
      <c r="J30" s="33" t="s">
        <v>15</v>
      </c>
      <c r="K30" s="37" t="s">
        <v>3645</v>
      </c>
      <c r="L30" t="s">
        <v>3647</v>
      </c>
    </row>
    <row r="31" spans="1:12">
      <c r="A31" s="17">
        <v>30</v>
      </c>
      <c r="B31" s="17" t="s">
        <v>949</v>
      </c>
      <c r="C31" s="17">
        <v>2022438521</v>
      </c>
      <c r="D31" s="17">
        <v>2201010646</v>
      </c>
      <c r="E31" s="17" t="s">
        <v>1801</v>
      </c>
      <c r="F31" s="17" t="e">
        <f>VLOOKUP(C31,'Fast Track '!B:C,2,FALSE)</f>
        <v>#N/A</v>
      </c>
      <c r="G31" s="17" t="s">
        <v>3707</v>
      </c>
      <c r="H31" s="17" t="str">
        <f>VLOOKUP(C31,Sheet1!D:J,6,FALSE)</f>
        <v>2022438521.lateshankar@pt.sharda.ac.in</v>
      </c>
      <c r="I31" s="17" t="str">
        <f>VLOOKUP(D31,Sheet1!E:K,6,FALSE)</f>
        <v>7979996286</v>
      </c>
      <c r="J31" s="33" t="s">
        <v>15</v>
      </c>
      <c r="K31" s="37" t="s">
        <v>3645</v>
      </c>
      <c r="L31" t="s">
        <v>3647</v>
      </c>
    </row>
    <row r="32" spans="1:12">
      <c r="A32" s="17">
        <v>31</v>
      </c>
      <c r="B32" s="17" t="s">
        <v>919</v>
      </c>
      <c r="C32" s="17">
        <v>2022006789</v>
      </c>
      <c r="D32" s="17">
        <v>2201010661</v>
      </c>
      <c r="E32" s="17" t="s">
        <v>1801</v>
      </c>
      <c r="F32" s="17" t="e">
        <f>VLOOKUP(C32,'Fast Track '!B:C,2,FALSE)</f>
        <v>#N/A</v>
      </c>
      <c r="G32" s="17" t="s">
        <v>3707</v>
      </c>
      <c r="H32" s="17" t="str">
        <f>VLOOKUP(C32,Sheet1!D:J,6,FALSE)</f>
        <v>2022006789.kishan@pt.sharda.ac.in</v>
      </c>
      <c r="I32" s="17" t="str">
        <f>VLOOKUP(D32,Sheet1!E:K,6,FALSE)</f>
        <v>8750854190</v>
      </c>
      <c r="J32" s="33" t="s">
        <v>15</v>
      </c>
      <c r="K32" s="37" t="s">
        <v>3644</v>
      </c>
      <c r="L32" t="s">
        <v>3647</v>
      </c>
    </row>
    <row r="33" spans="1:12">
      <c r="A33" s="17">
        <v>32</v>
      </c>
      <c r="B33" s="17" t="s">
        <v>955</v>
      </c>
      <c r="C33" s="17">
        <v>2022472720</v>
      </c>
      <c r="D33" s="17">
        <v>2201010668</v>
      </c>
      <c r="E33" s="17" t="s">
        <v>1801</v>
      </c>
      <c r="F33" s="17" t="e">
        <f>VLOOKUP(C33,'Fast Track '!B:C,2,FALSE)</f>
        <v>#N/A</v>
      </c>
      <c r="G33" s="17" t="s">
        <v>3707</v>
      </c>
      <c r="H33" s="17" t="str">
        <f>VLOOKUP(C33,Sheet1!D:J,6,FALSE)</f>
        <v>2022472720.brijmohan@pt.sharda.ac.in</v>
      </c>
      <c r="I33" s="17" t="str">
        <f>VLOOKUP(D33,Sheet1!E:K,6,FALSE)</f>
        <v>9458354480</v>
      </c>
      <c r="J33" s="33" t="s">
        <v>15</v>
      </c>
      <c r="K33" s="37" t="s">
        <v>3644</v>
      </c>
      <c r="L33" t="s">
        <v>3647</v>
      </c>
    </row>
    <row r="34" spans="1:12">
      <c r="A34" s="17">
        <v>33</v>
      </c>
      <c r="B34" s="17" t="s">
        <v>259</v>
      </c>
      <c r="C34" s="17">
        <v>2022577110</v>
      </c>
      <c r="D34" s="17">
        <v>2201010671</v>
      </c>
      <c r="E34" s="17" t="s">
        <v>1801</v>
      </c>
      <c r="F34" s="17" t="e">
        <f>VLOOKUP(C34,'Fast Track '!B:C,2,FALSE)</f>
        <v>#N/A</v>
      </c>
      <c r="G34" s="17" t="s">
        <v>3707</v>
      </c>
      <c r="H34" s="17" t="str">
        <f>VLOOKUP(C34,Sheet1!D:J,6,FALSE)</f>
        <v>2022577110.udayshankar@pt.sharda.ac.in</v>
      </c>
      <c r="I34" s="17" t="str">
        <f>VLOOKUP(D34,Sheet1!E:K,6,FALSE)</f>
        <v>9508885660</v>
      </c>
      <c r="J34" s="33" t="s">
        <v>15</v>
      </c>
      <c r="K34" s="37" t="s">
        <v>3644</v>
      </c>
      <c r="L34" t="s">
        <v>3647</v>
      </c>
    </row>
    <row r="35" spans="1:12">
      <c r="A35" s="17">
        <v>34</v>
      </c>
      <c r="B35" s="17" t="s">
        <v>971</v>
      </c>
      <c r="C35" s="17">
        <v>2022512360</v>
      </c>
      <c r="D35" s="17">
        <v>2201010681</v>
      </c>
      <c r="E35" s="17" t="s">
        <v>1801</v>
      </c>
      <c r="F35" s="17" t="e">
        <f>VLOOKUP(C35,'Fast Track '!B:C,2,FALSE)</f>
        <v>#N/A</v>
      </c>
      <c r="G35" s="17" t="s">
        <v>3707</v>
      </c>
      <c r="H35" s="17" t="str">
        <f>VLOOKUP(C35,Sheet1!D:J,6,FALSE)</f>
        <v>2022512360.ramprasad@pt.sharda.ac.in</v>
      </c>
      <c r="I35" s="17" t="str">
        <f>VLOOKUP(D35,Sheet1!E:K,6,FALSE)</f>
        <v>7651937775</v>
      </c>
      <c r="J35" s="33" t="s">
        <v>15</v>
      </c>
      <c r="K35" s="37" t="s">
        <v>3644</v>
      </c>
      <c r="L35" t="s">
        <v>3647</v>
      </c>
    </row>
    <row r="36" spans="1:12">
      <c r="A36" s="17">
        <v>35</v>
      </c>
      <c r="B36" s="17" t="s">
        <v>909</v>
      </c>
      <c r="C36" s="17">
        <v>2022004756</v>
      </c>
      <c r="D36" s="17">
        <v>2201010684</v>
      </c>
      <c r="E36" s="17" t="s">
        <v>1801</v>
      </c>
      <c r="F36" s="17" t="e">
        <f>VLOOKUP(C36,'Fast Track '!B:C,2,FALSE)</f>
        <v>#N/A</v>
      </c>
      <c r="G36" s="17" t="s">
        <v>3707</v>
      </c>
      <c r="H36" s="17" t="str">
        <f>VLOOKUP(C36,Sheet1!D:J,6,FALSE)</f>
        <v>2022004756.manish@pt.sharda.ac.in</v>
      </c>
      <c r="I36" s="17" t="str">
        <f>VLOOKUP(D36,Sheet1!E:K,6,FALSE)</f>
        <v>8439840461</v>
      </c>
      <c r="J36" s="33" t="s">
        <v>15</v>
      </c>
      <c r="K36" s="37" t="s">
        <v>3644</v>
      </c>
      <c r="L36" t="s">
        <v>3647</v>
      </c>
    </row>
    <row r="37" spans="1:12">
      <c r="A37" s="17">
        <v>36</v>
      </c>
      <c r="B37" s="17" t="s">
        <v>981</v>
      </c>
      <c r="C37" s="17">
        <v>2022520978</v>
      </c>
      <c r="D37" s="17">
        <v>2201010693</v>
      </c>
      <c r="E37" s="17" t="s">
        <v>1801</v>
      </c>
      <c r="F37" s="17" t="e">
        <f>VLOOKUP(C37,'Fast Track '!B:C,2,FALSE)</f>
        <v>#N/A</v>
      </c>
      <c r="G37" s="17" t="s">
        <v>3707</v>
      </c>
      <c r="H37" s="17" t="str">
        <f>VLOOKUP(C37,Sheet1!D:J,6,FALSE)</f>
        <v>2022520978.abhijit@pt.sharda.ac.in</v>
      </c>
      <c r="I37" s="17" t="str">
        <f>VLOOKUP(D37,Sheet1!E:K,6,FALSE)</f>
        <v>7080050607</v>
      </c>
      <c r="J37" s="33" t="s">
        <v>15</v>
      </c>
      <c r="K37" s="37" t="s">
        <v>3644</v>
      </c>
      <c r="L37" t="s">
        <v>3647</v>
      </c>
    </row>
    <row r="38" spans="1:12">
      <c r="A38" s="17">
        <v>37</v>
      </c>
      <c r="B38" s="17" t="s">
        <v>905</v>
      </c>
      <c r="C38" s="17">
        <v>2022003913</v>
      </c>
      <c r="D38" s="17">
        <v>2201010718</v>
      </c>
      <c r="E38" s="17" t="s">
        <v>1801</v>
      </c>
      <c r="F38" s="17" t="e">
        <f>VLOOKUP(C38,'Fast Track '!B:C,2,FALSE)</f>
        <v>#N/A</v>
      </c>
      <c r="G38" s="17" t="s">
        <v>3707</v>
      </c>
      <c r="H38" s="17" t="str">
        <f>VLOOKUP(C38,Sheet1!D:J,6,FALSE)</f>
        <v>2022003913.nazirahmad@pt.sharda.ac.in</v>
      </c>
      <c r="I38" s="17" t="str">
        <f>VLOOKUP(D38,Sheet1!E:K,6,FALSE)</f>
        <v>7006837134</v>
      </c>
      <c r="J38" s="33" t="s">
        <v>15</v>
      </c>
      <c r="K38" s="37" t="s">
        <v>3644</v>
      </c>
      <c r="L38" t="s">
        <v>3647</v>
      </c>
    </row>
    <row r="39" spans="1:12">
      <c r="A39" s="17">
        <v>38</v>
      </c>
      <c r="B39" s="17" t="s">
        <v>921</v>
      </c>
      <c r="C39" s="17">
        <v>2022006898</v>
      </c>
      <c r="D39" s="17">
        <v>2201010729</v>
      </c>
      <c r="E39" s="17" t="s">
        <v>1801</v>
      </c>
      <c r="F39" s="17" t="e">
        <f>VLOOKUP(C39,'Fast Track '!B:C,2,FALSE)</f>
        <v>#N/A</v>
      </c>
      <c r="G39" s="17" t="s">
        <v>3707</v>
      </c>
      <c r="H39" s="17" t="str">
        <f>VLOOKUP(C39,Sheet1!D:J,6,FALSE)</f>
        <v>2022006898.pawan@pt.sharda.ac.in</v>
      </c>
      <c r="I39" s="17" t="str">
        <f>VLOOKUP(D39,Sheet1!E:K,6,FALSE)</f>
        <v>7428943713</v>
      </c>
      <c r="J39" s="33" t="s">
        <v>15</v>
      </c>
      <c r="K39" s="37" t="s">
        <v>3644</v>
      </c>
      <c r="L39" t="s">
        <v>3647</v>
      </c>
    </row>
    <row r="40" spans="1:12">
      <c r="A40" s="17">
        <v>39</v>
      </c>
      <c r="B40" s="17" t="s">
        <v>987</v>
      </c>
      <c r="C40" s="17">
        <v>2022534653</v>
      </c>
      <c r="D40" s="17">
        <v>2201010751</v>
      </c>
      <c r="E40" s="17" t="s">
        <v>1801</v>
      </c>
      <c r="F40" s="17" t="e">
        <f>VLOOKUP(C40,'Fast Track '!B:C,2,FALSE)</f>
        <v>#N/A</v>
      </c>
      <c r="G40" s="17" t="s">
        <v>3707</v>
      </c>
      <c r="H40" s="17" t="str">
        <f>VLOOKUP(C40,Sheet1!D:J,6,FALSE)</f>
        <v>2022534653.arshad@pt.sharda.ac.in</v>
      </c>
      <c r="I40" s="17" t="str">
        <f>VLOOKUP(D40,Sheet1!E:K,6,FALSE)</f>
        <v>7079289030</v>
      </c>
      <c r="J40" s="33" t="s">
        <v>15</v>
      </c>
      <c r="K40" s="37" t="s">
        <v>3644</v>
      </c>
      <c r="L40" t="s">
        <v>3647</v>
      </c>
    </row>
    <row r="41" spans="1:12">
      <c r="A41" s="17">
        <v>40</v>
      </c>
      <c r="B41" s="17" t="s">
        <v>953</v>
      </c>
      <c r="C41" s="17">
        <v>2022452189</v>
      </c>
      <c r="D41" s="17">
        <v>2201010787</v>
      </c>
      <c r="E41" s="17" t="s">
        <v>1801</v>
      </c>
      <c r="F41" s="17" t="e">
        <f>VLOOKUP(C41,'Fast Track '!B:C,2,FALSE)</f>
        <v>#N/A</v>
      </c>
      <c r="G41" s="17" t="s">
        <v>3707</v>
      </c>
      <c r="H41" s="17" t="str">
        <f>VLOOKUP(C41,Sheet1!D:J,6,FALSE)</f>
        <v>2022452189.jankisharan@pt.sharda.ac.in</v>
      </c>
      <c r="I41" s="17" t="str">
        <f>VLOOKUP(D41,Sheet1!E:K,6,FALSE)</f>
        <v>8878530472</v>
      </c>
      <c r="J41" s="33" t="s">
        <v>15</v>
      </c>
      <c r="K41" s="37" t="s">
        <v>3644</v>
      </c>
      <c r="L41" t="s">
        <v>3647</v>
      </c>
    </row>
    <row r="42" spans="1:12">
      <c r="A42" s="17">
        <v>41</v>
      </c>
      <c r="B42" s="17" t="s">
        <v>913</v>
      </c>
      <c r="C42" s="17">
        <v>2022006072</v>
      </c>
      <c r="D42" s="17">
        <v>2201010815</v>
      </c>
      <c r="E42" s="17" t="s">
        <v>1801</v>
      </c>
      <c r="F42" s="17" t="e">
        <f>VLOOKUP(C42,'Fast Track '!B:C,2,FALSE)</f>
        <v>#N/A</v>
      </c>
      <c r="G42" s="17" t="s">
        <v>3707</v>
      </c>
      <c r="H42" s="17" t="str">
        <f>VLOOKUP(C42,Sheet1!D:J,6,FALSE)</f>
        <v>2022006072.niranjan@pt.sharda.ac.in</v>
      </c>
      <c r="I42" s="17" t="str">
        <f>VLOOKUP(D42,Sheet1!E:K,6,FALSE)</f>
        <v>8811995780</v>
      </c>
      <c r="J42" s="33" t="s">
        <v>15</v>
      </c>
      <c r="K42" s="37" t="s">
        <v>3644</v>
      </c>
      <c r="L42" t="s">
        <v>3647</v>
      </c>
    </row>
    <row r="43" spans="1:12">
      <c r="A43" s="17">
        <v>42</v>
      </c>
      <c r="B43" s="17" t="s">
        <v>979</v>
      </c>
      <c r="C43" s="17">
        <v>2022518505</v>
      </c>
      <c r="D43" s="17">
        <v>2201010821</v>
      </c>
      <c r="E43" s="17" t="s">
        <v>1801</v>
      </c>
      <c r="F43" s="17" t="e">
        <f>VLOOKUP(C43,'Fast Track '!B:C,2,FALSE)</f>
        <v>#N/A</v>
      </c>
      <c r="G43" s="17" t="s">
        <v>3707</v>
      </c>
      <c r="H43" s="17" t="str">
        <f>VLOOKUP(C43,Sheet1!D:J,6,FALSE)</f>
        <v>2022518505.sandeep@pt.sharda.ac.in</v>
      </c>
      <c r="I43" s="17" t="str">
        <f>VLOOKUP(D43,Sheet1!E:K,6,FALSE)</f>
        <v>9536903232</v>
      </c>
      <c r="J43" s="33" t="s">
        <v>15</v>
      </c>
      <c r="K43" s="37" t="s">
        <v>3644</v>
      </c>
      <c r="L43" t="s">
        <v>3647</v>
      </c>
    </row>
    <row r="44" spans="1:12">
      <c r="A44" s="17">
        <v>43</v>
      </c>
      <c r="B44" s="17" t="s">
        <v>917</v>
      </c>
      <c r="C44" s="17">
        <v>2022006613</v>
      </c>
      <c r="D44" s="17">
        <v>2201010831</v>
      </c>
      <c r="E44" s="17" t="s">
        <v>1801</v>
      </c>
      <c r="F44" s="17" t="e">
        <f>VLOOKUP(C44,'Fast Track '!B:C,2,FALSE)</f>
        <v>#N/A</v>
      </c>
      <c r="G44" s="17" t="s">
        <v>3707</v>
      </c>
      <c r="H44" s="17" t="str">
        <f>VLOOKUP(C44,Sheet1!D:J,6,FALSE)</f>
        <v>2022006613.parth@pt.sharda.ac.in</v>
      </c>
      <c r="I44" s="17" t="str">
        <f>VLOOKUP(D44,Sheet1!E:K,6,FALSE)</f>
        <v>7004207327</v>
      </c>
      <c r="J44" s="33" t="s">
        <v>15</v>
      </c>
      <c r="K44" s="37" t="s">
        <v>3644</v>
      </c>
      <c r="L44" t="s">
        <v>3647</v>
      </c>
    </row>
    <row r="45" spans="1:12">
      <c r="A45" s="17">
        <v>44</v>
      </c>
      <c r="B45" s="17" t="s">
        <v>923</v>
      </c>
      <c r="C45" s="17">
        <v>2022007518</v>
      </c>
      <c r="D45" s="17">
        <v>2201010850</v>
      </c>
      <c r="E45" s="17" t="s">
        <v>1801</v>
      </c>
      <c r="F45" s="17" t="e">
        <f>VLOOKUP(C45,'Fast Track '!B:C,2,FALSE)</f>
        <v>#N/A</v>
      </c>
      <c r="G45" s="17" t="s">
        <v>3707</v>
      </c>
      <c r="H45" s="17" t="str">
        <f>VLOOKUP(C45,Sheet1!D:J,6,FALSE)</f>
        <v>2022007518.sandeep@pt.sharda.ac.in</v>
      </c>
      <c r="I45" s="17" t="str">
        <f>VLOOKUP(D45,Sheet1!E:K,6,FALSE)</f>
        <v>8744095807</v>
      </c>
      <c r="J45" s="33" t="s">
        <v>15</v>
      </c>
      <c r="K45" s="37" t="s">
        <v>3644</v>
      </c>
      <c r="L45" t="s">
        <v>3647</v>
      </c>
    </row>
    <row r="46" spans="1:12">
      <c r="A46" s="17">
        <v>45</v>
      </c>
      <c r="B46" s="17" t="s">
        <v>925</v>
      </c>
      <c r="C46" s="17">
        <v>2022007615</v>
      </c>
      <c r="D46" s="17">
        <v>2201010852</v>
      </c>
      <c r="E46" s="17" t="s">
        <v>1801</v>
      </c>
      <c r="F46" s="17" t="e">
        <f>VLOOKUP(C46,'Fast Track '!B:C,2,FALSE)</f>
        <v>#N/A</v>
      </c>
      <c r="G46" s="17" t="s">
        <v>3707</v>
      </c>
      <c r="H46" s="17" t="str">
        <f>VLOOKUP(C46,Sheet1!D:J,6,FALSE)</f>
        <v>2022007615.pankajkumar@pt.sharda.ac.in</v>
      </c>
      <c r="I46" s="17" t="str">
        <f>VLOOKUP(D46,Sheet1!E:K,6,FALSE)</f>
        <v>9910105985</v>
      </c>
      <c r="J46" s="33" t="s">
        <v>15</v>
      </c>
      <c r="K46" s="37" t="s">
        <v>3644</v>
      </c>
      <c r="L46" t="s">
        <v>3647</v>
      </c>
    </row>
    <row r="47" spans="1:12">
      <c r="A47" s="17">
        <v>46</v>
      </c>
      <c r="B47" s="17" t="s">
        <v>927</v>
      </c>
      <c r="C47" s="17">
        <v>2022007629</v>
      </c>
      <c r="D47" s="17">
        <v>2201010853</v>
      </c>
      <c r="E47" s="17" t="s">
        <v>1801</v>
      </c>
      <c r="F47" s="17" t="e">
        <f>VLOOKUP(C47,'Fast Track '!B:C,2,FALSE)</f>
        <v>#N/A</v>
      </c>
      <c r="G47" s="17" t="s">
        <v>3707</v>
      </c>
      <c r="H47" s="17" t="str">
        <f>VLOOKUP(C47,Sheet1!D:J,6,FALSE)</f>
        <v>2022007629.janesh@pt.sharda.ac.in</v>
      </c>
      <c r="I47" s="17" t="str">
        <f>VLOOKUP(D47,Sheet1!E:K,6,FALSE)</f>
        <v>8860855324</v>
      </c>
      <c r="J47" s="33" t="s">
        <v>15</v>
      </c>
      <c r="K47" s="37" t="s">
        <v>3644</v>
      </c>
      <c r="L47" t="s">
        <v>3647</v>
      </c>
    </row>
    <row r="48" spans="1:12">
      <c r="A48" s="17">
        <v>47</v>
      </c>
      <c r="B48" s="17" t="s">
        <v>929</v>
      </c>
      <c r="C48" s="17">
        <v>2022007684</v>
      </c>
      <c r="D48" s="17">
        <v>2201010859</v>
      </c>
      <c r="E48" s="17" t="s">
        <v>1801</v>
      </c>
      <c r="F48" s="17" t="e">
        <f>VLOOKUP(C48,'Fast Track '!B:C,2,FALSE)</f>
        <v>#N/A</v>
      </c>
      <c r="G48" s="17" t="s">
        <v>3707</v>
      </c>
      <c r="H48" s="17" t="str">
        <f>VLOOKUP(C48,Sheet1!D:J,6,FALSE)</f>
        <v>2022007684.swadesh@pt.sharda.ac.in</v>
      </c>
      <c r="I48" s="17" t="str">
        <f>VLOOKUP(D48,Sheet1!E:K,6,FALSE)</f>
        <v>9058956922</v>
      </c>
      <c r="J48" s="33" t="s">
        <v>15</v>
      </c>
      <c r="K48" s="37" t="s">
        <v>3644</v>
      </c>
      <c r="L48" t="s">
        <v>3647</v>
      </c>
    </row>
    <row r="49" spans="1:12">
      <c r="A49" s="17">
        <v>48</v>
      </c>
      <c r="B49" s="17" t="s">
        <v>931</v>
      </c>
      <c r="C49" s="17">
        <v>2022007720</v>
      </c>
      <c r="D49" s="17">
        <v>2201010861</v>
      </c>
      <c r="E49" s="17" t="s">
        <v>1801</v>
      </c>
      <c r="F49" s="17" t="e">
        <f>VLOOKUP(C49,'Fast Track '!B:C,2,FALSE)</f>
        <v>#N/A</v>
      </c>
      <c r="G49" s="17" t="s">
        <v>3707</v>
      </c>
      <c r="H49" s="17" t="str">
        <f>VLOOKUP(C49,Sheet1!D:J,6,FALSE)</f>
        <v>2022007720.jaiprakash@pt.sharda.ac.in</v>
      </c>
      <c r="I49" s="17" t="str">
        <f>VLOOKUP(D49,Sheet1!E:K,6,FALSE)</f>
        <v>9457526385</v>
      </c>
      <c r="J49" s="33" t="s">
        <v>15</v>
      </c>
      <c r="K49" s="37" t="s">
        <v>3644</v>
      </c>
      <c r="L49" t="s">
        <v>3647</v>
      </c>
    </row>
    <row r="50" spans="1:12">
      <c r="A50" s="17">
        <v>49</v>
      </c>
      <c r="B50" s="17" t="s">
        <v>991</v>
      </c>
      <c r="C50" s="17">
        <v>2022545040</v>
      </c>
      <c r="D50" s="17">
        <v>2201010880</v>
      </c>
      <c r="E50" s="17" t="s">
        <v>1801</v>
      </c>
      <c r="F50" s="17" t="e">
        <f>VLOOKUP(C50,'Fast Track '!B:C,2,FALSE)</f>
        <v>#N/A</v>
      </c>
      <c r="G50" s="17" t="s">
        <v>3707</v>
      </c>
      <c r="H50" s="17" t="str">
        <f>VLOOKUP(C50,Sheet1!D:J,6,FALSE)</f>
        <v>2022545040.brajesh@pt.sharda.ac.in</v>
      </c>
      <c r="I50" s="17" t="str">
        <f>VLOOKUP(D50,Sheet1!E:K,6,FALSE)</f>
        <v>6207194108</v>
      </c>
      <c r="J50" s="33" t="s">
        <v>15</v>
      </c>
      <c r="K50" s="37" t="s">
        <v>3644</v>
      </c>
      <c r="L50" t="s">
        <v>3647</v>
      </c>
    </row>
    <row r="51" spans="1:12">
      <c r="A51" s="17">
        <v>50</v>
      </c>
      <c r="B51" s="17" t="s">
        <v>995</v>
      </c>
      <c r="C51" s="17">
        <v>2022565552</v>
      </c>
      <c r="D51" s="17">
        <v>2201010883</v>
      </c>
      <c r="E51" s="17" t="s">
        <v>1801</v>
      </c>
      <c r="F51" s="17" t="e">
        <f>VLOOKUP(C51,'Fast Track '!B:C,2,FALSE)</f>
        <v>#N/A</v>
      </c>
      <c r="G51" s="17" t="s">
        <v>3707</v>
      </c>
      <c r="H51" s="17" t="str">
        <f>VLOOKUP(C51,Sheet1!D:J,6,FALSE)</f>
        <v>2022565552.sushil@pt.sharda.ac.in</v>
      </c>
      <c r="I51" s="17" t="str">
        <f>VLOOKUP(D51,Sheet1!E:K,6,FALSE)</f>
        <v>8709884394</v>
      </c>
      <c r="J51" s="33" t="s">
        <v>15</v>
      </c>
      <c r="K51" s="37" t="s">
        <v>3644</v>
      </c>
      <c r="L51" t="s">
        <v>3647</v>
      </c>
    </row>
    <row r="52" spans="1:12">
      <c r="A52" s="17">
        <v>51</v>
      </c>
      <c r="B52" s="17" t="s">
        <v>1000</v>
      </c>
      <c r="C52" s="17">
        <v>2022583301</v>
      </c>
      <c r="D52" s="17">
        <v>2201010885</v>
      </c>
      <c r="E52" s="17" t="s">
        <v>1801</v>
      </c>
      <c r="F52" s="17" t="e">
        <f>VLOOKUP(C52,'Fast Track '!B:C,2,FALSE)</f>
        <v>#N/A</v>
      </c>
      <c r="G52" s="17" t="s">
        <v>3707</v>
      </c>
      <c r="H52" s="17" t="str">
        <f>VLOOKUP(C52,Sheet1!D:J,6,FALSE)</f>
        <v>2022583301.anuj@pt.sharda.ac.in</v>
      </c>
      <c r="I52" s="17" t="str">
        <f>VLOOKUP(D52,Sheet1!E:K,6,FALSE)</f>
        <v>8090322789</v>
      </c>
      <c r="J52" s="33" t="s">
        <v>15</v>
      </c>
      <c r="K52" s="37" t="s">
        <v>3644</v>
      </c>
      <c r="L52" t="s">
        <v>3647</v>
      </c>
    </row>
    <row r="53" spans="1:12">
      <c r="A53" s="17">
        <v>52</v>
      </c>
      <c r="B53" s="17" t="s">
        <v>1002</v>
      </c>
      <c r="C53" s="17">
        <v>2022592906</v>
      </c>
      <c r="D53" s="17">
        <v>2201010889</v>
      </c>
      <c r="E53" s="17" t="s">
        <v>1801</v>
      </c>
      <c r="F53" s="17" t="e">
        <f>VLOOKUP(C53,'Fast Track '!B:C,2,FALSE)</f>
        <v>#N/A</v>
      </c>
      <c r="G53" s="17" t="s">
        <v>3707</v>
      </c>
      <c r="H53" s="17" t="str">
        <f>VLOOKUP(C53,Sheet1!D:J,6,FALSE)</f>
        <v>2022592906.samdershi@pt.sharda.ac.in</v>
      </c>
      <c r="I53" s="17" t="str">
        <f>VLOOKUP(D53,Sheet1!E:K,6,FALSE)</f>
        <v>9799320169</v>
      </c>
      <c r="J53" s="33" t="s">
        <v>15</v>
      </c>
      <c r="K53" s="37" t="s">
        <v>3644</v>
      </c>
      <c r="L53" t="s">
        <v>3647</v>
      </c>
    </row>
    <row r="54" spans="1:12">
      <c r="A54" s="17">
        <v>53</v>
      </c>
      <c r="B54" s="17" t="s">
        <v>1004</v>
      </c>
      <c r="C54" s="17">
        <v>2022596015</v>
      </c>
      <c r="D54" s="17">
        <v>2201010893</v>
      </c>
      <c r="E54" s="17" t="s">
        <v>1801</v>
      </c>
      <c r="F54" s="17" t="e">
        <f>VLOOKUP(C54,'Fast Track '!B:C,2,FALSE)</f>
        <v>#N/A</v>
      </c>
      <c r="G54" s="17" t="s">
        <v>3707</v>
      </c>
      <c r="H54" s="17" t="str">
        <f>VLOOKUP(C54,Sheet1!D:J,6,FALSE)</f>
        <v>2022596015.manoj@pt.sharda.ac.in</v>
      </c>
      <c r="I54" s="17" t="str">
        <f>VLOOKUP(D54,Sheet1!E:K,6,FALSE)</f>
        <v>9122808279</v>
      </c>
      <c r="J54" s="33" t="s">
        <v>15</v>
      </c>
      <c r="K54" s="37" t="s">
        <v>3644</v>
      </c>
      <c r="L54" t="s">
        <v>3647</v>
      </c>
    </row>
    <row r="55" spans="1:12">
      <c r="A55" s="17">
        <v>54</v>
      </c>
      <c r="B55" s="17" t="s">
        <v>1264</v>
      </c>
      <c r="C55" s="17">
        <v>2022609610</v>
      </c>
      <c r="D55" s="17">
        <v>2201010899</v>
      </c>
      <c r="E55" s="17" t="s">
        <v>1801</v>
      </c>
      <c r="F55" s="17" t="e">
        <f>VLOOKUP(C55,'Fast Track '!B:C,2,FALSE)</f>
        <v>#N/A</v>
      </c>
      <c r="G55" s="17" t="s">
        <v>3707</v>
      </c>
      <c r="H55" s="17" t="str">
        <f>VLOOKUP(C55,Sheet1!D:J,6,FALSE)</f>
        <v>2022609610.ajay@pt.sharda.ac.in</v>
      </c>
      <c r="I55" s="17" t="str">
        <f>VLOOKUP(D55,Sheet1!E:K,6,FALSE)</f>
        <v>7033292805</v>
      </c>
      <c r="J55" s="33" t="s">
        <v>15</v>
      </c>
      <c r="K55" s="37" t="s">
        <v>3644</v>
      </c>
      <c r="L55" t="s">
        <v>3647</v>
      </c>
    </row>
    <row r="56" spans="1:12">
      <c r="A56" s="17">
        <v>55</v>
      </c>
      <c r="B56" s="17" t="s">
        <v>774</v>
      </c>
      <c r="C56" s="17">
        <v>2022837427</v>
      </c>
      <c r="D56" s="17">
        <v>2201010913</v>
      </c>
      <c r="E56" s="17" t="s">
        <v>1801</v>
      </c>
      <c r="F56" s="17" t="e">
        <f>VLOOKUP(C56,'Fast Track '!B:C,2,FALSE)</f>
        <v>#N/A</v>
      </c>
      <c r="G56" s="17" t="s">
        <v>3707</v>
      </c>
      <c r="H56" s="17" t="str">
        <f>VLOOKUP(C56,Sheet1!D:J,6,FALSE)</f>
        <v>2022837427.kanhaiyalal@pt.sharda.ac.in</v>
      </c>
      <c r="I56" s="17" t="str">
        <f>VLOOKUP(D56,Sheet1!E:K,6,FALSE)</f>
        <v>977 9813003131</v>
      </c>
      <c r="J56" s="33" t="s">
        <v>15</v>
      </c>
      <c r="K56" s="37" t="s">
        <v>3644</v>
      </c>
      <c r="L56" t="s">
        <v>3647</v>
      </c>
    </row>
    <row r="57" spans="1:12">
      <c r="A57" s="17">
        <v>56</v>
      </c>
      <c r="B57" s="17" t="s">
        <v>1008</v>
      </c>
      <c r="C57" s="17">
        <v>2023524672</v>
      </c>
      <c r="D57" s="17">
        <v>2301017018</v>
      </c>
      <c r="E57" s="17" t="s">
        <v>1801</v>
      </c>
      <c r="F57" s="17" t="e">
        <f>VLOOKUP(C57,'Fast Track '!B:C,2,FALSE)</f>
        <v>#N/A</v>
      </c>
      <c r="G57" s="17" t="s">
        <v>3707</v>
      </c>
      <c r="H57" s="17" t="str">
        <f>VLOOKUP(C57,Sheet1!D:J,6,FALSE)</f>
        <v>2023524672.sunil@pt.sharda.ac.in</v>
      </c>
      <c r="I57" s="17" t="str">
        <f>VLOOKUP(D57,Sheet1!E:K,6,FALSE)</f>
        <v>8368285187</v>
      </c>
      <c r="J57" s="33" t="s">
        <v>15</v>
      </c>
      <c r="K57" s="37" t="s">
        <v>3644</v>
      </c>
      <c r="L57" t="s">
        <v>3647</v>
      </c>
    </row>
    <row r="58" spans="1:12">
      <c r="A58" s="17">
        <v>57</v>
      </c>
      <c r="B58" s="19" t="s">
        <v>1815</v>
      </c>
      <c r="C58" s="20">
        <v>2021479763</v>
      </c>
      <c r="D58" s="20">
        <v>210101025</v>
      </c>
      <c r="E58" s="17" t="s">
        <v>1801</v>
      </c>
      <c r="F58" s="17" t="e">
        <f>VLOOKUP(C58,'Fast Track '!B:C,2,FALSE)</f>
        <v>#N/A</v>
      </c>
      <c r="G58" s="17" t="s">
        <v>3707</v>
      </c>
      <c r="H58" s="6" t="s">
        <v>1945</v>
      </c>
      <c r="I58" s="6">
        <v>9140907009</v>
      </c>
      <c r="J58" s="34" t="s">
        <v>15</v>
      </c>
      <c r="K58" s="37" t="s">
        <v>3644</v>
      </c>
      <c r="L58" t="s">
        <v>3647</v>
      </c>
    </row>
    <row r="59" spans="1:12">
      <c r="A59" s="17">
        <v>58</v>
      </c>
      <c r="B59" s="22" t="s">
        <v>1818</v>
      </c>
      <c r="C59" s="20">
        <v>2024389953</v>
      </c>
      <c r="D59" s="20"/>
      <c r="E59" s="17" t="s">
        <v>1801</v>
      </c>
      <c r="F59" s="17" t="e">
        <f>VLOOKUP(C59,'Fast Track '!B:C,2,FALSE)</f>
        <v>#N/A</v>
      </c>
      <c r="G59" s="17" t="s">
        <v>3707</v>
      </c>
      <c r="H59" s="6">
        <v>0</v>
      </c>
      <c r="I59" s="6">
        <v>9693101494</v>
      </c>
      <c r="J59" s="34" t="s">
        <v>15</v>
      </c>
      <c r="K59" s="37" t="s">
        <v>3644</v>
      </c>
      <c r="L59" t="s">
        <v>3647</v>
      </c>
    </row>
    <row r="60" spans="1:12">
      <c r="A60" s="17">
        <v>59</v>
      </c>
      <c r="B60" s="6" t="s">
        <v>1417</v>
      </c>
      <c r="C60" s="7">
        <v>2022006289</v>
      </c>
      <c r="D60" s="7">
        <v>2201010959</v>
      </c>
      <c r="E60" s="17" t="s">
        <v>1801</v>
      </c>
      <c r="F60" s="17" t="str">
        <f>VLOOKUP(C60,'Fast Track '!B:C,2,FALSE)</f>
        <v xml:space="preserve">Fasttrack </v>
      </c>
      <c r="G60" s="17"/>
      <c r="H60" s="6" t="s">
        <v>3337</v>
      </c>
      <c r="I60" s="6" t="s">
        <v>3338</v>
      </c>
      <c r="J60" s="6" t="s">
        <v>1396</v>
      </c>
      <c r="K60" s="37" t="s">
        <v>3644</v>
      </c>
      <c r="L60" t="s">
        <v>3647</v>
      </c>
    </row>
    <row r="61" spans="1:12">
      <c r="A61" s="17">
        <v>60</v>
      </c>
      <c r="B61" s="6" t="s">
        <v>1437</v>
      </c>
      <c r="C61" s="7">
        <v>2022008160</v>
      </c>
      <c r="D61" s="7">
        <v>2201010970</v>
      </c>
      <c r="E61" s="17" t="s">
        <v>1801</v>
      </c>
      <c r="F61" s="17" t="e">
        <f>VLOOKUP(C61,'Fast Track '!B:C,2,FALSE)</f>
        <v>#N/A</v>
      </c>
      <c r="G61" s="17" t="s">
        <v>3707</v>
      </c>
      <c r="H61" s="6" t="s">
        <v>3339</v>
      </c>
      <c r="I61" s="6" t="s">
        <v>3340</v>
      </c>
      <c r="J61" s="6" t="s">
        <v>1396</v>
      </c>
      <c r="K61" s="37" t="s">
        <v>3644</v>
      </c>
      <c r="L61" t="s">
        <v>3647</v>
      </c>
    </row>
    <row r="62" spans="1:12">
      <c r="A62" s="17">
        <v>61</v>
      </c>
      <c r="B62" s="6" t="s">
        <v>1423</v>
      </c>
      <c r="C62" s="7">
        <v>2022006860</v>
      </c>
      <c r="D62" s="7">
        <v>2201010154</v>
      </c>
      <c r="E62" s="17" t="s">
        <v>1801</v>
      </c>
      <c r="F62" s="17" t="e">
        <f>VLOOKUP(C62,'Fast Track '!B:C,2,FALSE)</f>
        <v>#N/A</v>
      </c>
      <c r="G62" s="17" t="s">
        <v>3707</v>
      </c>
      <c r="H62" s="6" t="s">
        <v>3425</v>
      </c>
      <c r="I62" s="6" t="s">
        <v>3426</v>
      </c>
      <c r="J62" s="6" t="s">
        <v>1396</v>
      </c>
      <c r="K62" s="37" t="s">
        <v>3644</v>
      </c>
      <c r="L62" t="s">
        <v>3647</v>
      </c>
    </row>
    <row r="63" spans="1:12">
      <c r="A63" s="17">
        <v>62</v>
      </c>
      <c r="B63" s="6" t="s">
        <v>1140</v>
      </c>
      <c r="C63" s="7">
        <v>2022489738</v>
      </c>
      <c r="D63" s="7">
        <v>2201010276</v>
      </c>
      <c r="E63" s="17" t="s">
        <v>1801</v>
      </c>
      <c r="F63" s="17" t="e">
        <f>VLOOKUP(C63,'Fast Track '!B:C,2,FALSE)</f>
        <v>#N/A</v>
      </c>
      <c r="G63" s="17" t="s">
        <v>3707</v>
      </c>
      <c r="H63" s="6" t="s">
        <v>3427</v>
      </c>
      <c r="I63" s="6" t="s">
        <v>3428</v>
      </c>
      <c r="J63" s="6" t="s">
        <v>1396</v>
      </c>
      <c r="K63" s="37" t="s">
        <v>3644</v>
      </c>
      <c r="L63" t="s">
        <v>3647</v>
      </c>
    </row>
    <row r="64" spans="1:12">
      <c r="A64" s="17">
        <v>63</v>
      </c>
      <c r="B64" s="6" t="s">
        <v>1394</v>
      </c>
      <c r="C64" s="7">
        <v>2022002885</v>
      </c>
      <c r="D64" s="7">
        <v>2201010957</v>
      </c>
      <c r="E64" s="17" t="s">
        <v>1801</v>
      </c>
      <c r="F64" s="17" t="e">
        <f>VLOOKUP(C64,'Fast Track '!B:C,2,FALSE)</f>
        <v>#N/A</v>
      </c>
      <c r="G64" s="17" t="s">
        <v>3707</v>
      </c>
      <c r="H64" s="6" t="s">
        <v>3429</v>
      </c>
      <c r="I64" s="6" t="s">
        <v>3430</v>
      </c>
      <c r="J64" s="6" t="s">
        <v>1396</v>
      </c>
      <c r="K64" s="37" t="s">
        <v>3644</v>
      </c>
      <c r="L64" t="s">
        <v>3647</v>
      </c>
    </row>
    <row r="65" spans="1:12">
      <c r="A65" s="17">
        <v>64</v>
      </c>
      <c r="B65" s="6" t="s">
        <v>1404</v>
      </c>
      <c r="C65" s="7">
        <v>2022004595</v>
      </c>
      <c r="D65" s="7">
        <v>2201010958</v>
      </c>
      <c r="E65" s="17" t="s">
        <v>1801</v>
      </c>
      <c r="F65" s="17" t="e">
        <f>VLOOKUP(C65,'Fast Track '!B:C,2,FALSE)</f>
        <v>#N/A</v>
      </c>
      <c r="G65" s="17" t="s">
        <v>3707</v>
      </c>
      <c r="H65" s="6" t="s">
        <v>3431</v>
      </c>
      <c r="I65" s="6" t="s">
        <v>3432</v>
      </c>
      <c r="J65" s="6" t="s">
        <v>1396</v>
      </c>
      <c r="K65" s="37" t="s">
        <v>3644</v>
      </c>
      <c r="L65" t="s">
        <v>3647</v>
      </c>
    </row>
    <row r="66" spans="1:12">
      <c r="A66" s="17">
        <v>65</v>
      </c>
      <c r="B66" s="17" t="s">
        <v>1798</v>
      </c>
      <c r="C66" s="17">
        <v>2020516582</v>
      </c>
      <c r="D66" s="17">
        <v>200101181</v>
      </c>
      <c r="E66" s="17" t="s">
        <v>1803</v>
      </c>
      <c r="F66" s="17" t="e">
        <f>VLOOKUP(C66,'Fast Track '!B:C,2,FALSE)</f>
        <v>#N/A</v>
      </c>
      <c r="G66" s="17" t="s">
        <v>3707</v>
      </c>
      <c r="H66" s="17"/>
      <c r="I66" s="17">
        <f>VLOOKUP(D66,Sheet1!E:K,6,FALSE)</f>
        <v>9319072044</v>
      </c>
      <c r="J66" s="17" t="s">
        <v>15</v>
      </c>
      <c r="K66" s="37" t="s">
        <v>3645</v>
      </c>
      <c r="L66" t="s">
        <v>3796</v>
      </c>
    </row>
    <row r="67" spans="1:12">
      <c r="A67" s="17">
        <v>66</v>
      </c>
      <c r="B67" s="17" t="s">
        <v>1799</v>
      </c>
      <c r="C67" s="17">
        <v>2021378869</v>
      </c>
      <c r="D67" s="17">
        <v>210101036</v>
      </c>
      <c r="E67" s="17" t="s">
        <v>1803</v>
      </c>
      <c r="F67" s="17" t="e">
        <f>VLOOKUP(C67,'Fast Track '!B:C,2,FALSE)</f>
        <v>#N/A</v>
      </c>
      <c r="G67" s="17" t="s">
        <v>3707</v>
      </c>
      <c r="H67" s="17"/>
      <c r="I67" s="17" t="str">
        <f>VLOOKUP(D67,Sheet1!E:K,6,FALSE)</f>
        <v>7718237260</v>
      </c>
      <c r="J67" s="17" t="s">
        <v>15</v>
      </c>
      <c r="K67" s="37" t="s">
        <v>3645</v>
      </c>
      <c r="L67" t="s">
        <v>3796</v>
      </c>
    </row>
    <row r="68" spans="1:12">
      <c r="A68" s="17">
        <v>67</v>
      </c>
      <c r="B68" s="17" t="s">
        <v>1022</v>
      </c>
      <c r="C68" s="17">
        <v>2021003785</v>
      </c>
      <c r="D68" s="17">
        <v>210101586</v>
      </c>
      <c r="E68" s="17" t="s">
        <v>1803</v>
      </c>
      <c r="F68" s="17" t="e">
        <f>VLOOKUP(C68,'Fast Track '!B:C,2,FALSE)</f>
        <v>#N/A</v>
      </c>
      <c r="G68" s="17" t="s">
        <v>3707</v>
      </c>
      <c r="H68" s="17" t="s">
        <v>1023</v>
      </c>
      <c r="I68" s="17" t="str">
        <f>VLOOKUP(D68,Sheet1!E:K,6,FALSE)</f>
        <v>9871907908</v>
      </c>
      <c r="J68" s="17" t="s">
        <v>15</v>
      </c>
      <c r="K68" s="37" t="s">
        <v>3645</v>
      </c>
      <c r="L68" t="s">
        <v>3796</v>
      </c>
    </row>
    <row r="69" spans="1:12">
      <c r="A69" s="17">
        <v>68</v>
      </c>
      <c r="B69" s="17" t="s">
        <v>1042</v>
      </c>
      <c r="C69" s="17">
        <v>2022003574</v>
      </c>
      <c r="D69" s="17">
        <v>2201010001</v>
      </c>
      <c r="E69" s="17" t="s">
        <v>1803</v>
      </c>
      <c r="F69" s="17" t="e">
        <f>VLOOKUP(C69,'Fast Track '!B:C,2,FALSE)</f>
        <v>#N/A</v>
      </c>
      <c r="G69" s="17" t="s">
        <v>3707</v>
      </c>
      <c r="H69" s="17" t="s">
        <v>1043</v>
      </c>
      <c r="I69" s="17" t="str">
        <f>VLOOKUP(D69,Sheet1!E:K,6,FALSE)</f>
        <v>9971308744</v>
      </c>
      <c r="J69" s="17" t="s">
        <v>15</v>
      </c>
      <c r="K69" s="37" t="s">
        <v>3645</v>
      </c>
      <c r="L69" t="s">
        <v>3796</v>
      </c>
    </row>
    <row r="70" spans="1:12">
      <c r="A70" s="17">
        <v>69</v>
      </c>
      <c r="B70" s="17" t="s">
        <v>1070</v>
      </c>
      <c r="C70" s="17">
        <v>2022360529</v>
      </c>
      <c r="D70" s="17">
        <v>2201010022</v>
      </c>
      <c r="E70" s="17" t="s">
        <v>1803</v>
      </c>
      <c r="F70" s="17" t="e">
        <f>VLOOKUP(C70,'Fast Track '!B:C,2,FALSE)</f>
        <v>#N/A</v>
      </c>
      <c r="G70" s="17" t="s">
        <v>3707</v>
      </c>
      <c r="H70" s="17" t="s">
        <v>1071</v>
      </c>
      <c r="I70" s="17" t="str">
        <f>VLOOKUP(D70,Sheet1!E:K,6,FALSE)</f>
        <v>7300965989</v>
      </c>
      <c r="J70" s="17" t="s">
        <v>15</v>
      </c>
      <c r="K70" s="37" t="s">
        <v>3645</v>
      </c>
      <c r="L70" t="s">
        <v>3796</v>
      </c>
    </row>
    <row r="71" spans="1:12">
      <c r="A71" s="17">
        <v>70</v>
      </c>
      <c r="B71" s="17" t="s">
        <v>1112</v>
      </c>
      <c r="C71" s="17">
        <v>2022538932</v>
      </c>
      <c r="D71" s="17">
        <v>2201010096</v>
      </c>
      <c r="E71" s="17" t="s">
        <v>1803</v>
      </c>
      <c r="F71" s="17" t="e">
        <f>VLOOKUP(C71,'Fast Track '!B:C,2,FALSE)</f>
        <v>#N/A</v>
      </c>
      <c r="G71" s="17" t="s">
        <v>3707</v>
      </c>
      <c r="H71" s="17" t="s">
        <v>1113</v>
      </c>
      <c r="I71" s="17" t="str">
        <f>VLOOKUP(D71,Sheet1!E:K,6,FALSE)</f>
        <v>9625789885</v>
      </c>
      <c r="J71" s="17" t="s">
        <v>15</v>
      </c>
      <c r="K71" s="37" t="s">
        <v>3645</v>
      </c>
      <c r="L71" t="s">
        <v>3796</v>
      </c>
    </row>
    <row r="72" spans="1:12">
      <c r="A72" s="17">
        <v>71</v>
      </c>
      <c r="B72" s="17" t="s">
        <v>1038</v>
      </c>
      <c r="C72" s="17">
        <v>2022002787</v>
      </c>
      <c r="D72" s="17">
        <v>2201010105</v>
      </c>
      <c r="E72" s="17" t="s">
        <v>1803</v>
      </c>
      <c r="F72" s="17" t="e">
        <f>VLOOKUP(C72,'Fast Track '!B:C,2,FALSE)</f>
        <v>#N/A</v>
      </c>
      <c r="G72" s="17" t="s">
        <v>3707</v>
      </c>
      <c r="H72" s="17" t="s">
        <v>1039</v>
      </c>
      <c r="I72" s="17" t="str">
        <f>VLOOKUP(D72,Sheet1!E:K,6,FALSE)</f>
        <v>8707433483</v>
      </c>
      <c r="J72" s="17" t="s">
        <v>15</v>
      </c>
      <c r="K72" s="37" t="s">
        <v>3645</v>
      </c>
      <c r="L72" t="s">
        <v>3796</v>
      </c>
    </row>
    <row r="73" spans="1:12">
      <c r="A73" s="17">
        <v>72</v>
      </c>
      <c r="B73" s="17" t="s">
        <v>1052</v>
      </c>
      <c r="C73" s="17">
        <v>2022005229</v>
      </c>
      <c r="D73" s="17">
        <v>2201010115</v>
      </c>
      <c r="E73" s="17" t="s">
        <v>1803</v>
      </c>
      <c r="F73" s="17" t="e">
        <f>VLOOKUP(C73,'Fast Track '!B:C,2,FALSE)</f>
        <v>#N/A</v>
      </c>
      <c r="G73" s="17" t="s">
        <v>3707</v>
      </c>
      <c r="H73" s="17" t="s">
        <v>1053</v>
      </c>
      <c r="I73" s="17" t="str">
        <f>VLOOKUP(D73,Sheet1!E:K,6,FALSE)</f>
        <v>7827845687</v>
      </c>
      <c r="J73" s="17" t="s">
        <v>15</v>
      </c>
      <c r="K73" s="37" t="s">
        <v>3645</v>
      </c>
      <c r="L73" t="s">
        <v>3796</v>
      </c>
    </row>
    <row r="74" spans="1:12">
      <c r="A74" s="17">
        <v>73</v>
      </c>
      <c r="B74" s="17" t="s">
        <v>1014</v>
      </c>
      <c r="C74" s="17">
        <v>2022419571</v>
      </c>
      <c r="D74" s="17">
        <v>2201010146</v>
      </c>
      <c r="E74" s="17" t="s">
        <v>1803</v>
      </c>
      <c r="F74" s="17" t="e">
        <f>VLOOKUP(C74,'Fast Track '!B:C,2,FALSE)</f>
        <v>#N/A</v>
      </c>
      <c r="G74" s="17" t="s">
        <v>3707</v>
      </c>
      <c r="H74" s="17" t="s">
        <v>1015</v>
      </c>
      <c r="I74" s="17" t="str">
        <f>VLOOKUP(D74,Sheet1!E:K,6,FALSE)</f>
        <v>9779994998</v>
      </c>
      <c r="J74" s="17" t="s">
        <v>15</v>
      </c>
      <c r="K74" s="37" t="s">
        <v>3644</v>
      </c>
      <c r="L74" t="s">
        <v>3796</v>
      </c>
    </row>
    <row r="75" spans="1:12">
      <c r="A75" s="17">
        <v>74</v>
      </c>
      <c r="B75" s="17" t="s">
        <v>1084</v>
      </c>
      <c r="C75" s="17">
        <v>2022433389</v>
      </c>
      <c r="D75" s="17">
        <v>2201010183</v>
      </c>
      <c r="E75" s="17" t="s">
        <v>1803</v>
      </c>
      <c r="F75" s="17" t="e">
        <f>VLOOKUP(C75,'Fast Track '!B:C,2,FALSE)</f>
        <v>#N/A</v>
      </c>
      <c r="G75" s="17" t="s">
        <v>3707</v>
      </c>
      <c r="H75" s="17" t="s">
        <v>1085</v>
      </c>
      <c r="I75" s="17" t="str">
        <f>VLOOKUP(D75,Sheet1!E:K,6,FALSE)</f>
        <v>9492465566</v>
      </c>
      <c r="J75" s="17" t="s">
        <v>15</v>
      </c>
      <c r="K75" s="37" t="s">
        <v>3645</v>
      </c>
      <c r="L75" t="s">
        <v>3796</v>
      </c>
    </row>
    <row r="76" spans="1:12">
      <c r="A76" s="17">
        <v>75</v>
      </c>
      <c r="B76" s="17" t="s">
        <v>1032</v>
      </c>
      <c r="C76" s="17">
        <v>2022002578</v>
      </c>
      <c r="D76" s="17">
        <v>2201010184</v>
      </c>
      <c r="E76" s="17" t="s">
        <v>1803</v>
      </c>
      <c r="F76" s="17" t="e">
        <f>VLOOKUP(C76,'Fast Track '!B:C,2,FALSE)</f>
        <v>#N/A</v>
      </c>
      <c r="G76" s="17" t="s">
        <v>3707</v>
      </c>
      <c r="H76" s="17" t="s">
        <v>1033</v>
      </c>
      <c r="I76" s="17" t="str">
        <f>VLOOKUP(D76,Sheet1!E:K,6,FALSE)</f>
        <v>7735324362</v>
      </c>
      <c r="J76" s="17" t="s">
        <v>15</v>
      </c>
      <c r="K76" s="37" t="s">
        <v>3645</v>
      </c>
      <c r="L76" t="s">
        <v>3796</v>
      </c>
    </row>
    <row r="77" spans="1:12">
      <c r="A77" s="17">
        <v>76</v>
      </c>
      <c r="B77" s="17" t="s">
        <v>1050</v>
      </c>
      <c r="C77" s="17">
        <v>2022005228</v>
      </c>
      <c r="D77" s="17">
        <v>2201010194</v>
      </c>
      <c r="E77" s="17" t="s">
        <v>1803</v>
      </c>
      <c r="F77" s="17" t="e">
        <f>VLOOKUP(C77,'Fast Track '!B:C,2,FALSE)</f>
        <v>#N/A</v>
      </c>
      <c r="G77" s="17" t="s">
        <v>3707</v>
      </c>
      <c r="H77" s="17" t="s">
        <v>1051</v>
      </c>
      <c r="I77" s="17" t="str">
        <f>VLOOKUP(D77,Sheet1!E:K,6,FALSE)</f>
        <v>9267929004</v>
      </c>
      <c r="J77" s="17" t="s">
        <v>15</v>
      </c>
      <c r="K77" s="37" t="s">
        <v>3645</v>
      </c>
      <c r="L77" t="s">
        <v>3796</v>
      </c>
    </row>
    <row r="78" spans="1:12">
      <c r="A78" s="17">
        <v>77</v>
      </c>
      <c r="B78" s="17" t="s">
        <v>1066</v>
      </c>
      <c r="C78" s="17">
        <v>2022349970</v>
      </c>
      <c r="D78" s="17">
        <v>2201010201</v>
      </c>
      <c r="E78" s="17" t="s">
        <v>1803</v>
      </c>
      <c r="F78" s="17" t="e">
        <f>VLOOKUP(C78,'Fast Track '!B:C,2,FALSE)</f>
        <v>#N/A</v>
      </c>
      <c r="G78" s="17" t="s">
        <v>3707</v>
      </c>
      <c r="H78" s="17" t="s">
        <v>1067</v>
      </c>
      <c r="I78" s="17" t="str">
        <f>VLOOKUP(D78,Sheet1!E:K,6,FALSE)</f>
        <v>9873222919</v>
      </c>
      <c r="J78" s="17" t="s">
        <v>15</v>
      </c>
      <c r="K78" s="37" t="s">
        <v>3645</v>
      </c>
      <c r="L78" t="s">
        <v>3796</v>
      </c>
    </row>
    <row r="79" spans="1:12">
      <c r="A79" s="17">
        <v>78</v>
      </c>
      <c r="B79" s="17" t="s">
        <v>1124</v>
      </c>
      <c r="C79" s="17">
        <v>2022804425</v>
      </c>
      <c r="D79" s="17">
        <v>2201010297</v>
      </c>
      <c r="E79" s="17" t="s">
        <v>1803</v>
      </c>
      <c r="F79" s="17" t="e">
        <f>VLOOKUP(C79,'Fast Track '!B:C,2,FALSE)</f>
        <v>#N/A</v>
      </c>
      <c r="G79" s="17" t="s">
        <v>3707</v>
      </c>
      <c r="H79" s="17" t="s">
        <v>1125</v>
      </c>
      <c r="I79" s="17" t="str">
        <f>VLOOKUP(D79,Sheet1!E:K,6,FALSE)</f>
        <v>91 9711260822</v>
      </c>
      <c r="J79" s="17" t="s">
        <v>15</v>
      </c>
      <c r="K79" s="37" t="s">
        <v>3645</v>
      </c>
      <c r="L79" t="s">
        <v>3796</v>
      </c>
    </row>
    <row r="80" spans="1:12">
      <c r="A80" s="17">
        <v>79</v>
      </c>
      <c r="B80" s="17" t="s">
        <v>1040</v>
      </c>
      <c r="C80" s="17">
        <v>2022003231</v>
      </c>
      <c r="D80" s="17">
        <v>2201010312</v>
      </c>
      <c r="E80" s="17" t="s">
        <v>1803</v>
      </c>
      <c r="F80" s="17" t="e">
        <f>VLOOKUP(C80,'Fast Track '!B:C,2,FALSE)</f>
        <v>#N/A</v>
      </c>
      <c r="G80" s="17" t="s">
        <v>3707</v>
      </c>
      <c r="H80" s="17" t="s">
        <v>1041</v>
      </c>
      <c r="I80" s="17" t="str">
        <f>VLOOKUP(D80,Sheet1!E:K,6,FALSE)</f>
        <v>9670105704</v>
      </c>
      <c r="J80" s="17" t="s">
        <v>15</v>
      </c>
      <c r="K80" s="37" t="s">
        <v>3645</v>
      </c>
      <c r="L80" t="s">
        <v>3796</v>
      </c>
    </row>
    <row r="81" spans="1:12">
      <c r="A81" s="17">
        <v>80</v>
      </c>
      <c r="B81" s="17" t="s">
        <v>1046</v>
      </c>
      <c r="C81" s="17">
        <v>2022004681</v>
      </c>
      <c r="D81" s="17">
        <v>2201010339</v>
      </c>
      <c r="E81" s="17" t="s">
        <v>1803</v>
      </c>
      <c r="F81" s="17" t="e">
        <f>VLOOKUP(C81,'Fast Track '!B:C,2,FALSE)</f>
        <v>#N/A</v>
      </c>
      <c r="G81" s="17" t="s">
        <v>3707</v>
      </c>
      <c r="H81" s="17" t="s">
        <v>1047</v>
      </c>
      <c r="I81" s="17" t="str">
        <f>VLOOKUP(D81,Sheet1!E:K,6,FALSE)</f>
        <v>9311608930</v>
      </c>
      <c r="J81" s="17" t="s">
        <v>15</v>
      </c>
      <c r="K81" s="37" t="s">
        <v>3645</v>
      </c>
      <c r="L81" t="s">
        <v>3796</v>
      </c>
    </row>
    <row r="82" spans="1:12">
      <c r="A82" s="17">
        <v>81</v>
      </c>
      <c r="B82" s="17" t="s">
        <v>1090</v>
      </c>
      <c r="C82" s="17">
        <v>2022455169</v>
      </c>
      <c r="D82" s="17">
        <v>2201010348</v>
      </c>
      <c r="E82" s="17" t="s">
        <v>1803</v>
      </c>
      <c r="F82" s="17" t="e">
        <f>VLOOKUP(C82,'Fast Track '!B:C,2,FALSE)</f>
        <v>#N/A</v>
      </c>
      <c r="G82" s="17" t="s">
        <v>3707</v>
      </c>
      <c r="H82" s="17" t="s">
        <v>1091</v>
      </c>
      <c r="I82" s="17" t="str">
        <f>VLOOKUP(D82,Sheet1!E:K,6,FALSE)</f>
        <v>8429045577</v>
      </c>
      <c r="J82" s="17" t="s">
        <v>15</v>
      </c>
      <c r="K82" s="37" t="s">
        <v>3645</v>
      </c>
      <c r="L82" t="s">
        <v>3796</v>
      </c>
    </row>
    <row r="83" spans="1:12">
      <c r="A83" s="17">
        <v>82</v>
      </c>
      <c r="B83" s="17" t="s">
        <v>274</v>
      </c>
      <c r="C83" s="17">
        <v>2022004703</v>
      </c>
      <c r="D83" s="17">
        <v>2201010314</v>
      </c>
      <c r="E83" s="17" t="s">
        <v>1803</v>
      </c>
      <c r="F83" s="17" t="e">
        <f>VLOOKUP(C83,'Fast Track '!B:C,2,FALSE)</f>
        <v>#N/A</v>
      </c>
      <c r="G83" s="17" t="s">
        <v>3707</v>
      </c>
      <c r="H83" s="17" t="s">
        <v>275</v>
      </c>
      <c r="I83" s="17" t="str">
        <f>VLOOKUP(D83,Sheet1!E:K,6,FALSE)</f>
        <v>7428770861</v>
      </c>
      <c r="J83" s="17" t="s">
        <v>15</v>
      </c>
      <c r="K83" s="37" t="s">
        <v>3644</v>
      </c>
      <c r="L83" t="s">
        <v>3796</v>
      </c>
    </row>
    <row r="84" spans="1:12">
      <c r="A84" s="17">
        <v>83</v>
      </c>
      <c r="B84" s="17" t="s">
        <v>1074</v>
      </c>
      <c r="C84" s="17">
        <v>2022384000</v>
      </c>
      <c r="D84" s="17">
        <v>2201010357</v>
      </c>
      <c r="E84" s="17" t="s">
        <v>1803</v>
      </c>
      <c r="F84" s="17" t="e">
        <f>VLOOKUP(C84,'Fast Track '!B:C,2,FALSE)</f>
        <v>#N/A</v>
      </c>
      <c r="G84" s="17" t="s">
        <v>3707</v>
      </c>
      <c r="H84" s="17" t="s">
        <v>1075</v>
      </c>
      <c r="I84" s="17" t="str">
        <f>VLOOKUP(D84,Sheet1!E:K,6,FALSE)</f>
        <v>7011772322</v>
      </c>
      <c r="J84" s="17" t="s">
        <v>15</v>
      </c>
      <c r="K84" s="37" t="s">
        <v>3645</v>
      </c>
      <c r="L84" t="s">
        <v>3796</v>
      </c>
    </row>
    <row r="85" spans="1:12">
      <c r="A85" s="17">
        <v>84</v>
      </c>
      <c r="B85" s="17" t="s">
        <v>1062</v>
      </c>
      <c r="C85" s="17">
        <v>2022308623</v>
      </c>
      <c r="D85" s="17">
        <v>2201010372</v>
      </c>
      <c r="E85" s="17" t="s">
        <v>1803</v>
      </c>
      <c r="F85" s="17" t="e">
        <f>VLOOKUP(C85,'Fast Track '!B:C,2,FALSE)</f>
        <v>#N/A</v>
      </c>
      <c r="G85" s="17" t="s">
        <v>3707</v>
      </c>
      <c r="H85" s="17" t="s">
        <v>1063</v>
      </c>
      <c r="I85" s="17" t="str">
        <f>VLOOKUP(D85,Sheet1!E:K,6,FALSE)</f>
        <v>9113385495</v>
      </c>
      <c r="J85" s="17" t="s">
        <v>15</v>
      </c>
      <c r="K85" s="37" t="s">
        <v>3645</v>
      </c>
      <c r="L85" t="s">
        <v>3796</v>
      </c>
    </row>
    <row r="86" spans="1:12">
      <c r="A86" s="17">
        <v>85</v>
      </c>
      <c r="B86" s="17" t="s">
        <v>1064</v>
      </c>
      <c r="C86" s="17">
        <v>2022310930</v>
      </c>
      <c r="D86" s="17">
        <v>2201010376</v>
      </c>
      <c r="E86" s="17" t="s">
        <v>1803</v>
      </c>
      <c r="F86" s="17" t="e">
        <f>VLOOKUP(C86,'Fast Track '!B:C,2,FALSE)</f>
        <v>#N/A</v>
      </c>
      <c r="G86" s="17" t="s">
        <v>3707</v>
      </c>
      <c r="H86" s="17" t="s">
        <v>1065</v>
      </c>
      <c r="I86" s="17" t="str">
        <f>VLOOKUP(D86,Sheet1!E:K,6,FALSE)</f>
        <v>9639101430</v>
      </c>
      <c r="J86" s="17" t="s">
        <v>15</v>
      </c>
      <c r="K86" s="37" t="s">
        <v>3645</v>
      </c>
      <c r="L86" t="s">
        <v>3796</v>
      </c>
    </row>
    <row r="87" spans="1:12">
      <c r="A87" s="17">
        <v>86</v>
      </c>
      <c r="B87" s="17" t="s">
        <v>1068</v>
      </c>
      <c r="C87" s="17">
        <v>2022355780</v>
      </c>
      <c r="D87" s="17">
        <v>2201010419</v>
      </c>
      <c r="E87" s="17" t="s">
        <v>1803</v>
      </c>
      <c r="F87" s="17" t="e">
        <f>VLOOKUP(C87,'Fast Track '!B:C,2,FALSE)</f>
        <v>#N/A</v>
      </c>
      <c r="G87" s="17" t="s">
        <v>3707</v>
      </c>
      <c r="H87" s="17" t="s">
        <v>1069</v>
      </c>
      <c r="I87" s="17" t="str">
        <f>VLOOKUP(D87,Sheet1!E:K,6,FALSE)</f>
        <v>9582959385</v>
      </c>
      <c r="J87" s="17" t="s">
        <v>15</v>
      </c>
      <c r="K87" s="37" t="s">
        <v>3645</v>
      </c>
      <c r="L87" t="s">
        <v>3796</v>
      </c>
    </row>
    <row r="88" spans="1:12">
      <c r="A88" s="17">
        <v>87</v>
      </c>
      <c r="B88" s="17" t="s">
        <v>1078</v>
      </c>
      <c r="C88" s="17">
        <v>2022408542</v>
      </c>
      <c r="D88" s="17">
        <v>2201010422</v>
      </c>
      <c r="E88" s="17" t="s">
        <v>1803</v>
      </c>
      <c r="F88" s="17" t="e">
        <f>VLOOKUP(C88,'Fast Track '!B:C,2,FALSE)</f>
        <v>#N/A</v>
      </c>
      <c r="G88" s="17" t="s">
        <v>3707</v>
      </c>
      <c r="H88" s="17" t="s">
        <v>1079</v>
      </c>
      <c r="I88" s="17" t="str">
        <f>VLOOKUP(D88,Sheet1!E:K,6,FALSE)</f>
        <v>8795503584</v>
      </c>
      <c r="J88" s="17" t="s">
        <v>15</v>
      </c>
      <c r="K88" s="37" t="s">
        <v>3645</v>
      </c>
      <c r="L88" t="s">
        <v>3796</v>
      </c>
    </row>
    <row r="89" spans="1:12">
      <c r="A89" s="17">
        <v>88</v>
      </c>
      <c r="B89" s="17" t="s">
        <v>1100</v>
      </c>
      <c r="C89" s="17">
        <v>2022486143</v>
      </c>
      <c r="D89" s="17">
        <v>2201010427</v>
      </c>
      <c r="E89" s="17" t="s">
        <v>1803</v>
      </c>
      <c r="F89" s="17" t="e">
        <f>VLOOKUP(C89,'Fast Track '!B:C,2,FALSE)</f>
        <v>#N/A</v>
      </c>
      <c r="G89" s="17" t="s">
        <v>3707</v>
      </c>
      <c r="H89" s="17" t="s">
        <v>1101</v>
      </c>
      <c r="I89" s="17" t="str">
        <f>VLOOKUP(D89,Sheet1!E:K,6,FALSE)</f>
        <v>9997228919</v>
      </c>
      <c r="J89" s="17" t="s">
        <v>15</v>
      </c>
      <c r="K89" s="37" t="s">
        <v>3645</v>
      </c>
      <c r="L89" t="s">
        <v>3796</v>
      </c>
    </row>
    <row r="90" spans="1:12">
      <c r="A90" s="17">
        <v>89</v>
      </c>
      <c r="B90" s="17" t="s">
        <v>1026</v>
      </c>
      <c r="C90" s="17">
        <v>2022001475</v>
      </c>
      <c r="D90" s="17">
        <v>2201010429</v>
      </c>
      <c r="E90" s="17" t="s">
        <v>1803</v>
      </c>
      <c r="F90" s="17" t="e">
        <f>VLOOKUP(C90,'Fast Track '!B:C,2,FALSE)</f>
        <v>#N/A</v>
      </c>
      <c r="G90" s="17" t="s">
        <v>3707</v>
      </c>
      <c r="H90" s="17" t="s">
        <v>1027</v>
      </c>
      <c r="I90" s="17" t="str">
        <f>VLOOKUP(D90,Sheet1!E:K,6,FALSE)</f>
        <v>7291885856</v>
      </c>
      <c r="J90" s="17" t="s">
        <v>15</v>
      </c>
      <c r="K90" s="37" t="s">
        <v>3645</v>
      </c>
      <c r="L90" t="s">
        <v>3796</v>
      </c>
    </row>
    <row r="91" spans="1:12">
      <c r="A91" s="17">
        <v>90</v>
      </c>
      <c r="B91" s="17" t="s">
        <v>1072</v>
      </c>
      <c r="C91" s="17">
        <v>2022368285</v>
      </c>
      <c r="D91" s="17">
        <v>2201010454</v>
      </c>
      <c r="E91" s="17" t="s">
        <v>1803</v>
      </c>
      <c r="F91" s="17" t="e">
        <f>VLOOKUP(C91,'Fast Track '!B:C,2,FALSE)</f>
        <v>#N/A</v>
      </c>
      <c r="G91" s="17" t="s">
        <v>3707</v>
      </c>
      <c r="H91" s="17" t="s">
        <v>1073</v>
      </c>
      <c r="I91" s="17" t="str">
        <f>VLOOKUP(D91,Sheet1!E:K,6,FALSE)</f>
        <v>7060524955</v>
      </c>
      <c r="J91" s="17" t="s">
        <v>15</v>
      </c>
      <c r="K91" s="37" t="s">
        <v>3645</v>
      </c>
      <c r="L91" t="s">
        <v>3796</v>
      </c>
    </row>
    <row r="92" spans="1:12">
      <c r="A92" s="17">
        <v>91</v>
      </c>
      <c r="B92" s="17" t="s">
        <v>1054</v>
      </c>
      <c r="C92" s="17">
        <v>2022005715</v>
      </c>
      <c r="D92" s="17">
        <v>2201010458</v>
      </c>
      <c r="E92" s="17" t="s">
        <v>1803</v>
      </c>
      <c r="F92" s="17" t="e">
        <f>VLOOKUP(C92,'Fast Track '!B:C,2,FALSE)</f>
        <v>#N/A</v>
      </c>
      <c r="G92" s="17" t="s">
        <v>3707</v>
      </c>
      <c r="H92" s="17" t="s">
        <v>1055</v>
      </c>
      <c r="I92" s="17" t="str">
        <f>VLOOKUP(D92,Sheet1!E:K,6,FALSE)</f>
        <v>7838600901</v>
      </c>
      <c r="J92" s="17" t="s">
        <v>15</v>
      </c>
      <c r="K92" s="37" t="s">
        <v>3645</v>
      </c>
      <c r="L92" t="s">
        <v>3796</v>
      </c>
    </row>
    <row r="93" spans="1:12">
      <c r="A93" s="17">
        <v>92</v>
      </c>
      <c r="B93" s="17" t="s">
        <v>1104</v>
      </c>
      <c r="C93" s="17">
        <v>2022504837</v>
      </c>
      <c r="D93" s="17">
        <v>2201010464</v>
      </c>
      <c r="E93" s="17" t="s">
        <v>1803</v>
      </c>
      <c r="F93" s="17" t="e">
        <f>VLOOKUP(C93,'Fast Track '!B:C,2,FALSE)</f>
        <v>#N/A</v>
      </c>
      <c r="G93" s="17" t="s">
        <v>3707</v>
      </c>
      <c r="H93" s="17" t="s">
        <v>1105</v>
      </c>
      <c r="I93" s="17" t="str">
        <f>VLOOKUP(D93,Sheet1!E:K,6,FALSE)</f>
        <v>9938101244</v>
      </c>
      <c r="J93" s="17" t="s">
        <v>15</v>
      </c>
      <c r="K93" s="37" t="s">
        <v>3644</v>
      </c>
      <c r="L93" t="s">
        <v>3796</v>
      </c>
    </row>
    <row r="94" spans="1:12">
      <c r="A94" s="17">
        <v>93</v>
      </c>
      <c r="B94" s="17" t="s">
        <v>1080</v>
      </c>
      <c r="C94" s="17">
        <v>2022413491</v>
      </c>
      <c r="D94" s="17">
        <v>2201010480</v>
      </c>
      <c r="E94" s="17" t="s">
        <v>1803</v>
      </c>
      <c r="F94" s="17" t="e">
        <f>VLOOKUP(C94,'Fast Track '!B:C,2,FALSE)</f>
        <v>#N/A</v>
      </c>
      <c r="G94" s="17" t="s">
        <v>3707</v>
      </c>
      <c r="H94" s="17" t="s">
        <v>1081</v>
      </c>
      <c r="I94" s="17" t="str">
        <f>VLOOKUP(D94,Sheet1!E:K,6,FALSE)</f>
        <v>9315976587</v>
      </c>
      <c r="J94" s="17" t="s">
        <v>15</v>
      </c>
      <c r="K94" s="37" t="s">
        <v>3644</v>
      </c>
      <c r="L94" t="s">
        <v>3796</v>
      </c>
    </row>
    <row r="95" spans="1:12">
      <c r="A95" s="17">
        <v>94</v>
      </c>
      <c r="B95" s="17" t="s">
        <v>1116</v>
      </c>
      <c r="C95" s="17">
        <v>2022550696</v>
      </c>
      <c r="D95" s="17">
        <v>2201010483</v>
      </c>
      <c r="E95" s="17" t="s">
        <v>1803</v>
      </c>
      <c r="F95" s="17" t="e">
        <f>VLOOKUP(C95,'Fast Track '!B:C,2,FALSE)</f>
        <v>#N/A</v>
      </c>
      <c r="G95" s="17" t="s">
        <v>3707</v>
      </c>
      <c r="H95" s="17" t="s">
        <v>1117</v>
      </c>
      <c r="I95" s="17" t="str">
        <f>VLOOKUP(D95,Sheet1!E:K,6,FALSE)</f>
        <v>9805516702</v>
      </c>
      <c r="J95" s="17" t="s">
        <v>15</v>
      </c>
      <c r="K95" s="37" t="s">
        <v>3644</v>
      </c>
      <c r="L95" t="s">
        <v>3796</v>
      </c>
    </row>
    <row r="96" spans="1:12">
      <c r="A96" s="17">
        <v>95</v>
      </c>
      <c r="B96" s="17" t="s">
        <v>361</v>
      </c>
      <c r="C96" s="17">
        <v>2022512176</v>
      </c>
      <c r="D96" s="17">
        <v>2201010399</v>
      </c>
      <c r="E96" s="17" t="s">
        <v>1803</v>
      </c>
      <c r="F96" s="17" t="e">
        <f>VLOOKUP(C96,'Fast Track '!B:C,2,FALSE)</f>
        <v>#N/A</v>
      </c>
      <c r="G96" s="17" t="s">
        <v>3707</v>
      </c>
      <c r="H96" s="17" t="s">
        <v>362</v>
      </c>
      <c r="I96" s="17" t="str">
        <f>VLOOKUP(D96,Sheet1!E:K,6,FALSE)</f>
        <v>9818358499</v>
      </c>
      <c r="J96" s="17" t="s">
        <v>15</v>
      </c>
      <c r="K96" s="37" t="s">
        <v>3644</v>
      </c>
      <c r="L96" t="s">
        <v>3796</v>
      </c>
    </row>
    <row r="97" spans="1:12">
      <c r="A97" s="17">
        <v>96</v>
      </c>
      <c r="B97" s="17" t="s">
        <v>1020</v>
      </c>
      <c r="C97" s="17">
        <v>2022520753</v>
      </c>
      <c r="D97" s="17">
        <v>2201010502</v>
      </c>
      <c r="E97" s="17" t="s">
        <v>1803</v>
      </c>
      <c r="F97" s="17" t="e">
        <f>VLOOKUP(C97,'Fast Track '!B:C,2,FALSE)</f>
        <v>#N/A</v>
      </c>
      <c r="G97" s="17" t="s">
        <v>3707</v>
      </c>
      <c r="H97" s="17" t="s">
        <v>1021</v>
      </c>
      <c r="I97" s="17" t="str">
        <f>VLOOKUP(D97,Sheet1!E:K,6,FALSE)</f>
        <v>9660767694</v>
      </c>
      <c r="J97" s="17" t="s">
        <v>15</v>
      </c>
      <c r="K97" s="37" t="s">
        <v>3644</v>
      </c>
      <c r="L97" t="s">
        <v>3796</v>
      </c>
    </row>
    <row r="98" spans="1:12">
      <c r="A98" s="17">
        <v>97</v>
      </c>
      <c r="B98" s="17" t="s">
        <v>1110</v>
      </c>
      <c r="C98" s="17">
        <v>2022536903</v>
      </c>
      <c r="D98" s="17">
        <v>2201010506</v>
      </c>
      <c r="E98" s="17" t="s">
        <v>1803</v>
      </c>
      <c r="F98" s="17" t="e">
        <f>VLOOKUP(C98,'Fast Track '!B:C,2,FALSE)</f>
        <v>#N/A</v>
      </c>
      <c r="G98" s="17" t="s">
        <v>3707</v>
      </c>
      <c r="H98" s="17" t="s">
        <v>1111</v>
      </c>
      <c r="I98" s="17" t="str">
        <f>VLOOKUP(D98,Sheet1!E:K,6,FALSE)</f>
        <v>6232679748</v>
      </c>
      <c r="J98" s="17" t="s">
        <v>15</v>
      </c>
      <c r="K98" s="37" t="s">
        <v>3644</v>
      </c>
      <c r="L98" t="s">
        <v>3796</v>
      </c>
    </row>
    <row r="99" spans="1:12">
      <c r="A99" s="17">
        <v>98</v>
      </c>
      <c r="B99" s="17" t="s">
        <v>1016</v>
      </c>
      <c r="C99" s="17">
        <v>2022472521</v>
      </c>
      <c r="D99" s="17">
        <v>2201010526</v>
      </c>
      <c r="E99" s="17" t="s">
        <v>1803</v>
      </c>
      <c r="F99" s="17" t="e">
        <f>VLOOKUP(C99,'Fast Track '!B:C,2,FALSE)</f>
        <v>#N/A</v>
      </c>
      <c r="G99" s="17" t="s">
        <v>3707</v>
      </c>
      <c r="H99" s="17" t="s">
        <v>1017</v>
      </c>
      <c r="I99" s="17" t="str">
        <f>VLOOKUP(D99,Sheet1!E:K,6,FALSE)</f>
        <v>8077924011</v>
      </c>
      <c r="J99" s="17" t="s">
        <v>15</v>
      </c>
      <c r="K99" s="37" t="s">
        <v>3644</v>
      </c>
      <c r="L99" t="s">
        <v>3796</v>
      </c>
    </row>
    <row r="100" spans="1:12">
      <c r="A100" s="17">
        <v>99</v>
      </c>
      <c r="B100" s="17" t="s">
        <v>1088</v>
      </c>
      <c r="C100" s="17">
        <v>2022441764</v>
      </c>
      <c r="D100" s="17">
        <v>2201010529</v>
      </c>
      <c r="E100" s="17" t="s">
        <v>1803</v>
      </c>
      <c r="F100" s="17" t="e">
        <f>VLOOKUP(C100,'Fast Track '!B:C,2,FALSE)</f>
        <v>#N/A</v>
      </c>
      <c r="G100" s="17" t="s">
        <v>3707</v>
      </c>
      <c r="H100" s="17" t="s">
        <v>1089</v>
      </c>
      <c r="I100" s="17" t="str">
        <f>VLOOKUP(D100,Sheet1!E:K,6,FALSE)</f>
        <v>7011672041</v>
      </c>
      <c r="J100" s="17" t="s">
        <v>15</v>
      </c>
      <c r="K100" s="37" t="s">
        <v>3644</v>
      </c>
      <c r="L100" t="s">
        <v>3796</v>
      </c>
    </row>
    <row r="101" spans="1:12">
      <c r="A101" s="17">
        <v>100</v>
      </c>
      <c r="B101" s="17" t="s">
        <v>1048</v>
      </c>
      <c r="C101" s="17">
        <v>2022004682</v>
      </c>
      <c r="D101" s="17">
        <v>2201010630</v>
      </c>
      <c r="E101" s="17" t="s">
        <v>1803</v>
      </c>
      <c r="F101" s="17" t="e">
        <f>VLOOKUP(C101,'Fast Track '!B:C,2,FALSE)</f>
        <v>#N/A</v>
      </c>
      <c r="G101" s="17" t="s">
        <v>3707</v>
      </c>
      <c r="H101" s="17" t="s">
        <v>1049</v>
      </c>
      <c r="I101" s="17" t="str">
        <f>VLOOKUP(D101,Sheet1!E:K,6,FALSE)</f>
        <v>7086103151</v>
      </c>
      <c r="J101" s="17" t="s">
        <v>15</v>
      </c>
      <c r="K101" s="37" t="s">
        <v>3644</v>
      </c>
      <c r="L101" t="s">
        <v>3796</v>
      </c>
    </row>
    <row r="102" spans="1:12">
      <c r="A102" s="17">
        <v>101</v>
      </c>
      <c r="B102" s="17" t="s">
        <v>1034</v>
      </c>
      <c r="C102" s="17">
        <v>2022002703</v>
      </c>
      <c r="D102" s="17">
        <v>2201010631</v>
      </c>
      <c r="E102" s="17" t="s">
        <v>1803</v>
      </c>
      <c r="F102" s="17" t="e">
        <f>VLOOKUP(C102,'Fast Track '!B:C,2,FALSE)</f>
        <v>#N/A</v>
      </c>
      <c r="G102" s="17" t="s">
        <v>3707</v>
      </c>
      <c r="H102" s="17" t="s">
        <v>1035</v>
      </c>
      <c r="I102" s="17" t="str">
        <f>VLOOKUP(D102,Sheet1!E:K,6,FALSE)</f>
        <v>9773958121</v>
      </c>
      <c r="J102" s="17" t="s">
        <v>15</v>
      </c>
      <c r="K102" s="37" t="s">
        <v>3644</v>
      </c>
      <c r="L102" t="s">
        <v>3796</v>
      </c>
    </row>
    <row r="103" spans="1:12">
      <c r="A103" s="17">
        <v>102</v>
      </c>
      <c r="B103" s="17" t="s">
        <v>1028</v>
      </c>
      <c r="C103" s="17">
        <v>2022001659</v>
      </c>
      <c r="D103" s="17">
        <v>2201010643</v>
      </c>
      <c r="E103" s="17" t="s">
        <v>1803</v>
      </c>
      <c r="F103" s="17" t="e">
        <f>VLOOKUP(C103,'Fast Track '!B:C,2,FALSE)</f>
        <v>#N/A</v>
      </c>
      <c r="G103" s="17" t="s">
        <v>3707</v>
      </c>
      <c r="H103" s="17" t="s">
        <v>1029</v>
      </c>
      <c r="I103" s="17" t="str">
        <f>VLOOKUP(D103,Sheet1!E:K,6,FALSE)</f>
        <v>8368169523</v>
      </c>
      <c r="J103" s="17" t="s">
        <v>15</v>
      </c>
      <c r="K103" s="37" t="s">
        <v>3644</v>
      </c>
      <c r="L103" t="s">
        <v>3796</v>
      </c>
    </row>
    <row r="104" spans="1:12">
      <c r="A104" s="17">
        <v>103</v>
      </c>
      <c r="B104" s="17" t="s">
        <v>1036</v>
      </c>
      <c r="C104" s="17">
        <v>2022002786</v>
      </c>
      <c r="D104" s="17">
        <v>2201010667</v>
      </c>
      <c r="E104" s="17" t="s">
        <v>1803</v>
      </c>
      <c r="F104" s="17" t="e">
        <f>VLOOKUP(C104,'Fast Track '!B:C,2,FALSE)</f>
        <v>#N/A</v>
      </c>
      <c r="G104" s="17" t="s">
        <v>3707</v>
      </c>
      <c r="H104" s="17" t="s">
        <v>1037</v>
      </c>
      <c r="I104" s="17" t="str">
        <f>VLOOKUP(D104,Sheet1!E:K,6,FALSE)</f>
        <v>6388775326</v>
      </c>
      <c r="J104" s="17" t="s">
        <v>15</v>
      </c>
      <c r="K104" s="37" t="s">
        <v>3644</v>
      </c>
      <c r="L104" t="s">
        <v>3796</v>
      </c>
    </row>
    <row r="105" spans="1:12">
      <c r="A105" s="17">
        <v>104</v>
      </c>
      <c r="B105" s="17" t="s">
        <v>1086</v>
      </c>
      <c r="C105" s="17">
        <v>2022437700</v>
      </c>
      <c r="D105" s="17">
        <v>2201010706</v>
      </c>
      <c r="E105" s="17" t="s">
        <v>1803</v>
      </c>
      <c r="F105" s="17" t="e">
        <f>VLOOKUP(C105,'Fast Track '!B:C,2,FALSE)</f>
        <v>#N/A</v>
      </c>
      <c r="G105" s="17" t="s">
        <v>3707</v>
      </c>
      <c r="H105" s="17" t="s">
        <v>1087</v>
      </c>
      <c r="I105" s="17" t="str">
        <f>VLOOKUP(D105,Sheet1!E:K,6,FALSE)</f>
        <v>9917060828</v>
      </c>
      <c r="J105" s="17" t="s">
        <v>15</v>
      </c>
      <c r="K105" s="37" t="s">
        <v>3644</v>
      </c>
      <c r="L105" t="s">
        <v>3796</v>
      </c>
    </row>
    <row r="106" spans="1:12">
      <c r="A106" s="17">
        <v>105</v>
      </c>
      <c r="B106" s="17" t="s">
        <v>1030</v>
      </c>
      <c r="C106" s="17">
        <v>2022001846</v>
      </c>
      <c r="D106" s="17">
        <v>2201010715</v>
      </c>
      <c r="E106" s="17" t="s">
        <v>1803</v>
      </c>
      <c r="F106" s="17" t="e">
        <f>VLOOKUP(C106,'Fast Track '!B:C,2,FALSE)</f>
        <v>#N/A</v>
      </c>
      <c r="G106" s="17" t="s">
        <v>3707</v>
      </c>
      <c r="H106" s="17" t="s">
        <v>1031</v>
      </c>
      <c r="I106" s="17" t="str">
        <f>VLOOKUP(D106,Sheet1!E:K,6,FALSE)</f>
        <v>6307068781</v>
      </c>
      <c r="J106" s="17" t="s">
        <v>15</v>
      </c>
      <c r="K106" s="37" t="s">
        <v>3644</v>
      </c>
      <c r="L106" t="s">
        <v>3796</v>
      </c>
    </row>
    <row r="107" spans="1:12">
      <c r="A107" s="17">
        <v>106</v>
      </c>
      <c r="B107" s="17" t="s">
        <v>1092</v>
      </c>
      <c r="C107" s="17">
        <v>2022461609</v>
      </c>
      <c r="D107" s="17">
        <v>2201010734</v>
      </c>
      <c r="E107" s="17" t="s">
        <v>1803</v>
      </c>
      <c r="F107" s="17" t="e">
        <f>VLOOKUP(C107,'Fast Track '!B:C,2,FALSE)</f>
        <v>#N/A</v>
      </c>
      <c r="G107" s="17" t="s">
        <v>3707</v>
      </c>
      <c r="H107" s="17" t="s">
        <v>1093</v>
      </c>
      <c r="I107" s="17" t="str">
        <f>VLOOKUP(D107,Sheet1!E:K,6,FALSE)</f>
        <v>8171454014</v>
      </c>
      <c r="J107" s="17" t="s">
        <v>15</v>
      </c>
      <c r="K107" s="37" t="s">
        <v>3644</v>
      </c>
      <c r="L107" t="s">
        <v>3796</v>
      </c>
    </row>
    <row r="108" spans="1:12">
      <c r="A108" s="17">
        <v>107</v>
      </c>
      <c r="B108" s="17" t="s">
        <v>1118</v>
      </c>
      <c r="C108" s="17">
        <v>2022559074</v>
      </c>
      <c r="D108" s="17">
        <v>2201010762</v>
      </c>
      <c r="E108" s="17" t="s">
        <v>1803</v>
      </c>
      <c r="F108" s="17" t="e">
        <f>VLOOKUP(C108,'Fast Track '!B:C,2,FALSE)</f>
        <v>#N/A</v>
      </c>
      <c r="G108" s="17" t="s">
        <v>3707</v>
      </c>
      <c r="H108" s="17" t="s">
        <v>1119</v>
      </c>
      <c r="I108" s="17" t="str">
        <f>VLOOKUP(D108,Sheet1!E:K,6,FALSE)</f>
        <v>8957910748</v>
      </c>
      <c r="J108" s="17" t="s">
        <v>15</v>
      </c>
      <c r="K108" s="37" t="s">
        <v>3644</v>
      </c>
      <c r="L108" t="s">
        <v>3796</v>
      </c>
    </row>
    <row r="109" spans="1:12">
      <c r="A109" s="17">
        <v>108</v>
      </c>
      <c r="B109" s="17" t="s">
        <v>1114</v>
      </c>
      <c r="C109" s="17">
        <v>2022545204</v>
      </c>
      <c r="D109" s="17">
        <v>2201010778</v>
      </c>
      <c r="E109" s="17" t="s">
        <v>1803</v>
      </c>
      <c r="F109" s="17" t="e">
        <f>VLOOKUP(C109,'Fast Track '!B:C,2,FALSE)</f>
        <v>#N/A</v>
      </c>
      <c r="G109" s="17" t="s">
        <v>3707</v>
      </c>
      <c r="H109" s="17" t="s">
        <v>1115</v>
      </c>
      <c r="I109" s="17" t="str">
        <f>VLOOKUP(D109,Sheet1!E:K,6,FALSE)</f>
        <v>7992322057</v>
      </c>
      <c r="J109" s="17" t="s">
        <v>15</v>
      </c>
      <c r="K109" s="37" t="s">
        <v>3644</v>
      </c>
      <c r="L109" t="s">
        <v>3796</v>
      </c>
    </row>
    <row r="110" spans="1:12">
      <c r="A110" s="17">
        <v>109</v>
      </c>
      <c r="B110" s="17" t="s">
        <v>1098</v>
      </c>
      <c r="C110" s="17">
        <v>2022473978</v>
      </c>
      <c r="D110" s="17">
        <v>2201010781</v>
      </c>
      <c r="E110" s="17" t="s">
        <v>1803</v>
      </c>
      <c r="F110" s="17" t="e">
        <f>VLOOKUP(C110,'Fast Track '!B:C,2,FALSE)</f>
        <v>#N/A</v>
      </c>
      <c r="G110" s="17" t="s">
        <v>3707</v>
      </c>
      <c r="H110" s="17" t="s">
        <v>1099</v>
      </c>
      <c r="I110" s="17" t="str">
        <f>VLOOKUP(D110,Sheet1!E:K,6,FALSE)</f>
        <v>8528324138</v>
      </c>
      <c r="J110" s="17" t="s">
        <v>15</v>
      </c>
      <c r="K110" s="37" t="s">
        <v>3644</v>
      </c>
      <c r="L110" t="s">
        <v>3796</v>
      </c>
    </row>
    <row r="111" spans="1:12">
      <c r="A111" s="17">
        <v>110</v>
      </c>
      <c r="B111" s="17" t="s">
        <v>1096</v>
      </c>
      <c r="C111" s="17">
        <v>2022470797</v>
      </c>
      <c r="D111" s="17">
        <v>2201010810</v>
      </c>
      <c r="E111" s="17" t="s">
        <v>1803</v>
      </c>
      <c r="F111" s="17" t="e">
        <f>VLOOKUP(C111,'Fast Track '!B:C,2,FALSE)</f>
        <v>#N/A</v>
      </c>
      <c r="G111" s="17" t="s">
        <v>3707</v>
      </c>
      <c r="H111" s="17" t="s">
        <v>1097</v>
      </c>
      <c r="I111" s="17" t="str">
        <f>VLOOKUP(D111,Sheet1!E:K,6,FALSE)</f>
        <v>8630299246</v>
      </c>
      <c r="J111" s="17" t="s">
        <v>15</v>
      </c>
      <c r="K111" s="37" t="s">
        <v>3644</v>
      </c>
      <c r="L111" t="s">
        <v>3796</v>
      </c>
    </row>
    <row r="112" spans="1:12">
      <c r="A112" s="17">
        <v>111</v>
      </c>
      <c r="B112" s="17" t="s">
        <v>1082</v>
      </c>
      <c r="C112" s="17">
        <v>2022415397</v>
      </c>
      <c r="D112" s="17">
        <v>2201010811</v>
      </c>
      <c r="E112" s="17" t="s">
        <v>1803</v>
      </c>
      <c r="F112" s="17" t="e">
        <f>VLOOKUP(C112,'Fast Track '!B:C,2,FALSE)</f>
        <v>#N/A</v>
      </c>
      <c r="G112" s="17" t="s">
        <v>3707</v>
      </c>
      <c r="H112" s="17" t="s">
        <v>1083</v>
      </c>
      <c r="I112" s="17" t="str">
        <f>VLOOKUP(D112,Sheet1!E:K,6,FALSE)</f>
        <v>6299651541</v>
      </c>
      <c r="J112" s="17" t="s">
        <v>15</v>
      </c>
      <c r="K112" s="37" t="s">
        <v>3644</v>
      </c>
      <c r="L112" t="s">
        <v>3796</v>
      </c>
    </row>
    <row r="113" spans="1:12">
      <c r="A113" s="17">
        <v>112</v>
      </c>
      <c r="B113" s="17" t="s">
        <v>1012</v>
      </c>
      <c r="C113" s="17">
        <v>2022004909</v>
      </c>
      <c r="D113" s="17">
        <v>2201010827</v>
      </c>
      <c r="E113" s="17" t="s">
        <v>1803</v>
      </c>
      <c r="F113" s="17" t="e">
        <f>VLOOKUP(C113,'Fast Track '!B:C,2,FALSE)</f>
        <v>#N/A</v>
      </c>
      <c r="G113" s="17" t="s">
        <v>3707</v>
      </c>
      <c r="H113" s="17" t="s">
        <v>1013</v>
      </c>
      <c r="I113" s="17" t="str">
        <f>VLOOKUP(D113,Sheet1!E:K,6,FALSE)</f>
        <v>9729927709</v>
      </c>
      <c r="J113" s="17" t="s">
        <v>15</v>
      </c>
      <c r="K113" s="37" t="s">
        <v>3644</v>
      </c>
      <c r="L113" t="s">
        <v>3796</v>
      </c>
    </row>
    <row r="114" spans="1:12">
      <c r="A114" s="17">
        <v>113</v>
      </c>
      <c r="B114" s="17" t="s">
        <v>1056</v>
      </c>
      <c r="C114" s="17">
        <v>2022006973</v>
      </c>
      <c r="D114" s="17">
        <v>2201010835</v>
      </c>
      <c r="E114" s="17" t="s">
        <v>1803</v>
      </c>
      <c r="F114" s="17" t="e">
        <f>VLOOKUP(C114,'Fast Track '!B:C,2,FALSE)</f>
        <v>#N/A</v>
      </c>
      <c r="G114" s="17" t="s">
        <v>3707</v>
      </c>
      <c r="H114" s="17" t="s">
        <v>1057</v>
      </c>
      <c r="I114" s="17" t="str">
        <f>VLOOKUP(D114,Sheet1!E:K,6,FALSE)</f>
        <v>7294102434</v>
      </c>
      <c r="J114" s="17" t="s">
        <v>15</v>
      </c>
      <c r="K114" s="37" t="s">
        <v>3644</v>
      </c>
      <c r="L114" t="s">
        <v>3796</v>
      </c>
    </row>
    <row r="115" spans="1:12">
      <c r="A115" s="17">
        <v>114</v>
      </c>
      <c r="B115" s="17" t="s">
        <v>1058</v>
      </c>
      <c r="C115" s="17">
        <v>2022007308</v>
      </c>
      <c r="D115" s="17">
        <v>2201010841</v>
      </c>
      <c r="E115" s="17" t="s">
        <v>1803</v>
      </c>
      <c r="F115" s="17" t="e">
        <f>VLOOKUP(C115,'Fast Track '!B:C,2,FALSE)</f>
        <v>#N/A</v>
      </c>
      <c r="G115" s="17" t="s">
        <v>3707</v>
      </c>
      <c r="H115" s="17" t="s">
        <v>1059</v>
      </c>
      <c r="I115" s="17" t="str">
        <f>VLOOKUP(D115,Sheet1!E:K,6,FALSE)</f>
        <v>9310027574</v>
      </c>
      <c r="J115" s="17" t="s">
        <v>15</v>
      </c>
      <c r="K115" s="37" t="s">
        <v>3644</v>
      </c>
      <c r="L115" t="s">
        <v>3796</v>
      </c>
    </row>
    <row r="116" spans="1:12">
      <c r="A116" s="17">
        <v>115</v>
      </c>
      <c r="B116" s="17" t="s">
        <v>1060</v>
      </c>
      <c r="C116" s="17">
        <v>2022008336</v>
      </c>
      <c r="D116" s="17">
        <v>2201010867</v>
      </c>
      <c r="E116" s="17" t="s">
        <v>1803</v>
      </c>
      <c r="F116" s="17" t="e">
        <f>VLOOKUP(C116,'Fast Track '!B:C,2,FALSE)</f>
        <v>#N/A</v>
      </c>
      <c r="G116" s="17" t="s">
        <v>3707</v>
      </c>
      <c r="H116" s="17" t="s">
        <v>1061</v>
      </c>
      <c r="I116" s="17" t="str">
        <f>VLOOKUP(D116,Sheet1!E:K,6,FALSE)</f>
        <v>0091 9958658295</v>
      </c>
      <c r="J116" s="17" t="s">
        <v>15</v>
      </c>
      <c r="K116" s="37" t="s">
        <v>3644</v>
      </c>
      <c r="L116" t="s">
        <v>3796</v>
      </c>
    </row>
    <row r="117" spans="1:12">
      <c r="A117" s="17">
        <v>116</v>
      </c>
      <c r="B117" s="17" t="s">
        <v>1076</v>
      </c>
      <c r="C117" s="17">
        <v>2022402175</v>
      </c>
      <c r="D117" s="17">
        <v>2201010871</v>
      </c>
      <c r="E117" s="17" t="s">
        <v>1803</v>
      </c>
      <c r="F117" s="17" t="e">
        <f>VLOOKUP(C117,'Fast Track '!B:C,2,FALSE)</f>
        <v>#N/A</v>
      </c>
      <c r="G117" s="17" t="s">
        <v>3707</v>
      </c>
      <c r="H117" s="17" t="s">
        <v>1077</v>
      </c>
      <c r="I117" s="17" t="str">
        <f>VLOOKUP(D117,Sheet1!E:K,6,FALSE)</f>
        <v>9125623998</v>
      </c>
      <c r="J117" s="17" t="s">
        <v>15</v>
      </c>
      <c r="K117" s="37" t="s">
        <v>3644</v>
      </c>
      <c r="L117" t="s">
        <v>3796</v>
      </c>
    </row>
    <row r="118" spans="1:12">
      <c r="A118" s="17">
        <v>117</v>
      </c>
      <c r="B118" s="17" t="s">
        <v>1120</v>
      </c>
      <c r="C118" s="17">
        <v>2022615611</v>
      </c>
      <c r="D118" s="17">
        <v>2201010902</v>
      </c>
      <c r="E118" s="17" t="s">
        <v>1803</v>
      </c>
      <c r="F118" s="17" t="e">
        <f>VLOOKUP(C118,'Fast Track '!B:C,2,FALSE)</f>
        <v>#N/A</v>
      </c>
      <c r="G118" s="17" t="s">
        <v>3707</v>
      </c>
      <c r="H118" s="17" t="s">
        <v>1121</v>
      </c>
      <c r="I118" s="17" t="str">
        <f>VLOOKUP(D118,Sheet1!E:K,6,FALSE)</f>
        <v>7006541442</v>
      </c>
      <c r="J118" s="17" t="s">
        <v>15</v>
      </c>
      <c r="K118" s="37" t="s">
        <v>3644</v>
      </c>
      <c r="L118" t="s">
        <v>3796</v>
      </c>
    </row>
    <row r="119" spans="1:12">
      <c r="A119" s="17">
        <v>118</v>
      </c>
      <c r="B119" s="17" t="s">
        <v>1122</v>
      </c>
      <c r="C119" s="17">
        <v>2022624448</v>
      </c>
      <c r="D119" s="17">
        <v>2201010907</v>
      </c>
      <c r="E119" s="17" t="s">
        <v>1803</v>
      </c>
      <c r="F119" s="17" t="e">
        <f>VLOOKUP(C119,'Fast Track '!B:C,2,FALSE)</f>
        <v>#N/A</v>
      </c>
      <c r="G119" s="17" t="s">
        <v>3707</v>
      </c>
      <c r="H119" s="17" t="s">
        <v>1123</v>
      </c>
      <c r="I119" s="17" t="str">
        <f>VLOOKUP(D119,Sheet1!E:K,6,FALSE)</f>
        <v>9693543744</v>
      </c>
      <c r="J119" s="17" t="s">
        <v>15</v>
      </c>
      <c r="K119" s="37" t="s">
        <v>3644</v>
      </c>
      <c r="L119" t="s">
        <v>3796</v>
      </c>
    </row>
    <row r="120" spans="1:12">
      <c r="A120" s="17">
        <v>119</v>
      </c>
      <c r="B120" s="17" t="s">
        <v>1126</v>
      </c>
      <c r="C120" s="17">
        <v>2022831961</v>
      </c>
      <c r="D120" s="17">
        <v>2201010909</v>
      </c>
      <c r="E120" s="17" t="s">
        <v>1803</v>
      </c>
      <c r="F120" s="17" t="e">
        <f>VLOOKUP(C120,'Fast Track '!B:C,2,FALSE)</f>
        <v>#N/A</v>
      </c>
      <c r="G120" s="17" t="s">
        <v>3707</v>
      </c>
      <c r="H120" s="17" t="s">
        <v>1127</v>
      </c>
      <c r="I120" s="17" t="str">
        <f>VLOOKUP(D120,Sheet1!E:K,6,FALSE)</f>
        <v>91 9990596179</v>
      </c>
      <c r="J120" s="17" t="s">
        <v>15</v>
      </c>
      <c r="K120" s="37" t="s">
        <v>3644</v>
      </c>
      <c r="L120" t="s">
        <v>3796</v>
      </c>
    </row>
    <row r="121" spans="1:12">
      <c r="A121" s="17">
        <v>120</v>
      </c>
      <c r="B121" s="17" t="s">
        <v>771</v>
      </c>
      <c r="C121" s="17">
        <v>2022836161</v>
      </c>
      <c r="D121" s="17">
        <v>2201010911</v>
      </c>
      <c r="E121" s="17" t="s">
        <v>1803</v>
      </c>
      <c r="F121" s="17" t="e">
        <f>VLOOKUP(C121,'Fast Track '!B:C,2,FALSE)</f>
        <v>#N/A</v>
      </c>
      <c r="G121" s="17" t="s">
        <v>3707</v>
      </c>
      <c r="H121" s="17" t="s">
        <v>772</v>
      </c>
      <c r="I121" s="17" t="str">
        <f>VLOOKUP(D121,Sheet1!E:K,6,FALSE)</f>
        <v>91 9674775066</v>
      </c>
      <c r="J121" s="17" t="s">
        <v>15</v>
      </c>
      <c r="K121" s="37" t="s">
        <v>3644</v>
      </c>
      <c r="L121" t="s">
        <v>3796</v>
      </c>
    </row>
    <row r="122" spans="1:12">
      <c r="A122" s="17">
        <v>121</v>
      </c>
      <c r="B122" s="17" t="s">
        <v>793</v>
      </c>
      <c r="C122" s="17">
        <v>2021361239</v>
      </c>
      <c r="D122" s="17">
        <v>210101480</v>
      </c>
      <c r="E122" s="17" t="s">
        <v>1803</v>
      </c>
      <c r="F122" s="17" t="e">
        <f>VLOOKUP(C122,'Fast Track '!B:C,2,FALSE)</f>
        <v>#N/A</v>
      </c>
      <c r="G122" s="17" t="s">
        <v>3707</v>
      </c>
      <c r="H122" s="17" t="s">
        <v>794</v>
      </c>
      <c r="I122" s="17" t="str">
        <f>VLOOKUP(C122,Sheet1!D:J,7,FALSE)</f>
        <v>8299431338</v>
      </c>
      <c r="J122" s="17" t="s">
        <v>15</v>
      </c>
      <c r="K122" s="37" t="s">
        <v>3644</v>
      </c>
      <c r="L122" t="s">
        <v>3796</v>
      </c>
    </row>
    <row r="123" spans="1:12">
      <c r="A123" s="17">
        <v>122</v>
      </c>
      <c r="B123" s="6" t="s">
        <v>1793</v>
      </c>
      <c r="C123" s="7">
        <v>2022826376</v>
      </c>
      <c r="D123" s="7">
        <v>2201010064</v>
      </c>
      <c r="E123" s="17" t="s">
        <v>1803</v>
      </c>
      <c r="F123" s="17" t="e">
        <f>VLOOKUP(C123,'Fast Track '!B:C,2,FALSE)</f>
        <v>#N/A</v>
      </c>
      <c r="G123" s="17" t="s">
        <v>3707</v>
      </c>
      <c r="H123" s="6" t="s">
        <v>1794</v>
      </c>
      <c r="I123" s="6" t="s">
        <v>3210</v>
      </c>
      <c r="J123" s="6" t="s">
        <v>1396</v>
      </c>
      <c r="K123" s="37" t="s">
        <v>3644</v>
      </c>
      <c r="L123" t="s">
        <v>3796</v>
      </c>
    </row>
    <row r="124" spans="1:12">
      <c r="A124" s="17">
        <v>123</v>
      </c>
      <c r="B124" s="6" t="s">
        <v>1718</v>
      </c>
      <c r="C124" s="7">
        <v>2022007474</v>
      </c>
      <c r="D124" s="7">
        <v>2201010960</v>
      </c>
      <c r="E124" s="17" t="s">
        <v>1803</v>
      </c>
      <c r="F124" s="17" t="e">
        <f>VLOOKUP(C124,'Fast Track '!B:C,2,FALSE)</f>
        <v>#N/A</v>
      </c>
      <c r="G124" s="17" t="s">
        <v>3707</v>
      </c>
      <c r="H124" s="6" t="s">
        <v>1719</v>
      </c>
      <c r="I124" s="6" t="s">
        <v>3212</v>
      </c>
      <c r="J124" s="6" t="s">
        <v>1396</v>
      </c>
      <c r="K124" s="37" t="s">
        <v>3644</v>
      </c>
      <c r="L124" t="s">
        <v>3796</v>
      </c>
    </row>
    <row r="125" spans="1:12">
      <c r="A125" s="17">
        <v>124</v>
      </c>
      <c r="B125" s="6" t="s">
        <v>1724</v>
      </c>
      <c r="C125" s="7">
        <v>2022008085</v>
      </c>
      <c r="D125" s="7">
        <v>2201010968</v>
      </c>
      <c r="E125" s="17" t="s">
        <v>1803</v>
      </c>
      <c r="F125" s="17" t="e">
        <f>VLOOKUP(C125,'Fast Track '!B:C,2,FALSE)</f>
        <v>#N/A</v>
      </c>
      <c r="G125" s="17" t="s">
        <v>3707</v>
      </c>
      <c r="H125" s="6" t="s">
        <v>1725</v>
      </c>
      <c r="I125" s="6" t="s">
        <v>3216</v>
      </c>
      <c r="J125" s="6" t="s">
        <v>1396</v>
      </c>
      <c r="K125" s="37" t="s">
        <v>3644</v>
      </c>
      <c r="L125" t="s">
        <v>3796</v>
      </c>
    </row>
    <row r="126" spans="1:12">
      <c r="A126" s="17">
        <v>125</v>
      </c>
      <c r="B126" s="6" t="s">
        <v>1726</v>
      </c>
      <c r="C126" s="7">
        <v>2022008217</v>
      </c>
      <c r="D126" s="7">
        <v>2201010971</v>
      </c>
      <c r="E126" s="17" t="s">
        <v>1803</v>
      </c>
      <c r="F126" s="17" t="e">
        <f>VLOOKUP(C126,'Fast Track '!B:C,2,FALSE)</f>
        <v>#N/A</v>
      </c>
      <c r="G126" s="17" t="s">
        <v>3707</v>
      </c>
      <c r="H126" s="6" t="s">
        <v>1727</v>
      </c>
      <c r="I126" s="6" t="s">
        <v>3218</v>
      </c>
      <c r="J126" s="6" t="s">
        <v>1396</v>
      </c>
      <c r="K126" s="37" t="s">
        <v>3644</v>
      </c>
      <c r="L126" t="s">
        <v>3796</v>
      </c>
    </row>
    <row r="127" spans="1:12">
      <c r="A127" s="17">
        <v>126</v>
      </c>
      <c r="B127" s="6" t="s">
        <v>1728</v>
      </c>
      <c r="C127" s="7">
        <v>2022008317</v>
      </c>
      <c r="D127" s="7">
        <v>2201010974</v>
      </c>
      <c r="E127" s="17" t="s">
        <v>1803</v>
      </c>
      <c r="F127" s="17" t="e">
        <f>VLOOKUP(C127,'Fast Track '!B:C,2,FALSE)</f>
        <v>#N/A</v>
      </c>
      <c r="G127" s="17" t="s">
        <v>3707</v>
      </c>
      <c r="H127" s="6" t="s">
        <v>1729</v>
      </c>
      <c r="I127" s="6" t="s">
        <v>3220</v>
      </c>
      <c r="J127" s="6" t="s">
        <v>1396</v>
      </c>
      <c r="K127" s="37" t="s">
        <v>3644</v>
      </c>
      <c r="L127" t="s">
        <v>3796</v>
      </c>
    </row>
    <row r="128" spans="1:12">
      <c r="A128" s="17">
        <v>127</v>
      </c>
      <c r="B128" s="6" t="s">
        <v>1730</v>
      </c>
      <c r="C128" s="7">
        <v>2022008331</v>
      </c>
      <c r="D128" s="7">
        <v>2201010975</v>
      </c>
      <c r="E128" s="17" t="s">
        <v>1803</v>
      </c>
      <c r="F128" s="17" t="e">
        <f>VLOOKUP(C128,'Fast Track '!B:C,2,FALSE)</f>
        <v>#N/A</v>
      </c>
      <c r="G128" s="17" t="s">
        <v>3707</v>
      </c>
      <c r="H128" s="6" t="s">
        <v>1731</v>
      </c>
      <c r="I128" s="6" t="s">
        <v>3222</v>
      </c>
      <c r="J128" s="6" t="s">
        <v>1396</v>
      </c>
      <c r="K128" s="37" t="s">
        <v>3644</v>
      </c>
      <c r="L128" t="s">
        <v>3796</v>
      </c>
    </row>
    <row r="129" spans="1:12">
      <c r="A129" s="17">
        <v>128</v>
      </c>
      <c r="B129" s="6" t="s">
        <v>1789</v>
      </c>
      <c r="C129" s="7">
        <v>2022622988</v>
      </c>
      <c r="D129" s="7">
        <v>2201010977</v>
      </c>
      <c r="E129" s="17" t="s">
        <v>1803</v>
      </c>
      <c r="F129" s="17" t="e">
        <f>VLOOKUP(C129,'Fast Track '!B:C,2,FALSE)</f>
        <v>#N/A</v>
      </c>
      <c r="G129" s="17" t="s">
        <v>3707</v>
      </c>
      <c r="H129" s="6" t="s">
        <v>1790</v>
      </c>
      <c r="I129" s="6" t="s">
        <v>3224</v>
      </c>
      <c r="J129" s="6" t="s">
        <v>1396</v>
      </c>
      <c r="K129" s="37" t="s">
        <v>3644</v>
      </c>
      <c r="L129" t="s">
        <v>3796</v>
      </c>
    </row>
    <row r="130" spans="1:12">
      <c r="A130" s="17">
        <v>129</v>
      </c>
      <c r="B130" s="17" t="s">
        <v>333</v>
      </c>
      <c r="C130" s="17">
        <v>2022480934</v>
      </c>
      <c r="D130" s="17">
        <v>2201010119</v>
      </c>
      <c r="E130" s="17" t="s">
        <v>1804</v>
      </c>
      <c r="F130" s="17" t="e">
        <f>VLOOKUP(C130,'Fast Track '!B:C,2,FALSE)</f>
        <v>#N/A</v>
      </c>
      <c r="G130" s="17" t="s">
        <v>3707</v>
      </c>
      <c r="H130" s="17" t="s">
        <v>334</v>
      </c>
      <c r="I130" s="17" t="str">
        <f>VLOOKUP(D130,Sheet1!E:K,6,FALSE)</f>
        <v>9412810713</v>
      </c>
      <c r="J130" s="17" t="s">
        <v>15</v>
      </c>
      <c r="K130" s="37" t="s">
        <v>3645</v>
      </c>
      <c r="L130" t="s">
        <v>3678</v>
      </c>
    </row>
    <row r="131" spans="1:12">
      <c r="A131" s="17">
        <v>130</v>
      </c>
      <c r="B131" s="17" t="s">
        <v>313</v>
      </c>
      <c r="C131" s="17">
        <v>2022441875</v>
      </c>
      <c r="D131" s="17">
        <v>2201010284</v>
      </c>
      <c r="E131" s="17" t="s">
        <v>1804</v>
      </c>
      <c r="F131" s="17" t="e">
        <f>VLOOKUP(C131,'Fast Track '!B:C,2,FALSE)</f>
        <v>#N/A</v>
      </c>
      <c r="G131" s="17" t="s">
        <v>3707</v>
      </c>
      <c r="H131" s="17" t="s">
        <v>314</v>
      </c>
      <c r="I131" s="17" t="str">
        <f>VLOOKUP(D131,Sheet1!E:K,6,FALSE)</f>
        <v>8766227298</v>
      </c>
      <c r="J131" s="17" t="s">
        <v>15</v>
      </c>
      <c r="K131" s="37" t="s">
        <v>3645</v>
      </c>
      <c r="L131" t="s">
        <v>3678</v>
      </c>
    </row>
    <row r="132" spans="1:12">
      <c r="A132" s="17">
        <v>131</v>
      </c>
      <c r="B132" s="17" t="s">
        <v>369</v>
      </c>
      <c r="C132" s="17">
        <v>2022815775</v>
      </c>
      <c r="D132" s="17">
        <v>2201010416</v>
      </c>
      <c r="E132" s="17" t="s">
        <v>1804</v>
      </c>
      <c r="F132" s="17" t="e">
        <f>VLOOKUP(C132,'Fast Track '!B:C,2,FALSE)</f>
        <v>#N/A</v>
      </c>
      <c r="G132" s="17" t="s">
        <v>3707</v>
      </c>
      <c r="H132" s="17" t="s">
        <v>370</v>
      </c>
      <c r="I132" s="17" t="str">
        <f>VLOOKUP(D132,Sheet1!E:K,6,FALSE)</f>
        <v>9773621064</v>
      </c>
      <c r="J132" s="17" t="s">
        <v>15</v>
      </c>
      <c r="K132" s="37" t="s">
        <v>3645</v>
      </c>
      <c r="L132" t="s">
        <v>3678</v>
      </c>
    </row>
    <row r="133" spans="1:12">
      <c r="A133" s="17">
        <v>132</v>
      </c>
      <c r="B133" s="17" t="s">
        <v>325</v>
      </c>
      <c r="C133" s="17">
        <v>2022472932</v>
      </c>
      <c r="D133" s="17">
        <v>2201010477</v>
      </c>
      <c r="E133" s="17" t="s">
        <v>1804</v>
      </c>
      <c r="F133" s="17" t="e">
        <f>VLOOKUP(C133,'Fast Track '!B:C,2,FALSE)</f>
        <v>#N/A</v>
      </c>
      <c r="G133" s="17" t="s">
        <v>3707</v>
      </c>
      <c r="H133" s="17" t="s">
        <v>326</v>
      </c>
      <c r="I133" s="17" t="str">
        <f>VLOOKUP(D133,Sheet1!E:K,6,FALSE)</f>
        <v>9310501448</v>
      </c>
      <c r="J133" s="17" t="s">
        <v>15</v>
      </c>
      <c r="K133" s="37" t="s">
        <v>3645</v>
      </c>
      <c r="L133" t="s">
        <v>3678</v>
      </c>
    </row>
    <row r="134" spans="1:12">
      <c r="A134" s="17">
        <v>133</v>
      </c>
      <c r="B134" s="17" t="s">
        <v>298</v>
      </c>
      <c r="C134" s="17">
        <v>2022306733</v>
      </c>
      <c r="D134" s="17">
        <v>2201010564</v>
      </c>
      <c r="E134" s="17" t="s">
        <v>1804</v>
      </c>
      <c r="F134" s="17" t="e">
        <f>VLOOKUP(C134,'Fast Track '!B:C,2,FALSE)</f>
        <v>#N/A</v>
      </c>
      <c r="G134" s="17" t="s">
        <v>3707</v>
      </c>
      <c r="H134" s="17" t="s">
        <v>299</v>
      </c>
      <c r="I134" s="17" t="str">
        <f>VLOOKUP(D134,Sheet1!E:K,6,FALSE)</f>
        <v>9149764797</v>
      </c>
      <c r="J134" s="17" t="s">
        <v>15</v>
      </c>
      <c r="K134" s="37" t="s">
        <v>3645</v>
      </c>
      <c r="L134" t="s">
        <v>3678</v>
      </c>
    </row>
    <row r="135" spans="1:12">
      <c r="A135" s="17">
        <v>134</v>
      </c>
      <c r="B135" s="17" t="s">
        <v>259</v>
      </c>
      <c r="C135" s="17">
        <v>2022437807</v>
      </c>
      <c r="D135" s="17">
        <v>2201010669</v>
      </c>
      <c r="E135" s="17" t="s">
        <v>1804</v>
      </c>
      <c r="F135" s="17" t="e">
        <f>VLOOKUP(C135,'Fast Track '!B:C,2,FALSE)</f>
        <v>#N/A</v>
      </c>
      <c r="G135" s="17" t="s">
        <v>3707</v>
      </c>
      <c r="H135" s="17" t="s">
        <v>312</v>
      </c>
      <c r="I135" s="17" t="str">
        <f>VLOOKUP(D135,Sheet1!E:K,6,FALSE)</f>
        <v>8742919690</v>
      </c>
      <c r="J135" s="17" t="s">
        <v>15</v>
      </c>
      <c r="K135" s="37" t="s">
        <v>3645</v>
      </c>
      <c r="L135" t="s">
        <v>3678</v>
      </c>
    </row>
    <row r="136" spans="1:12">
      <c r="A136" s="17">
        <v>135</v>
      </c>
      <c r="B136" s="17" t="s">
        <v>290</v>
      </c>
      <c r="C136" s="17">
        <v>2022005992</v>
      </c>
      <c r="D136" s="17">
        <v>2201010733</v>
      </c>
      <c r="E136" s="17" t="s">
        <v>1804</v>
      </c>
      <c r="F136" s="17" t="e">
        <f>VLOOKUP(C136,'Fast Track '!B:C,2,FALSE)</f>
        <v>#N/A</v>
      </c>
      <c r="G136" s="17" t="s">
        <v>3707</v>
      </c>
      <c r="H136" s="17" t="s">
        <v>291</v>
      </c>
      <c r="I136" s="17" t="str">
        <f>VLOOKUP(D136,Sheet1!E:K,6,FALSE)</f>
        <v>9318402815</v>
      </c>
      <c r="J136" s="17" t="s">
        <v>15</v>
      </c>
      <c r="K136" s="37" t="s">
        <v>3645</v>
      </c>
      <c r="L136" t="s">
        <v>3678</v>
      </c>
    </row>
    <row r="137" spans="1:12">
      <c r="A137" s="17">
        <v>136</v>
      </c>
      <c r="B137" s="17" t="s">
        <v>365</v>
      </c>
      <c r="C137" s="17">
        <v>2022608746</v>
      </c>
      <c r="D137" s="17">
        <v>2201010898</v>
      </c>
      <c r="E137" s="17" t="s">
        <v>1804</v>
      </c>
      <c r="F137" s="17" t="e">
        <f>VLOOKUP(C137,'Fast Track '!B:C,2,FALSE)</f>
        <v>#N/A</v>
      </c>
      <c r="G137" s="17" t="s">
        <v>3707</v>
      </c>
      <c r="H137" s="17" t="s">
        <v>366</v>
      </c>
      <c r="I137" s="17" t="str">
        <f>VLOOKUP(D137,Sheet1!E:K,6,FALSE)</f>
        <v>9068356626</v>
      </c>
      <c r="J137" s="17" t="s">
        <v>15</v>
      </c>
      <c r="K137" s="37" t="s">
        <v>3645</v>
      </c>
      <c r="L137" t="s">
        <v>3678</v>
      </c>
    </row>
    <row r="138" spans="1:12">
      <c r="A138" s="17">
        <v>137</v>
      </c>
      <c r="B138" s="17" t="s">
        <v>434</v>
      </c>
      <c r="C138" s="17">
        <v>2022410342</v>
      </c>
      <c r="D138" s="17">
        <v>2201010039</v>
      </c>
      <c r="E138" s="17" t="s">
        <v>1804</v>
      </c>
      <c r="F138" s="17" t="e">
        <f>VLOOKUP(C138,'Fast Track '!B:C,2,FALSE)</f>
        <v>#N/A</v>
      </c>
      <c r="G138" s="17" t="s">
        <v>3707</v>
      </c>
      <c r="H138" s="17" t="s">
        <v>435</v>
      </c>
      <c r="I138" s="17" t="str">
        <f>VLOOKUP(D138,Sheet1!E:K,6,FALSE)</f>
        <v>9122841000</v>
      </c>
      <c r="J138" s="17" t="s">
        <v>15</v>
      </c>
      <c r="K138" s="37" t="s">
        <v>3645</v>
      </c>
      <c r="L138" t="s">
        <v>3678</v>
      </c>
    </row>
    <row r="139" spans="1:12">
      <c r="A139" s="17">
        <v>138</v>
      </c>
      <c r="B139" s="17" t="s">
        <v>501</v>
      </c>
      <c r="C139" s="17">
        <v>2022544781</v>
      </c>
      <c r="D139" s="17">
        <v>2201010131</v>
      </c>
      <c r="E139" s="17" t="s">
        <v>1804</v>
      </c>
      <c r="F139" s="17" t="e">
        <f>VLOOKUP(C139,'Fast Track '!B:C,2,FALSE)</f>
        <v>#N/A</v>
      </c>
      <c r="G139" s="17" t="s">
        <v>3707</v>
      </c>
      <c r="H139" s="17" t="s">
        <v>502</v>
      </c>
      <c r="I139" s="17" t="str">
        <f>VLOOKUP(D139,Sheet1!E:K,6,FALSE)</f>
        <v>9204633508</v>
      </c>
      <c r="J139" s="17" t="s">
        <v>15</v>
      </c>
      <c r="K139" s="37" t="s">
        <v>3645</v>
      </c>
      <c r="L139" t="s">
        <v>3678</v>
      </c>
    </row>
    <row r="140" spans="1:12">
      <c r="A140" s="17">
        <v>139</v>
      </c>
      <c r="B140" s="17" t="s">
        <v>481</v>
      </c>
      <c r="C140" s="17">
        <v>2022517877</v>
      </c>
      <c r="D140" s="17">
        <v>2201010401</v>
      </c>
      <c r="E140" s="17" t="s">
        <v>1804</v>
      </c>
      <c r="F140" s="17" t="e">
        <f>VLOOKUP(C140,'Fast Track '!B:C,2,FALSE)</f>
        <v>#N/A</v>
      </c>
      <c r="G140" s="17" t="s">
        <v>3707</v>
      </c>
      <c r="H140" s="17" t="s">
        <v>482</v>
      </c>
      <c r="I140" s="17" t="str">
        <f>VLOOKUP(D140,Sheet1!E:K,6,FALSE)</f>
        <v>8218268108</v>
      </c>
      <c r="J140" s="17" t="s">
        <v>15</v>
      </c>
      <c r="K140" s="37" t="s">
        <v>3645</v>
      </c>
      <c r="L140" t="s">
        <v>3678</v>
      </c>
    </row>
    <row r="141" spans="1:12">
      <c r="A141" s="17">
        <v>140</v>
      </c>
      <c r="B141" s="17" t="s">
        <v>276</v>
      </c>
      <c r="C141" s="17">
        <v>2022004737</v>
      </c>
      <c r="D141" s="17">
        <v>2201010594</v>
      </c>
      <c r="E141" s="17" t="s">
        <v>1804</v>
      </c>
      <c r="F141" s="17" t="e">
        <f>VLOOKUP(C141,'Fast Track '!B:C,2,FALSE)</f>
        <v>#N/A</v>
      </c>
      <c r="G141" s="17" t="s">
        <v>3707</v>
      </c>
      <c r="H141" s="17" t="s">
        <v>277</v>
      </c>
      <c r="I141" s="17" t="str">
        <f>VLOOKUP(D141,Sheet1!E:K,6,FALSE)</f>
        <v>8700933859</v>
      </c>
      <c r="J141" s="17" t="s">
        <v>15</v>
      </c>
      <c r="K141" s="37" t="s">
        <v>3645</v>
      </c>
      <c r="L141" t="s">
        <v>3678</v>
      </c>
    </row>
    <row r="142" spans="1:12">
      <c r="A142" s="17">
        <v>141</v>
      </c>
      <c r="B142" s="17" t="s">
        <v>456</v>
      </c>
      <c r="C142" s="17">
        <v>2022474990</v>
      </c>
      <c r="D142" s="17">
        <v>2201010553</v>
      </c>
      <c r="E142" s="17" t="s">
        <v>1804</v>
      </c>
      <c r="F142" s="17" t="e">
        <f>VLOOKUP(C142,'Fast Track '!B:C,2,FALSE)</f>
        <v>#N/A</v>
      </c>
      <c r="G142" s="17" t="s">
        <v>3707</v>
      </c>
      <c r="H142" s="17" t="s">
        <v>457</v>
      </c>
      <c r="I142" s="17" t="str">
        <f>VLOOKUP(D142,Sheet1!E:K,6,FALSE)</f>
        <v>9760197197</v>
      </c>
      <c r="J142" s="17" t="s">
        <v>15</v>
      </c>
      <c r="K142" s="37" t="s">
        <v>3645</v>
      </c>
      <c r="L142" t="s">
        <v>3678</v>
      </c>
    </row>
    <row r="143" spans="1:12">
      <c r="A143" s="17">
        <v>142</v>
      </c>
      <c r="B143" s="17" t="s">
        <v>444</v>
      </c>
      <c r="C143" s="17">
        <v>2022448095</v>
      </c>
      <c r="D143" s="17">
        <v>2201010575</v>
      </c>
      <c r="E143" s="17" t="s">
        <v>1804</v>
      </c>
      <c r="F143" s="17" t="e">
        <f>VLOOKUP(C143,'Fast Track '!B:C,2,FALSE)</f>
        <v>#N/A</v>
      </c>
      <c r="G143" s="17" t="s">
        <v>3707</v>
      </c>
      <c r="H143" s="17" t="s">
        <v>445</v>
      </c>
      <c r="I143" s="17" t="str">
        <f>VLOOKUP(D143,Sheet1!E:K,6,FALSE)</f>
        <v>9120743440</v>
      </c>
      <c r="J143" s="17" t="s">
        <v>15</v>
      </c>
      <c r="K143" s="37" t="s">
        <v>3645</v>
      </c>
      <c r="L143" t="s">
        <v>3678</v>
      </c>
    </row>
    <row r="144" spans="1:12">
      <c r="A144" s="17">
        <v>143</v>
      </c>
      <c r="B144" s="17" t="s">
        <v>489</v>
      </c>
      <c r="C144" s="17">
        <v>2022526985</v>
      </c>
      <c r="D144" s="17">
        <v>2201010581</v>
      </c>
      <c r="E144" s="17" t="s">
        <v>1804</v>
      </c>
      <c r="F144" s="17" t="e">
        <f>VLOOKUP(C144,'Fast Track '!B:C,2,FALSE)</f>
        <v>#N/A</v>
      </c>
      <c r="G144" s="17" t="s">
        <v>3707</v>
      </c>
      <c r="H144" s="17" t="s">
        <v>490</v>
      </c>
      <c r="I144" s="17" t="str">
        <f>VLOOKUP(D144,Sheet1!E:K,6,FALSE)</f>
        <v>9569076557</v>
      </c>
      <c r="J144" s="17" t="s">
        <v>15</v>
      </c>
      <c r="K144" s="37" t="s">
        <v>3645</v>
      </c>
      <c r="L144" t="s">
        <v>3678</v>
      </c>
    </row>
    <row r="145" spans="1:12">
      <c r="A145" s="17">
        <v>144</v>
      </c>
      <c r="B145" s="17" t="s">
        <v>406</v>
      </c>
      <c r="C145" s="17">
        <v>2022004280</v>
      </c>
      <c r="D145" s="17">
        <v>2201010591</v>
      </c>
      <c r="E145" s="17" t="s">
        <v>1804</v>
      </c>
      <c r="F145" s="17" t="e">
        <f>VLOOKUP(C145,'Fast Track '!B:C,2,FALSE)</f>
        <v>#N/A</v>
      </c>
      <c r="G145" s="17" t="s">
        <v>3707</v>
      </c>
      <c r="H145" s="17" t="s">
        <v>407</v>
      </c>
      <c r="I145" s="17" t="str">
        <f>VLOOKUP(D145,Sheet1!E:K,6,FALSE)</f>
        <v>9878949921</v>
      </c>
      <c r="J145" s="17" t="s">
        <v>15</v>
      </c>
      <c r="K145" s="37" t="s">
        <v>3645</v>
      </c>
      <c r="L145" t="s">
        <v>3678</v>
      </c>
    </row>
    <row r="146" spans="1:12">
      <c r="A146" s="17">
        <v>145</v>
      </c>
      <c r="B146" s="17" t="s">
        <v>272</v>
      </c>
      <c r="C146" s="17">
        <v>2022004675</v>
      </c>
      <c r="D146" s="17">
        <v>2201010596</v>
      </c>
      <c r="E146" s="17" t="s">
        <v>1804</v>
      </c>
      <c r="F146" s="17" t="e">
        <f>VLOOKUP(C146,'Fast Track '!B:C,2,FALSE)</f>
        <v>#N/A</v>
      </c>
      <c r="G146" s="17" t="s">
        <v>3707</v>
      </c>
      <c r="H146" s="17" t="s">
        <v>273</v>
      </c>
      <c r="I146" s="17" t="str">
        <f>VLOOKUP(D146,Sheet1!E:K,6,FALSE)</f>
        <v>9199424192</v>
      </c>
      <c r="J146" s="17" t="s">
        <v>15</v>
      </c>
      <c r="K146" s="37" t="s">
        <v>3645</v>
      </c>
      <c r="L146" t="s">
        <v>3678</v>
      </c>
    </row>
    <row r="147" spans="1:12">
      <c r="A147" s="17">
        <v>146</v>
      </c>
      <c r="B147" s="17" t="s">
        <v>416</v>
      </c>
      <c r="C147" s="17">
        <v>2022007543</v>
      </c>
      <c r="D147" s="17">
        <v>2201010851</v>
      </c>
      <c r="E147" s="17" t="s">
        <v>1804</v>
      </c>
      <c r="F147" s="17" t="e">
        <f>VLOOKUP(C147,'Fast Track '!B:C,2,FALSE)</f>
        <v>#N/A</v>
      </c>
      <c r="G147" s="17" t="s">
        <v>3707</v>
      </c>
      <c r="H147" s="17" t="s">
        <v>417</v>
      </c>
      <c r="I147" s="17" t="str">
        <f>VLOOKUP(D147,Sheet1!E:K,6,FALSE)</f>
        <v>9625563966</v>
      </c>
      <c r="J147" s="17" t="s">
        <v>15</v>
      </c>
      <c r="K147" s="37" t="s">
        <v>3645</v>
      </c>
      <c r="L147" t="s">
        <v>3678</v>
      </c>
    </row>
    <row r="148" spans="1:12">
      <c r="A148" s="17">
        <v>147</v>
      </c>
      <c r="B148" s="17" t="s">
        <v>577</v>
      </c>
      <c r="C148" s="17">
        <v>2022433132</v>
      </c>
      <c r="D148" s="17">
        <v>2201010015</v>
      </c>
      <c r="E148" s="17" t="s">
        <v>1804</v>
      </c>
      <c r="F148" s="17" t="e">
        <f>VLOOKUP(C148,'Fast Track '!B:C,2,FALSE)</f>
        <v>#N/A</v>
      </c>
      <c r="G148" s="17" t="s">
        <v>3707</v>
      </c>
      <c r="H148" s="17" t="s">
        <v>578</v>
      </c>
      <c r="I148" s="17" t="str">
        <f>VLOOKUP(D148,Sheet1!E:K,6,FALSE)</f>
        <v>9026662038</v>
      </c>
      <c r="J148" s="17" t="s">
        <v>15</v>
      </c>
      <c r="K148" s="37" t="s">
        <v>3645</v>
      </c>
      <c r="L148" t="s">
        <v>3678</v>
      </c>
    </row>
    <row r="149" spans="1:12">
      <c r="A149" s="17">
        <v>148</v>
      </c>
      <c r="B149" s="17" t="s">
        <v>618</v>
      </c>
      <c r="C149" s="17">
        <v>2022530377</v>
      </c>
      <c r="D149" s="17">
        <v>2201010273</v>
      </c>
      <c r="E149" s="17" t="s">
        <v>1804</v>
      </c>
      <c r="F149" s="17" t="e">
        <f>VLOOKUP(C149,'Fast Track '!B:C,2,FALSE)</f>
        <v>#N/A</v>
      </c>
      <c r="G149" s="17" t="s">
        <v>3707</v>
      </c>
      <c r="H149" s="17" t="s">
        <v>619</v>
      </c>
      <c r="I149" s="17" t="str">
        <f>VLOOKUP(D149,Sheet1!E:K,6,FALSE)</f>
        <v>7668900069</v>
      </c>
      <c r="J149" s="17" t="s">
        <v>15</v>
      </c>
      <c r="K149" s="37" t="s">
        <v>3645</v>
      </c>
      <c r="L149" t="s">
        <v>3678</v>
      </c>
    </row>
    <row r="150" spans="1:12">
      <c r="A150" s="17">
        <v>149</v>
      </c>
      <c r="B150" s="17" t="s">
        <v>612</v>
      </c>
      <c r="C150" s="17">
        <v>2022516793</v>
      </c>
      <c r="D150" s="17">
        <v>2201010377</v>
      </c>
      <c r="E150" s="17" t="s">
        <v>1804</v>
      </c>
      <c r="F150" s="17" t="e">
        <f>VLOOKUP(C150,'Fast Track '!B:C,2,FALSE)</f>
        <v>#N/A</v>
      </c>
      <c r="G150" s="17" t="s">
        <v>3707</v>
      </c>
      <c r="H150" s="17" t="s">
        <v>613</v>
      </c>
      <c r="I150" s="17" t="str">
        <f>VLOOKUP(D150,Sheet1!E:K,6,FALSE)</f>
        <v>9198829393</v>
      </c>
      <c r="J150" s="17" t="s">
        <v>15</v>
      </c>
      <c r="K150" s="37" t="s">
        <v>3645</v>
      </c>
      <c r="L150" t="s">
        <v>3678</v>
      </c>
    </row>
    <row r="151" spans="1:12">
      <c r="A151" s="17">
        <v>150</v>
      </c>
      <c r="B151" s="17" t="s">
        <v>575</v>
      </c>
      <c r="C151" s="17">
        <v>2022428593</v>
      </c>
      <c r="D151" s="17">
        <v>2201010571</v>
      </c>
      <c r="E151" s="17" t="s">
        <v>1804</v>
      </c>
      <c r="F151" s="17" t="e">
        <f>VLOOKUP(C151,'Fast Track '!B:C,2,FALSE)</f>
        <v>#N/A</v>
      </c>
      <c r="G151" s="17" t="s">
        <v>3707</v>
      </c>
      <c r="H151" s="17" t="s">
        <v>576</v>
      </c>
      <c r="I151" s="17" t="str">
        <f>VLOOKUP(D151,Sheet1!E:K,6,FALSE)</f>
        <v>8011998716</v>
      </c>
      <c r="J151" s="17" t="s">
        <v>15</v>
      </c>
      <c r="K151" s="37" t="s">
        <v>3645</v>
      </c>
      <c r="L151" t="s">
        <v>3678</v>
      </c>
    </row>
    <row r="152" spans="1:12">
      <c r="A152" s="17">
        <v>151</v>
      </c>
      <c r="B152" s="17" t="s">
        <v>637</v>
      </c>
      <c r="C152" s="17">
        <v>2022811446</v>
      </c>
      <c r="D152" s="17">
        <v>2201010600</v>
      </c>
      <c r="E152" s="17" t="s">
        <v>1804</v>
      </c>
      <c r="F152" s="17" t="e">
        <f>VLOOKUP(C152,'Fast Track '!B:C,2,FALSE)</f>
        <v>#N/A</v>
      </c>
      <c r="G152" s="17" t="s">
        <v>3707</v>
      </c>
      <c r="H152" s="17" t="s">
        <v>638</v>
      </c>
      <c r="I152" s="17" t="str">
        <f>VLOOKUP(D152,Sheet1!E:K,6,FALSE)</f>
        <v>9064547302</v>
      </c>
      <c r="J152" s="17" t="s">
        <v>15</v>
      </c>
      <c r="K152" s="37" t="s">
        <v>3645</v>
      </c>
      <c r="L152" t="s">
        <v>3678</v>
      </c>
    </row>
    <row r="153" spans="1:12">
      <c r="A153" s="17">
        <v>152</v>
      </c>
      <c r="B153" s="17" t="s">
        <v>645</v>
      </c>
      <c r="C153" s="17">
        <v>2022006609</v>
      </c>
      <c r="D153" s="17">
        <v>2201010606</v>
      </c>
      <c r="E153" s="17" t="s">
        <v>1804</v>
      </c>
      <c r="F153" s="17" t="e">
        <f>VLOOKUP(C153,'Fast Track '!B:C,2,FALSE)</f>
        <v>#N/A</v>
      </c>
      <c r="G153" s="17" t="s">
        <v>3707</v>
      </c>
      <c r="H153" s="17" t="s">
        <v>646</v>
      </c>
      <c r="I153" s="17" t="str">
        <f>VLOOKUP(D153,Sheet1!E:K,6,FALSE)</f>
        <v>8009622418</v>
      </c>
      <c r="J153" s="17" t="s">
        <v>15</v>
      </c>
      <c r="K153" s="37" t="s">
        <v>3645</v>
      </c>
      <c r="L153" t="s">
        <v>3678</v>
      </c>
    </row>
    <row r="154" spans="1:12">
      <c r="A154" s="17">
        <v>153</v>
      </c>
      <c r="B154" s="17" t="s">
        <v>602</v>
      </c>
      <c r="C154" s="17">
        <v>2022508269</v>
      </c>
      <c r="D154" s="17">
        <v>2201010687</v>
      </c>
      <c r="E154" s="17" t="s">
        <v>1804</v>
      </c>
      <c r="F154" s="17" t="e">
        <f>VLOOKUP(C154,'Fast Track '!B:C,2,FALSE)</f>
        <v>#N/A</v>
      </c>
      <c r="G154" s="17" t="s">
        <v>3707</v>
      </c>
      <c r="H154" s="17" t="s">
        <v>603</v>
      </c>
      <c r="I154" s="17" t="str">
        <f>VLOOKUP(D154,Sheet1!E:K,6,FALSE)</f>
        <v>8115622991</v>
      </c>
      <c r="J154" s="17" t="s">
        <v>15</v>
      </c>
      <c r="K154" s="37" t="s">
        <v>3645</v>
      </c>
      <c r="L154" t="s">
        <v>3678</v>
      </c>
    </row>
    <row r="155" spans="1:12">
      <c r="A155" s="17">
        <v>154</v>
      </c>
      <c r="B155" s="17" t="s">
        <v>592</v>
      </c>
      <c r="C155" s="17">
        <v>2022503088</v>
      </c>
      <c r="D155" s="17">
        <v>2201010716</v>
      </c>
      <c r="E155" s="17" t="s">
        <v>1804</v>
      </c>
      <c r="F155" s="17" t="e">
        <f>VLOOKUP(C155,'Fast Track '!B:C,2,FALSE)</f>
        <v>#N/A</v>
      </c>
      <c r="G155" s="17" t="s">
        <v>3707</v>
      </c>
      <c r="H155" s="17" t="s">
        <v>593</v>
      </c>
      <c r="I155" s="17" t="str">
        <f>VLOOKUP(D155,Sheet1!E:K,6,FALSE)</f>
        <v>9627522860</v>
      </c>
      <c r="J155" s="17" t="s">
        <v>15</v>
      </c>
      <c r="K155" s="37" t="s">
        <v>3645</v>
      </c>
      <c r="L155" t="s">
        <v>3678</v>
      </c>
    </row>
    <row r="156" spans="1:12">
      <c r="A156" s="17">
        <v>155</v>
      </c>
      <c r="B156" s="17" t="s">
        <v>629</v>
      </c>
      <c r="C156" s="17">
        <v>2022554244</v>
      </c>
      <c r="D156" s="17">
        <v>2201010800</v>
      </c>
      <c r="E156" s="17" t="s">
        <v>1804</v>
      </c>
      <c r="F156" s="17" t="e">
        <f>VLOOKUP(C156,'Fast Track '!B:C,2,FALSE)</f>
        <v>#N/A</v>
      </c>
      <c r="G156" s="17" t="s">
        <v>3707</v>
      </c>
      <c r="H156" s="17" t="s">
        <v>630</v>
      </c>
      <c r="I156" s="17" t="str">
        <f>VLOOKUP(D156,Sheet1!E:K,6,FALSE)</f>
        <v>8130176899</v>
      </c>
      <c r="J156" s="17" t="s">
        <v>15</v>
      </c>
      <c r="K156" s="37" t="s">
        <v>3645</v>
      </c>
      <c r="L156" t="s">
        <v>3678</v>
      </c>
    </row>
    <row r="157" spans="1:12">
      <c r="A157" s="17">
        <v>156</v>
      </c>
      <c r="B157" s="17" t="s">
        <v>541</v>
      </c>
      <c r="C157" s="17">
        <v>2022003343</v>
      </c>
      <c r="D157" s="17">
        <v>2201010828</v>
      </c>
      <c r="E157" s="17" t="s">
        <v>1804</v>
      </c>
      <c r="F157" s="17" t="e">
        <f>VLOOKUP(C157,'Fast Track '!B:C,2,FALSE)</f>
        <v>#N/A</v>
      </c>
      <c r="G157" s="17" t="s">
        <v>3707</v>
      </c>
      <c r="H157" s="17" t="s">
        <v>542</v>
      </c>
      <c r="I157" s="17" t="str">
        <f>VLOOKUP(D157,Sheet1!E:K,6,FALSE)</f>
        <v>8082951516</v>
      </c>
      <c r="J157" s="17" t="s">
        <v>15</v>
      </c>
      <c r="K157" s="37" t="s">
        <v>3645</v>
      </c>
      <c r="L157" t="s">
        <v>3678</v>
      </c>
    </row>
    <row r="158" spans="1:12">
      <c r="A158" s="17">
        <v>157</v>
      </c>
      <c r="B158" s="17" t="s">
        <v>652</v>
      </c>
      <c r="C158" s="17">
        <v>2022561995</v>
      </c>
      <c r="D158" s="17">
        <v>2201010300</v>
      </c>
      <c r="E158" s="17" t="s">
        <v>1804</v>
      </c>
      <c r="F158" s="17" t="e">
        <f>VLOOKUP(C158,'Fast Track '!B:C,2,FALSE)</f>
        <v>#N/A</v>
      </c>
      <c r="G158" s="17" t="s">
        <v>3707</v>
      </c>
      <c r="H158" s="17" t="s">
        <v>653</v>
      </c>
      <c r="I158" s="17" t="str">
        <f>VLOOKUP(D158,Sheet1!E:K,6,FALSE)</f>
        <v>9818398438</v>
      </c>
      <c r="J158" s="17" t="s">
        <v>15</v>
      </c>
      <c r="K158" s="37" t="s">
        <v>3645</v>
      </c>
      <c r="L158" t="s">
        <v>3678</v>
      </c>
    </row>
    <row r="159" spans="1:12">
      <c r="A159" s="17">
        <v>158</v>
      </c>
      <c r="B159" s="17" t="s">
        <v>650</v>
      </c>
      <c r="C159" s="17">
        <v>2022528691</v>
      </c>
      <c r="D159" s="17">
        <v>2201010547</v>
      </c>
      <c r="E159" s="17" t="s">
        <v>1804</v>
      </c>
      <c r="F159" s="17" t="e">
        <f>VLOOKUP(C159,'Fast Track '!B:C,2,FALSE)</f>
        <v>#N/A</v>
      </c>
      <c r="G159" s="17" t="s">
        <v>3707</v>
      </c>
      <c r="H159" s="17" t="s">
        <v>651</v>
      </c>
      <c r="I159" s="17" t="str">
        <f>VLOOKUP(D159,Sheet1!E:K,6,FALSE)</f>
        <v>7991355789</v>
      </c>
      <c r="J159" s="33" t="s">
        <v>15</v>
      </c>
      <c r="K159" s="37" t="s">
        <v>3644</v>
      </c>
      <c r="L159" t="s">
        <v>3678</v>
      </c>
    </row>
    <row r="160" spans="1:12">
      <c r="A160" s="17">
        <v>159</v>
      </c>
      <c r="B160" s="17" t="s">
        <v>645</v>
      </c>
      <c r="C160" s="17">
        <v>2022582528</v>
      </c>
      <c r="D160" s="17">
        <v>2201010608</v>
      </c>
      <c r="E160" s="17" t="s">
        <v>1804</v>
      </c>
      <c r="F160" s="17" t="e">
        <f>VLOOKUP(C160,'Fast Track '!B:C,2,FALSE)</f>
        <v>#N/A</v>
      </c>
      <c r="G160" s="17" t="s">
        <v>3707</v>
      </c>
      <c r="H160" s="17" t="s">
        <v>767</v>
      </c>
      <c r="I160" s="17" t="str">
        <f>VLOOKUP(D160,Sheet1!E:K,6,FALSE)</f>
        <v>6204202216</v>
      </c>
      <c r="J160" s="33" t="s">
        <v>15</v>
      </c>
      <c r="K160" s="37" t="s">
        <v>3644</v>
      </c>
      <c r="L160" t="s">
        <v>3678</v>
      </c>
    </row>
    <row r="161" spans="1:12">
      <c r="A161" s="17">
        <v>160</v>
      </c>
      <c r="B161" s="17" t="s">
        <v>720</v>
      </c>
      <c r="C161" s="17">
        <v>2022501073</v>
      </c>
      <c r="D161" s="17">
        <v>2201010650</v>
      </c>
      <c r="E161" s="17" t="s">
        <v>1804</v>
      </c>
      <c r="F161" s="17" t="e">
        <f>VLOOKUP(C161,'Fast Track '!B:C,2,FALSE)</f>
        <v>#N/A</v>
      </c>
      <c r="G161" s="17" t="s">
        <v>3707</v>
      </c>
      <c r="H161" s="17" t="s">
        <v>721</v>
      </c>
      <c r="I161" s="17" t="str">
        <f>VLOOKUP(D161,Sheet1!E:K,6,FALSE)</f>
        <v>6392812854</v>
      </c>
      <c r="J161" s="33" t="s">
        <v>15</v>
      </c>
      <c r="K161" s="37" t="s">
        <v>3644</v>
      </c>
      <c r="L161" t="s">
        <v>3678</v>
      </c>
    </row>
    <row r="162" spans="1:12">
      <c r="A162" s="17">
        <v>161</v>
      </c>
      <c r="B162" s="17" t="s">
        <v>765</v>
      </c>
      <c r="C162" s="17">
        <v>2022511567</v>
      </c>
      <c r="D162" s="17">
        <v>2201010701</v>
      </c>
      <c r="E162" s="17" t="s">
        <v>1804</v>
      </c>
      <c r="F162" s="17" t="e">
        <f>VLOOKUP(C162,'Fast Track '!B:C,2,FALSE)</f>
        <v>#N/A</v>
      </c>
      <c r="G162" s="17" t="s">
        <v>3707</v>
      </c>
      <c r="H162" s="17" t="s">
        <v>766</v>
      </c>
      <c r="I162" s="17" t="str">
        <f>VLOOKUP(D162,Sheet1!E:K,6,FALSE)</f>
        <v>9304983303</v>
      </c>
      <c r="J162" s="33" t="s">
        <v>15</v>
      </c>
      <c r="K162" s="40" t="s">
        <v>3644</v>
      </c>
      <c r="L162" t="s">
        <v>3678</v>
      </c>
    </row>
    <row r="163" spans="1:12">
      <c r="A163" s="17">
        <v>162</v>
      </c>
      <c r="B163" s="17" t="s">
        <v>375</v>
      </c>
      <c r="C163" s="17">
        <v>2022552668</v>
      </c>
      <c r="D163" s="17">
        <v>2201010794</v>
      </c>
      <c r="E163" s="17" t="s">
        <v>1804</v>
      </c>
      <c r="F163" s="17" t="e">
        <f>VLOOKUP(C163,'Fast Track '!B:C,2,FALSE)</f>
        <v>#N/A</v>
      </c>
      <c r="G163" s="17" t="s">
        <v>3707</v>
      </c>
      <c r="H163" s="17" t="s">
        <v>726</v>
      </c>
      <c r="I163" s="17" t="str">
        <f>VLOOKUP(D163,Sheet1!E:K,6,FALSE)</f>
        <v>9334859848</v>
      </c>
      <c r="J163" s="33" t="s">
        <v>15</v>
      </c>
      <c r="K163" s="37" t="s">
        <v>3644</v>
      </c>
      <c r="L163" t="s">
        <v>3678</v>
      </c>
    </row>
    <row r="164" spans="1:12">
      <c r="A164" s="17">
        <v>163</v>
      </c>
      <c r="B164" s="17" t="s">
        <v>699</v>
      </c>
      <c r="C164" s="17">
        <v>2022007786</v>
      </c>
      <c r="D164" s="17">
        <v>2201010863</v>
      </c>
      <c r="E164" s="17" t="s">
        <v>1804</v>
      </c>
      <c r="F164" s="17" t="e">
        <f>VLOOKUP(C164,'Fast Track '!B:C,2,FALSE)</f>
        <v>#N/A</v>
      </c>
      <c r="G164" s="17" t="s">
        <v>3707</v>
      </c>
      <c r="H164" s="17" t="s">
        <v>700</v>
      </c>
      <c r="I164" s="17" t="str">
        <f>VLOOKUP(D164,Sheet1!E:K,6,FALSE)</f>
        <v>8178462808</v>
      </c>
      <c r="J164" s="33" t="s">
        <v>15</v>
      </c>
      <c r="K164" s="37" t="s">
        <v>3644</v>
      </c>
      <c r="L164" t="s">
        <v>3678</v>
      </c>
    </row>
    <row r="165" spans="1:12">
      <c r="A165" s="17">
        <v>164</v>
      </c>
      <c r="B165" s="17" t="s">
        <v>618</v>
      </c>
      <c r="C165" s="17">
        <v>2022604034</v>
      </c>
      <c r="D165" s="17">
        <v>2201010895</v>
      </c>
      <c r="E165" s="17" t="s">
        <v>1804</v>
      </c>
      <c r="F165" s="17" t="e">
        <f>VLOOKUP(C165,'Fast Track '!B:C,2,FALSE)</f>
        <v>#N/A</v>
      </c>
      <c r="G165" s="17" t="s">
        <v>3707</v>
      </c>
      <c r="H165" s="17" t="s">
        <v>738</v>
      </c>
      <c r="I165" s="17" t="str">
        <f>VLOOKUP(D165,Sheet1!E:K,6,FALSE)</f>
        <v>9368580206</v>
      </c>
      <c r="J165" s="33" t="s">
        <v>15</v>
      </c>
      <c r="K165" s="37" t="s">
        <v>3644</v>
      </c>
      <c r="L165" t="s">
        <v>3678</v>
      </c>
    </row>
    <row r="166" spans="1:12">
      <c r="A166" s="17">
        <v>165</v>
      </c>
      <c r="B166" s="17" t="s">
        <v>357</v>
      </c>
      <c r="C166" s="17">
        <v>2022509625</v>
      </c>
      <c r="D166" s="17">
        <v>2201010018</v>
      </c>
      <c r="E166" s="17" t="s">
        <v>1804</v>
      </c>
      <c r="F166" s="17" t="e">
        <f>VLOOKUP(C166,'Fast Track '!B:C,2,FALSE)</f>
        <v>#N/A</v>
      </c>
      <c r="G166" s="17" t="s">
        <v>3707</v>
      </c>
      <c r="H166" s="17" t="s">
        <v>358</v>
      </c>
      <c r="I166" s="17" t="str">
        <f>VLOOKUP(D166,Sheet1!E:K,6,FALSE)</f>
        <v>9873301731</v>
      </c>
      <c r="J166" s="33" t="s">
        <v>15</v>
      </c>
      <c r="K166" s="37" t="s">
        <v>3644</v>
      </c>
      <c r="L166" t="s">
        <v>3678</v>
      </c>
    </row>
    <row r="167" spans="1:12">
      <c r="A167" s="17">
        <v>166</v>
      </c>
      <c r="B167" s="17" t="s">
        <v>302</v>
      </c>
      <c r="C167" s="17">
        <v>2022344459</v>
      </c>
      <c r="D167" s="17">
        <v>2201010069</v>
      </c>
      <c r="E167" s="17" t="s">
        <v>1804</v>
      </c>
      <c r="F167" s="17" t="e">
        <f>VLOOKUP(C167,'Fast Track '!B:C,2,FALSE)</f>
        <v>#N/A</v>
      </c>
      <c r="G167" s="17" t="s">
        <v>3707</v>
      </c>
      <c r="H167" s="17" t="s">
        <v>303</v>
      </c>
      <c r="I167" s="17" t="str">
        <f>VLOOKUP(D167,Sheet1!E:K,6,FALSE)</f>
        <v>6002934584</v>
      </c>
      <c r="J167" s="33" t="s">
        <v>15</v>
      </c>
      <c r="K167" s="37" t="s">
        <v>3644</v>
      </c>
      <c r="L167" t="s">
        <v>3678</v>
      </c>
    </row>
    <row r="168" spans="1:12">
      <c r="A168" s="17">
        <v>167</v>
      </c>
      <c r="B168" s="17" t="s">
        <v>349</v>
      </c>
      <c r="C168" s="17">
        <v>2022506074</v>
      </c>
      <c r="D168" s="17">
        <v>2201010150</v>
      </c>
      <c r="E168" s="17" t="s">
        <v>1804</v>
      </c>
      <c r="F168" s="17" t="e">
        <f>VLOOKUP(C168,'Fast Track '!B:C,2,FALSE)</f>
        <v>#N/A</v>
      </c>
      <c r="G168" s="17" t="s">
        <v>3707</v>
      </c>
      <c r="H168" s="17" t="s">
        <v>350</v>
      </c>
      <c r="I168" s="17" t="str">
        <f>VLOOKUP(D168,Sheet1!E:K,6,FALSE)</f>
        <v>8595724282</v>
      </c>
      <c r="J168" s="33" t="s">
        <v>15</v>
      </c>
      <c r="K168" s="37" t="s">
        <v>3644</v>
      </c>
      <c r="L168" t="s">
        <v>3678</v>
      </c>
    </row>
    <row r="169" spans="1:12">
      <c r="A169" s="17">
        <v>168</v>
      </c>
      <c r="B169" s="17" t="s">
        <v>270</v>
      </c>
      <c r="C169" s="17">
        <v>2022004442</v>
      </c>
      <c r="D169" s="17">
        <v>2201010379</v>
      </c>
      <c r="E169" s="17" t="s">
        <v>1804</v>
      </c>
      <c r="F169" s="17" t="e">
        <f>VLOOKUP(C169,'Fast Track '!B:C,2,FALSE)</f>
        <v>#N/A</v>
      </c>
      <c r="G169" s="17" t="s">
        <v>3707</v>
      </c>
      <c r="H169" s="17" t="s">
        <v>271</v>
      </c>
      <c r="I169" s="17" t="str">
        <f>VLOOKUP(D169,Sheet1!E:K,6,FALSE)</f>
        <v>9958225120</v>
      </c>
      <c r="J169" s="33" t="s">
        <v>15</v>
      </c>
      <c r="K169" s="37" t="s">
        <v>3644</v>
      </c>
      <c r="L169" t="s">
        <v>3678</v>
      </c>
    </row>
    <row r="170" spans="1:12">
      <c r="A170" s="17">
        <v>169</v>
      </c>
      <c r="B170" s="17" t="s">
        <v>367</v>
      </c>
      <c r="C170" s="17">
        <v>2022807476</v>
      </c>
      <c r="D170" s="17">
        <v>2201010485</v>
      </c>
      <c r="E170" s="17" t="s">
        <v>1804</v>
      </c>
      <c r="F170" s="17" t="e">
        <f>VLOOKUP(C170,'Fast Track '!B:C,2,FALSE)</f>
        <v>#N/A</v>
      </c>
      <c r="G170" s="17" t="s">
        <v>3707</v>
      </c>
      <c r="H170" s="17" t="s">
        <v>368</v>
      </c>
      <c r="I170" s="17" t="str">
        <f>VLOOKUP(D170,Sheet1!E:K,6,FALSE)</f>
        <v>8794720814</v>
      </c>
      <c r="J170" s="33" t="s">
        <v>15</v>
      </c>
      <c r="K170" s="37" t="s">
        <v>3644</v>
      </c>
      <c r="L170" t="s">
        <v>3678</v>
      </c>
    </row>
    <row r="171" spans="1:12">
      <c r="A171" s="17">
        <v>170</v>
      </c>
      <c r="B171" s="17" t="s">
        <v>286</v>
      </c>
      <c r="C171" s="17">
        <v>2022005582</v>
      </c>
      <c r="D171" s="17">
        <v>2201010505</v>
      </c>
      <c r="E171" s="17" t="s">
        <v>1804</v>
      </c>
      <c r="F171" s="17" t="e">
        <f>VLOOKUP(C171,'Fast Track '!B:C,2,FALSE)</f>
        <v>#N/A</v>
      </c>
      <c r="G171" s="17" t="s">
        <v>3707</v>
      </c>
      <c r="H171" s="17" t="s">
        <v>287</v>
      </c>
      <c r="I171" s="17" t="str">
        <f>VLOOKUP(D171,Sheet1!E:K,6,FALSE)</f>
        <v>8383846696</v>
      </c>
      <c r="J171" s="33" t="s">
        <v>15</v>
      </c>
      <c r="K171" s="37" t="s">
        <v>3644</v>
      </c>
      <c r="L171" t="s">
        <v>3678</v>
      </c>
    </row>
    <row r="172" spans="1:12">
      <c r="A172" s="17">
        <v>171</v>
      </c>
      <c r="B172" s="17" t="s">
        <v>345</v>
      </c>
      <c r="C172" s="17">
        <v>2022502729</v>
      </c>
      <c r="D172" s="17">
        <v>2201010622</v>
      </c>
      <c r="E172" s="17" t="s">
        <v>1804</v>
      </c>
      <c r="F172" s="17" t="e">
        <f>VLOOKUP(C172,'Fast Track '!B:C,2,FALSE)</f>
        <v>#N/A</v>
      </c>
      <c r="G172" s="17" t="s">
        <v>3707</v>
      </c>
      <c r="H172" s="17" t="s">
        <v>346</v>
      </c>
      <c r="I172" s="17" t="str">
        <f>VLOOKUP(D172,Sheet1!E:K,6,FALSE)</f>
        <v>9334319291</v>
      </c>
      <c r="J172" s="33" t="s">
        <v>15</v>
      </c>
      <c r="K172" s="37" t="s">
        <v>3644</v>
      </c>
      <c r="L172" t="s">
        <v>3678</v>
      </c>
    </row>
    <row r="173" spans="1:12">
      <c r="A173" s="17">
        <v>172</v>
      </c>
      <c r="B173" s="17" t="s">
        <v>304</v>
      </c>
      <c r="C173" s="17">
        <v>2022359008</v>
      </c>
      <c r="D173" s="17">
        <v>2201010586</v>
      </c>
      <c r="E173" s="17" t="s">
        <v>1804</v>
      </c>
      <c r="F173" s="17" t="e">
        <f>VLOOKUP(C173,'Fast Track '!B:C,2,FALSE)</f>
        <v>#N/A</v>
      </c>
      <c r="G173" s="17" t="s">
        <v>3707</v>
      </c>
      <c r="H173" s="17" t="s">
        <v>305</v>
      </c>
      <c r="I173" s="17" t="str">
        <f>VLOOKUP(D173,Sheet1!E:K,6,FALSE)</f>
        <v>8218723077</v>
      </c>
      <c r="J173" s="33" t="s">
        <v>15</v>
      </c>
      <c r="K173" s="40" t="s">
        <v>3644</v>
      </c>
      <c r="L173" t="s">
        <v>3678</v>
      </c>
    </row>
    <row r="174" spans="1:12">
      <c r="A174" s="17">
        <v>173</v>
      </c>
      <c r="B174" s="17" t="s">
        <v>329</v>
      </c>
      <c r="C174" s="17">
        <v>2022478479</v>
      </c>
      <c r="D174" s="17">
        <v>2201010602</v>
      </c>
      <c r="E174" s="17" t="s">
        <v>1804</v>
      </c>
      <c r="F174" s="17" t="e">
        <f>VLOOKUP(C174,'Fast Track '!B:C,2,FALSE)</f>
        <v>#N/A</v>
      </c>
      <c r="G174" s="17" t="s">
        <v>3707</v>
      </c>
      <c r="H174" s="17" t="s">
        <v>330</v>
      </c>
      <c r="I174" s="17" t="str">
        <f>VLOOKUP(D174,Sheet1!E:K,6,FALSE)</f>
        <v>9311867527</v>
      </c>
      <c r="J174" s="33" t="s">
        <v>15</v>
      </c>
      <c r="K174" s="37" t="s">
        <v>3644</v>
      </c>
      <c r="L174" t="s">
        <v>3678</v>
      </c>
    </row>
    <row r="175" spans="1:12">
      <c r="A175" s="17">
        <v>174</v>
      </c>
      <c r="B175" s="17" t="s">
        <v>278</v>
      </c>
      <c r="C175" s="17">
        <v>2022004757</v>
      </c>
      <c r="D175" s="17">
        <v>2201010779</v>
      </c>
      <c r="E175" s="17" t="s">
        <v>1804</v>
      </c>
      <c r="F175" s="17" t="e">
        <f>VLOOKUP(C175,'Fast Track '!B:C,2,FALSE)</f>
        <v>#N/A</v>
      </c>
      <c r="G175" s="17" t="s">
        <v>3707</v>
      </c>
      <c r="H175" s="17" t="s">
        <v>279</v>
      </c>
      <c r="I175" s="17" t="str">
        <f>VLOOKUP(D175,Sheet1!E:K,6,FALSE)</f>
        <v>8210881736</v>
      </c>
      <c r="J175" s="33" t="s">
        <v>15</v>
      </c>
      <c r="K175" s="37" t="s">
        <v>3644</v>
      </c>
      <c r="L175" t="s">
        <v>3678</v>
      </c>
    </row>
    <row r="176" spans="1:12">
      <c r="A176" s="17">
        <v>175</v>
      </c>
      <c r="B176" s="17" t="s">
        <v>768</v>
      </c>
      <c r="C176" s="17">
        <v>2022614550</v>
      </c>
      <c r="D176" s="17">
        <v>2201010901</v>
      </c>
      <c r="E176" s="17" t="s">
        <v>1804</v>
      </c>
      <c r="F176" s="17" t="e">
        <f>VLOOKUP(C176,'Fast Track '!B:C,2,FALSE)</f>
        <v>#N/A</v>
      </c>
      <c r="G176" s="17" t="s">
        <v>3707</v>
      </c>
      <c r="H176" s="17" t="s">
        <v>769</v>
      </c>
      <c r="I176" s="17" t="str">
        <f>VLOOKUP(D176,Sheet1!E:K,6,FALSE)</f>
        <v>8639664896</v>
      </c>
      <c r="J176" s="33" t="s">
        <v>15</v>
      </c>
      <c r="K176" s="37" t="s">
        <v>3644</v>
      </c>
      <c r="L176" t="s">
        <v>3678</v>
      </c>
    </row>
    <row r="177" spans="1:12">
      <c r="A177" s="17">
        <v>176</v>
      </c>
      <c r="B177" s="17" t="s">
        <v>308</v>
      </c>
      <c r="C177" s="17">
        <v>2022414495</v>
      </c>
      <c r="D177" s="17">
        <v>2201010682</v>
      </c>
      <c r="E177" s="17" t="s">
        <v>1804</v>
      </c>
      <c r="F177" s="17" t="e">
        <f>VLOOKUP(C177,'Fast Track '!B:C,2,FALSE)</f>
        <v>#N/A</v>
      </c>
      <c r="G177" s="17" t="s">
        <v>3707</v>
      </c>
      <c r="H177" s="17" t="s">
        <v>309</v>
      </c>
      <c r="I177" s="17" t="str">
        <f>VLOOKUP(D177,Sheet1!E:K,6,FALSE)</f>
        <v>8929988090</v>
      </c>
      <c r="J177" s="33" t="s">
        <v>15</v>
      </c>
      <c r="K177" s="37" t="s">
        <v>3644</v>
      </c>
      <c r="L177" t="s">
        <v>3678</v>
      </c>
    </row>
    <row r="178" spans="1:12">
      <c r="A178" s="17">
        <v>177</v>
      </c>
      <c r="B178" s="17" t="s">
        <v>460</v>
      </c>
      <c r="C178" s="17">
        <v>2022481431</v>
      </c>
      <c r="D178" s="17">
        <v>2201010213</v>
      </c>
      <c r="E178" s="17" t="s">
        <v>1804</v>
      </c>
      <c r="F178" s="17" t="e">
        <f>VLOOKUP(C178,'Fast Track '!B:C,2,FALSE)</f>
        <v>#N/A</v>
      </c>
      <c r="G178" s="17" t="s">
        <v>3707</v>
      </c>
      <c r="H178" s="17" t="s">
        <v>461</v>
      </c>
      <c r="I178" s="17" t="str">
        <f>VLOOKUP(D178,Sheet1!E:K,6,FALSE)</f>
        <v>8271442413</v>
      </c>
      <c r="J178" s="33" t="s">
        <v>15</v>
      </c>
      <c r="K178" s="40" t="s">
        <v>3644</v>
      </c>
      <c r="L178" t="s">
        <v>3678</v>
      </c>
    </row>
    <row r="179" spans="1:12">
      <c r="A179" s="17">
        <v>178</v>
      </c>
      <c r="B179" s="17" t="s">
        <v>402</v>
      </c>
      <c r="C179" s="17">
        <v>2022003691</v>
      </c>
      <c r="D179" s="17">
        <v>2201010245</v>
      </c>
      <c r="E179" s="17" t="s">
        <v>1804</v>
      </c>
      <c r="F179" s="17" t="e">
        <f>VLOOKUP(C179,'Fast Track '!B:C,2,FALSE)</f>
        <v>#N/A</v>
      </c>
      <c r="G179" s="17" t="s">
        <v>3707</v>
      </c>
      <c r="H179" s="17" t="s">
        <v>403</v>
      </c>
      <c r="I179" s="17" t="str">
        <f>VLOOKUP(D179,Sheet1!E:K,6,FALSE)</f>
        <v>9368976764</v>
      </c>
      <c r="J179" s="33" t="s">
        <v>15</v>
      </c>
      <c r="K179" s="37" t="s">
        <v>3644</v>
      </c>
      <c r="L179" t="s">
        <v>3678</v>
      </c>
    </row>
    <row r="180" spans="1:12">
      <c r="A180" s="17">
        <v>179</v>
      </c>
      <c r="B180" s="17" t="s">
        <v>390</v>
      </c>
      <c r="C180" s="17">
        <v>2022567867</v>
      </c>
      <c r="D180" s="17">
        <v>2201010333</v>
      </c>
      <c r="E180" s="17" t="s">
        <v>1804</v>
      </c>
      <c r="F180" s="17" t="e">
        <f>VLOOKUP(C180,'Fast Track '!B:C,2,FALSE)</f>
        <v>#N/A</v>
      </c>
      <c r="G180" s="17" t="s">
        <v>3707</v>
      </c>
      <c r="H180" s="17" t="s">
        <v>391</v>
      </c>
      <c r="I180" s="17" t="str">
        <f>VLOOKUP(D180,Sheet1!E:K,6,FALSE)</f>
        <v>9721049602</v>
      </c>
      <c r="J180" s="33" t="s">
        <v>15</v>
      </c>
      <c r="K180" s="37" t="s">
        <v>3644</v>
      </c>
      <c r="L180" t="s">
        <v>3678</v>
      </c>
    </row>
    <row r="181" spans="1:12">
      <c r="A181" s="17">
        <v>180</v>
      </c>
      <c r="B181" s="17" t="s">
        <v>463</v>
      </c>
      <c r="C181" s="17">
        <v>2022484252</v>
      </c>
      <c r="D181" s="17">
        <v>2201010731</v>
      </c>
      <c r="E181" s="17" t="s">
        <v>1804</v>
      </c>
      <c r="F181" s="17" t="e">
        <f>VLOOKUP(C181,'Fast Track '!B:C,2,FALSE)</f>
        <v>#N/A</v>
      </c>
      <c r="G181" s="17" t="s">
        <v>3707</v>
      </c>
      <c r="H181" s="17" t="s">
        <v>464</v>
      </c>
      <c r="I181" s="17" t="str">
        <f>VLOOKUP(D181,Sheet1!E:K,6,FALSE)</f>
        <v>8210930523</v>
      </c>
      <c r="J181" s="33" t="s">
        <v>15</v>
      </c>
      <c r="K181" s="37" t="s">
        <v>3644</v>
      </c>
      <c r="L181" t="s">
        <v>3678</v>
      </c>
    </row>
    <row r="182" spans="1:12">
      <c r="A182" s="17">
        <v>181</v>
      </c>
      <c r="B182" s="17" t="s">
        <v>392</v>
      </c>
      <c r="C182" s="17">
        <v>2022607404</v>
      </c>
      <c r="D182" s="17">
        <v>2201010896</v>
      </c>
      <c r="E182" s="17" t="s">
        <v>1804</v>
      </c>
      <c r="F182" s="17" t="e">
        <f>VLOOKUP(C182,'Fast Track '!B:C,2,FALSE)</f>
        <v>#N/A</v>
      </c>
      <c r="G182" s="17" t="s">
        <v>3707</v>
      </c>
      <c r="H182" s="17" t="s">
        <v>393</v>
      </c>
      <c r="I182" s="17" t="str">
        <f>VLOOKUP(D182,Sheet1!E:K,6,FALSE)</f>
        <v>9958983309</v>
      </c>
      <c r="J182" s="33" t="s">
        <v>15</v>
      </c>
      <c r="K182" s="40" t="s">
        <v>3644</v>
      </c>
      <c r="L182" t="s">
        <v>3678</v>
      </c>
    </row>
    <row r="183" spans="1:12">
      <c r="A183" s="17">
        <v>182</v>
      </c>
      <c r="B183" s="17" t="s">
        <v>776</v>
      </c>
      <c r="C183" s="17">
        <v>2023000910</v>
      </c>
      <c r="D183" s="17">
        <v>2301017001</v>
      </c>
      <c r="E183" s="17" t="s">
        <v>1804</v>
      </c>
      <c r="F183" s="17" t="e">
        <f>VLOOKUP(C183,'Fast Track '!B:C,2,FALSE)</f>
        <v>#N/A</v>
      </c>
      <c r="G183" s="17" t="s">
        <v>3707</v>
      </c>
      <c r="H183" s="17" t="s">
        <v>777</v>
      </c>
      <c r="I183" s="17" t="str">
        <f>VLOOKUP(D183,Sheet1!E:K,6,FALSE)</f>
        <v>9455644313</v>
      </c>
      <c r="J183" s="33" t="s">
        <v>15</v>
      </c>
      <c r="K183" s="37" t="s">
        <v>3644</v>
      </c>
      <c r="L183" t="s">
        <v>3678</v>
      </c>
    </row>
    <row r="184" spans="1:12">
      <c r="A184" s="17">
        <v>183</v>
      </c>
      <c r="B184" s="17" t="s">
        <v>545</v>
      </c>
      <c r="C184" s="17">
        <v>2022005613</v>
      </c>
      <c r="D184" s="17">
        <v>2201010628</v>
      </c>
      <c r="E184" s="17" t="s">
        <v>1804</v>
      </c>
      <c r="F184" s="17" t="e">
        <f>VLOOKUP(C184,'Fast Track '!B:C,2,FALSE)</f>
        <v>#N/A</v>
      </c>
      <c r="G184" s="17" t="s">
        <v>3707</v>
      </c>
      <c r="H184" s="17" t="s">
        <v>546</v>
      </c>
      <c r="I184" s="17" t="str">
        <f>VLOOKUP(D184,Sheet1!E:K,6,FALSE)</f>
        <v>9899728401</v>
      </c>
      <c r="J184" s="33" t="s">
        <v>15</v>
      </c>
      <c r="K184" s="37" t="s">
        <v>3644</v>
      </c>
      <c r="L184" t="s">
        <v>3678</v>
      </c>
    </row>
    <row r="185" spans="1:12">
      <c r="A185" s="17">
        <v>184</v>
      </c>
      <c r="B185" s="17" t="s">
        <v>567</v>
      </c>
      <c r="C185" s="17">
        <v>2022363409</v>
      </c>
      <c r="D185" s="17">
        <v>2201010818</v>
      </c>
      <c r="E185" s="17" t="s">
        <v>1804</v>
      </c>
      <c r="F185" s="17" t="e">
        <f>VLOOKUP(C185,'Fast Track '!B:C,2,FALSE)</f>
        <v>#N/A</v>
      </c>
      <c r="G185" s="17" t="s">
        <v>3707</v>
      </c>
      <c r="H185" s="17" t="s">
        <v>568</v>
      </c>
      <c r="I185" s="17" t="str">
        <f>VLOOKUP(D185,Sheet1!E:K,6,FALSE)</f>
        <v>8287434773</v>
      </c>
      <c r="J185" s="33" t="s">
        <v>15</v>
      </c>
      <c r="K185" s="40" t="s">
        <v>3644</v>
      </c>
      <c r="L185" t="s">
        <v>3678</v>
      </c>
    </row>
    <row r="186" spans="1:12">
      <c r="A186" s="17">
        <v>185</v>
      </c>
      <c r="B186" s="17" t="s">
        <v>722</v>
      </c>
      <c r="C186" s="17">
        <v>2022525962</v>
      </c>
      <c r="D186" s="17">
        <v>2201010034</v>
      </c>
      <c r="E186" s="17" t="s">
        <v>1804</v>
      </c>
      <c r="F186" s="17" t="e">
        <f>VLOOKUP(C186,'Fast Track '!B:C,2,FALSE)</f>
        <v>#N/A</v>
      </c>
      <c r="G186" s="17" t="s">
        <v>3707</v>
      </c>
      <c r="H186" s="17" t="s">
        <v>723</v>
      </c>
      <c r="I186" s="17" t="str">
        <f>VLOOKUP(D186,Sheet1!E:K,6,FALSE)</f>
        <v>7979715916</v>
      </c>
      <c r="J186" s="33" t="s">
        <v>15</v>
      </c>
      <c r="K186" s="37" t="s">
        <v>3644</v>
      </c>
      <c r="L186" t="s">
        <v>3678</v>
      </c>
    </row>
    <row r="187" spans="1:12">
      <c r="A187" s="17">
        <v>186</v>
      </c>
      <c r="B187" s="17" t="s">
        <v>755</v>
      </c>
      <c r="C187" s="17">
        <v>2022007202</v>
      </c>
      <c r="D187" s="17">
        <v>2201010254</v>
      </c>
      <c r="E187" s="17" t="s">
        <v>1804</v>
      </c>
      <c r="F187" s="17" t="e">
        <f>VLOOKUP(C187,'Fast Track '!B:C,2,FALSE)</f>
        <v>#N/A</v>
      </c>
      <c r="G187" s="17" t="s">
        <v>3707</v>
      </c>
      <c r="H187" s="17" t="s">
        <v>756</v>
      </c>
      <c r="I187" s="17" t="str">
        <f>VLOOKUP(D187,Sheet1!E:K,6,FALSE)</f>
        <v>9045186230</v>
      </c>
      <c r="J187" s="33" t="s">
        <v>15</v>
      </c>
      <c r="K187" s="37" t="s">
        <v>3644</v>
      </c>
      <c r="L187" t="s">
        <v>3678</v>
      </c>
    </row>
    <row r="188" spans="1:12">
      <c r="A188" s="17">
        <v>187</v>
      </c>
      <c r="B188" s="17" t="s">
        <v>715</v>
      </c>
      <c r="C188" s="17">
        <v>2022464792</v>
      </c>
      <c r="D188" s="17">
        <v>2201010557</v>
      </c>
      <c r="E188" s="17" t="s">
        <v>1804</v>
      </c>
      <c r="F188" s="17" t="e">
        <f>VLOOKUP(C188,'Fast Track '!B:C,2,FALSE)</f>
        <v>#N/A</v>
      </c>
      <c r="G188" s="17" t="s">
        <v>3707</v>
      </c>
      <c r="H188" s="17" t="s">
        <v>716</v>
      </c>
      <c r="I188" s="17" t="str">
        <f>VLOOKUP(D188,Sheet1!E:K,6,FALSE)</f>
        <v>9205390709</v>
      </c>
      <c r="J188" s="33" t="s">
        <v>15</v>
      </c>
      <c r="K188" s="37" t="s">
        <v>3644</v>
      </c>
      <c r="L188" t="s">
        <v>3678</v>
      </c>
    </row>
    <row r="189" spans="1:12">
      <c r="A189" s="17">
        <v>188</v>
      </c>
      <c r="B189" s="17" t="s">
        <v>315</v>
      </c>
      <c r="C189" s="17">
        <v>2022446378</v>
      </c>
      <c r="D189" s="17">
        <v>2201010160</v>
      </c>
      <c r="E189" s="17" t="s">
        <v>1804</v>
      </c>
      <c r="F189" s="17" t="e">
        <f>VLOOKUP(C189,'Fast Track '!B:C,2,FALSE)</f>
        <v>#N/A</v>
      </c>
      <c r="G189" s="17" t="s">
        <v>3707</v>
      </c>
      <c r="H189" s="17" t="s">
        <v>316</v>
      </c>
      <c r="I189" s="17" t="str">
        <f>VLOOKUP(D189,Sheet1!E:K,6,FALSE)</f>
        <v>6201817713</v>
      </c>
      <c r="J189" s="33" t="s">
        <v>15</v>
      </c>
      <c r="K189" s="37" t="s">
        <v>3644</v>
      </c>
      <c r="L189" t="s">
        <v>3678</v>
      </c>
    </row>
    <row r="190" spans="1:12">
      <c r="A190" s="17">
        <v>189</v>
      </c>
      <c r="B190" s="17" t="s">
        <v>961</v>
      </c>
      <c r="C190" s="17">
        <v>2022478036</v>
      </c>
      <c r="D190" s="17">
        <v>2201010605</v>
      </c>
      <c r="E190" s="17" t="s">
        <v>1805</v>
      </c>
      <c r="F190" s="17" t="str">
        <f>VLOOKUP(C190,'Fast Track '!B:C,2,FALSE)</f>
        <v xml:space="preserve">Fasttrack </v>
      </c>
      <c r="G190" s="17"/>
      <c r="H190" s="17" t="s">
        <v>962</v>
      </c>
      <c r="I190" s="17" t="str">
        <f>VLOOKUP(D190,Sheet1!E:K,6,FALSE)</f>
        <v>9358584820</v>
      </c>
      <c r="J190" s="17" t="s">
        <v>15</v>
      </c>
      <c r="K190" s="37" t="s">
        <v>3645</v>
      </c>
      <c r="L190" t="s">
        <v>3655</v>
      </c>
    </row>
    <row r="191" spans="1:12">
      <c r="A191" s="17">
        <v>190</v>
      </c>
      <c r="B191" s="17" t="s">
        <v>907</v>
      </c>
      <c r="C191" s="17">
        <v>2022004547</v>
      </c>
      <c r="D191" s="17">
        <v>2201010635</v>
      </c>
      <c r="E191" s="17" t="s">
        <v>1805</v>
      </c>
      <c r="F191" s="17" t="str">
        <f>VLOOKUP(C191,'Fast Track '!B:C,2,FALSE)</f>
        <v xml:space="preserve">Fasttrack </v>
      </c>
      <c r="G191" s="17"/>
      <c r="H191" s="17" t="s">
        <v>908</v>
      </c>
      <c r="I191" s="17" t="str">
        <f>VLOOKUP(D191,Sheet1!E:K,6,FALSE)</f>
        <v>7011428007</v>
      </c>
      <c r="J191" s="17" t="s">
        <v>15</v>
      </c>
      <c r="K191" s="37" t="s">
        <v>3645</v>
      </c>
      <c r="L191" t="s">
        <v>3655</v>
      </c>
    </row>
    <row r="192" spans="1:12">
      <c r="A192" s="17">
        <v>191</v>
      </c>
      <c r="B192" s="17" t="s">
        <v>1106</v>
      </c>
      <c r="C192" s="17">
        <v>2022507647</v>
      </c>
      <c r="D192" s="17">
        <v>2201010353</v>
      </c>
      <c r="E192" s="17" t="s">
        <v>1805</v>
      </c>
      <c r="F192" s="17" t="str">
        <f>VLOOKUP(C192,'Fast Track '!B:C,2,FALSE)</f>
        <v xml:space="preserve">Fasttrack </v>
      </c>
      <c r="G192" s="17"/>
      <c r="H192" s="17" t="s">
        <v>1107</v>
      </c>
      <c r="I192" s="17" t="str">
        <f>VLOOKUP(D192,Sheet1!E:K,6,FALSE)</f>
        <v>8448777978</v>
      </c>
      <c r="J192" s="17" t="s">
        <v>15</v>
      </c>
      <c r="K192" s="37" t="s">
        <v>3645</v>
      </c>
      <c r="L192" t="s">
        <v>3655</v>
      </c>
    </row>
    <row r="193" spans="1:12">
      <c r="A193" s="17">
        <v>192</v>
      </c>
      <c r="B193" s="17" t="s">
        <v>1102</v>
      </c>
      <c r="C193" s="17">
        <v>2022492018</v>
      </c>
      <c r="D193" s="17">
        <v>2201010489</v>
      </c>
      <c r="E193" s="17" t="s">
        <v>1805</v>
      </c>
      <c r="F193" s="17" t="str">
        <f>VLOOKUP(C193,'Fast Track '!B:C,2,FALSE)</f>
        <v xml:space="preserve">Fasttrack </v>
      </c>
      <c r="G193" s="17"/>
      <c r="H193" s="17" t="s">
        <v>1103</v>
      </c>
      <c r="I193" s="17" t="str">
        <f>VLOOKUP(D193,Sheet1!E:K,6,FALSE)</f>
        <v>8235853597</v>
      </c>
      <c r="J193" s="17" t="s">
        <v>15</v>
      </c>
      <c r="K193" s="37" t="s">
        <v>3645</v>
      </c>
      <c r="L193" t="s">
        <v>3655</v>
      </c>
    </row>
    <row r="194" spans="1:12">
      <c r="A194" s="17">
        <v>193</v>
      </c>
      <c r="B194" s="17" t="s">
        <v>1044</v>
      </c>
      <c r="C194" s="17">
        <v>2022003923</v>
      </c>
      <c r="D194" s="17">
        <v>2201010829</v>
      </c>
      <c r="E194" s="17" t="s">
        <v>1805</v>
      </c>
      <c r="F194" s="17" t="str">
        <f>VLOOKUP(C194,'Fast Track '!B:C,2,FALSE)</f>
        <v xml:space="preserve">Fasttrack </v>
      </c>
      <c r="G194" s="17"/>
      <c r="H194" s="17" t="s">
        <v>1045</v>
      </c>
      <c r="I194" s="17" t="str">
        <f>VLOOKUP(D194,Sheet1!E:K,6,FALSE)</f>
        <v>7006813062</v>
      </c>
      <c r="J194" s="17" t="s">
        <v>15</v>
      </c>
      <c r="K194" s="37" t="s">
        <v>3645</v>
      </c>
      <c r="L194" t="s">
        <v>3655</v>
      </c>
    </row>
    <row r="195" spans="1:12">
      <c r="A195" s="17">
        <v>194</v>
      </c>
      <c r="B195" s="17" t="s">
        <v>503</v>
      </c>
      <c r="C195" s="17">
        <v>2022544783</v>
      </c>
      <c r="D195" s="17">
        <v>2201010481</v>
      </c>
      <c r="E195" s="17" t="s">
        <v>1805</v>
      </c>
      <c r="F195" s="17" t="str">
        <f>VLOOKUP(C195,'Fast Track '!B:C,2,FALSE)</f>
        <v xml:space="preserve">Fasttrack </v>
      </c>
      <c r="G195" s="17"/>
      <c r="H195" s="17" t="s">
        <v>504</v>
      </c>
      <c r="I195" s="17" t="str">
        <f>VLOOKUP(D195,Sheet1!E:K,6,FALSE)</f>
        <v>6203504840</v>
      </c>
      <c r="J195" s="17" t="s">
        <v>15</v>
      </c>
      <c r="K195" s="37" t="s">
        <v>3645</v>
      </c>
      <c r="L195" t="s">
        <v>3655</v>
      </c>
    </row>
    <row r="196" spans="1:12">
      <c r="A196" s="17">
        <v>195</v>
      </c>
      <c r="B196" s="17" t="s">
        <v>400</v>
      </c>
      <c r="C196" s="17">
        <v>2022003580</v>
      </c>
      <c r="D196" s="17">
        <v>2201010782</v>
      </c>
      <c r="E196" s="17" t="s">
        <v>1805</v>
      </c>
      <c r="F196" s="17" t="str">
        <f>VLOOKUP(C196,'Fast Track '!B:C,2,FALSE)</f>
        <v xml:space="preserve">Fasttrack </v>
      </c>
      <c r="G196" s="17"/>
      <c r="H196" s="17" t="s">
        <v>401</v>
      </c>
      <c r="I196" s="17" t="str">
        <f>VLOOKUP(D196,Sheet1!E:K,6,FALSE)</f>
        <v>9424991187</v>
      </c>
      <c r="J196" s="17" t="s">
        <v>15</v>
      </c>
      <c r="K196" s="37" t="s">
        <v>3645</v>
      </c>
      <c r="L196" t="s">
        <v>3655</v>
      </c>
    </row>
    <row r="197" spans="1:12">
      <c r="A197" s="17">
        <v>196</v>
      </c>
      <c r="B197" s="17" t="s">
        <v>353</v>
      </c>
      <c r="C197" s="17">
        <v>2022506580</v>
      </c>
      <c r="D197" s="17">
        <v>2201010556</v>
      </c>
      <c r="E197" s="17" t="s">
        <v>1805</v>
      </c>
      <c r="F197" s="17" t="str">
        <f>VLOOKUP(C197,'Fast Track '!B:C,2,FALSE)</f>
        <v xml:space="preserve">Fasttrack </v>
      </c>
      <c r="G197" s="17"/>
      <c r="H197" s="17" t="s">
        <v>354</v>
      </c>
      <c r="I197" s="17" t="str">
        <f>VLOOKUP(D197,Sheet1!E:K,6,FALSE)</f>
        <v>6200734740</v>
      </c>
      <c r="J197" s="17" t="s">
        <v>15</v>
      </c>
      <c r="K197" s="37" t="s">
        <v>3645</v>
      </c>
      <c r="L197" t="s">
        <v>3655</v>
      </c>
    </row>
    <row r="198" spans="1:12">
      <c r="A198" s="17">
        <v>197</v>
      </c>
      <c r="B198" s="17" t="s">
        <v>432</v>
      </c>
      <c r="C198" s="17">
        <v>2022405479</v>
      </c>
      <c r="D198" s="17">
        <v>2201010062</v>
      </c>
      <c r="E198" s="17" t="s">
        <v>1805</v>
      </c>
      <c r="F198" s="17" t="str">
        <f>VLOOKUP(C198,'Fast Track '!B:C,2,FALSE)</f>
        <v xml:space="preserve">Fasttrack </v>
      </c>
      <c r="G198" s="17"/>
      <c r="H198" s="17" t="s">
        <v>433</v>
      </c>
      <c r="I198" s="17" t="str">
        <f>VLOOKUP(D198,Sheet1!E:K,6,FALSE)</f>
        <v>9936616269</v>
      </c>
      <c r="J198" s="17" t="s">
        <v>15</v>
      </c>
      <c r="K198" s="37" t="s">
        <v>3645</v>
      </c>
      <c r="L198" t="s">
        <v>3655</v>
      </c>
    </row>
    <row r="199" spans="1:12">
      <c r="A199" s="17">
        <v>198</v>
      </c>
      <c r="B199" s="17" t="s">
        <v>505</v>
      </c>
      <c r="C199" s="17">
        <v>2022552819</v>
      </c>
      <c r="D199" s="17">
        <v>2201010005</v>
      </c>
      <c r="E199" s="17" t="s">
        <v>1805</v>
      </c>
      <c r="F199" s="17" t="str">
        <f>VLOOKUP(C199,'Fast Track '!B:C,2,FALSE)</f>
        <v xml:space="preserve">Fasttrack </v>
      </c>
      <c r="G199" s="17"/>
      <c r="H199" s="17" t="s">
        <v>506</v>
      </c>
      <c r="I199" s="17" t="str">
        <f>VLOOKUP(D199,Sheet1!E:K,6,FALSE)</f>
        <v>8077831479</v>
      </c>
      <c r="J199" s="17" t="s">
        <v>15</v>
      </c>
      <c r="K199" s="37" t="s">
        <v>3645</v>
      </c>
      <c r="L199" t="s">
        <v>3655</v>
      </c>
    </row>
    <row r="200" spans="1:12">
      <c r="A200" s="17">
        <v>199</v>
      </c>
      <c r="B200" s="17" t="s">
        <v>310</v>
      </c>
      <c r="C200" s="17">
        <v>2022418998</v>
      </c>
      <c r="D200" s="17">
        <v>2201010756</v>
      </c>
      <c r="E200" s="17" t="s">
        <v>1805</v>
      </c>
      <c r="F200" s="17" t="str">
        <f>VLOOKUP(C200,'Fast Track '!B:C,2,FALSE)</f>
        <v xml:space="preserve">Fasttrack </v>
      </c>
      <c r="G200" s="17"/>
      <c r="H200" s="17" t="s">
        <v>311</v>
      </c>
      <c r="I200" s="17" t="str">
        <f>VLOOKUP(D200,Sheet1!E:K,6,FALSE)</f>
        <v>8076622787</v>
      </c>
      <c r="J200" s="17" t="s">
        <v>15</v>
      </c>
      <c r="K200" s="37" t="s">
        <v>3645</v>
      </c>
      <c r="L200" t="s">
        <v>3655</v>
      </c>
    </row>
    <row r="201" spans="1:12">
      <c r="A201" s="17">
        <v>200</v>
      </c>
      <c r="B201" s="17" t="s">
        <v>695</v>
      </c>
      <c r="C201" s="17">
        <v>2022007306</v>
      </c>
      <c r="D201" s="17">
        <v>2201010840</v>
      </c>
      <c r="E201" s="17" t="s">
        <v>1805</v>
      </c>
      <c r="F201" s="17" t="str">
        <f>VLOOKUP(C201,'Fast Track '!B:C,2,FALSE)</f>
        <v xml:space="preserve">Fasttrack </v>
      </c>
      <c r="G201" s="17"/>
      <c r="H201" s="17" t="s">
        <v>696</v>
      </c>
      <c r="I201" s="17" t="str">
        <f>VLOOKUP(D201,Sheet1!E:K,6,FALSE)</f>
        <v>8817200009</v>
      </c>
      <c r="J201" s="17" t="s">
        <v>15</v>
      </c>
      <c r="K201" s="37" t="s">
        <v>3645</v>
      </c>
      <c r="L201" t="s">
        <v>3655</v>
      </c>
    </row>
    <row r="202" spans="1:12">
      <c r="A202" s="17">
        <v>201</v>
      </c>
      <c r="B202" s="17" t="s">
        <v>62</v>
      </c>
      <c r="C202" s="17">
        <v>2022395305</v>
      </c>
      <c r="D202" s="17">
        <v>2201010140</v>
      </c>
      <c r="E202" s="17" t="s">
        <v>1805</v>
      </c>
      <c r="F202" s="17" t="str">
        <f>VLOOKUP(C202,'Fast Track '!B:C,2,FALSE)</f>
        <v xml:space="preserve">Fasttrack </v>
      </c>
      <c r="G202" s="17"/>
      <c r="H202" s="17" t="s">
        <v>63</v>
      </c>
      <c r="I202" s="17" t="str">
        <f>VLOOKUP(D202,Sheet1!E:K,6,FALSE)</f>
        <v>9289575803</v>
      </c>
      <c r="J202" s="17" t="s">
        <v>15</v>
      </c>
      <c r="K202" s="37" t="s">
        <v>3645</v>
      </c>
      <c r="L202" t="s">
        <v>3655</v>
      </c>
    </row>
    <row r="203" spans="1:12">
      <c r="A203" s="17">
        <v>202</v>
      </c>
      <c r="B203" s="17" t="s">
        <v>68</v>
      </c>
      <c r="C203" s="17">
        <v>2022423199</v>
      </c>
      <c r="D203" s="17">
        <v>2201010812</v>
      </c>
      <c r="E203" s="17" t="s">
        <v>1805</v>
      </c>
      <c r="F203" s="17" t="str">
        <f>VLOOKUP(C203,'Fast Track '!B:C,2,FALSE)</f>
        <v xml:space="preserve">Fasttrack </v>
      </c>
      <c r="G203" s="17"/>
      <c r="H203" s="17" t="s">
        <v>69</v>
      </c>
      <c r="I203" s="17" t="str">
        <f>VLOOKUP(D203,Sheet1!E:K,6,FALSE)</f>
        <v>9871836528</v>
      </c>
      <c r="J203" s="17" t="s">
        <v>15</v>
      </c>
      <c r="K203" s="37" t="s">
        <v>3645</v>
      </c>
      <c r="L203" t="s">
        <v>3655</v>
      </c>
    </row>
    <row r="204" spans="1:12">
      <c r="A204" s="17">
        <v>203</v>
      </c>
      <c r="B204" s="17" t="s">
        <v>231</v>
      </c>
      <c r="C204" s="17">
        <v>2022577648</v>
      </c>
      <c r="D204" s="17">
        <v>2201010102</v>
      </c>
      <c r="E204" s="17" t="s">
        <v>1805</v>
      </c>
      <c r="F204" s="17" t="str">
        <f>VLOOKUP(C204,'Fast Track '!B:C,2,FALSE)</f>
        <v xml:space="preserve">Fasttrack </v>
      </c>
      <c r="G204" s="17"/>
      <c r="H204" s="17" t="s">
        <v>232</v>
      </c>
      <c r="I204" s="17" t="str">
        <f>VLOOKUP(D204,Sheet1!E:K,6,FALSE)</f>
        <v>8825258063</v>
      </c>
      <c r="J204" s="17" t="s">
        <v>15</v>
      </c>
      <c r="K204" s="37" t="s">
        <v>3645</v>
      </c>
      <c r="L204" t="s">
        <v>3655</v>
      </c>
    </row>
    <row r="205" spans="1:12">
      <c r="A205" s="17">
        <v>204</v>
      </c>
      <c r="B205" s="17" t="s">
        <v>251</v>
      </c>
      <c r="C205" s="17">
        <v>2022834464</v>
      </c>
      <c r="D205" s="17">
        <v>2201010437</v>
      </c>
      <c r="E205" s="17" t="s">
        <v>1805</v>
      </c>
      <c r="F205" s="17" t="str">
        <f>VLOOKUP(C205,'Fast Track '!B:C,2,FALSE)</f>
        <v xml:space="preserve">Fasttrack </v>
      </c>
      <c r="G205" s="17"/>
      <c r="H205" s="17" t="s">
        <v>252</v>
      </c>
      <c r="I205" s="17" t="str">
        <f>VLOOKUP(D205,Sheet1!E:K,6,FALSE)</f>
        <v>91 8757443219</v>
      </c>
      <c r="J205" s="17" t="s">
        <v>15</v>
      </c>
      <c r="K205" s="37" t="s">
        <v>3645</v>
      </c>
      <c r="L205" t="s">
        <v>3655</v>
      </c>
    </row>
    <row r="206" spans="1:12">
      <c r="A206" s="17">
        <v>205</v>
      </c>
      <c r="B206" s="17" t="s">
        <v>225</v>
      </c>
      <c r="C206" s="17">
        <v>2022561225</v>
      </c>
      <c r="D206" s="17">
        <v>2201010750</v>
      </c>
      <c r="E206" s="17" t="s">
        <v>1805</v>
      </c>
      <c r="F206" s="17" t="str">
        <f>VLOOKUP(C206,'Fast Track '!B:C,2,FALSE)</f>
        <v xml:space="preserve">Fasttrack </v>
      </c>
      <c r="G206" s="17"/>
      <c r="H206" s="17" t="s">
        <v>226</v>
      </c>
      <c r="I206" s="17" t="str">
        <f>VLOOKUP(D206,Sheet1!E:K,6,FALSE)</f>
        <v>8791477144</v>
      </c>
      <c r="J206" s="17" t="s">
        <v>15</v>
      </c>
      <c r="K206" s="37" t="s">
        <v>3645</v>
      </c>
      <c r="L206" t="s">
        <v>3655</v>
      </c>
    </row>
    <row r="207" spans="1:12">
      <c r="A207" s="17">
        <v>206</v>
      </c>
      <c r="B207" s="17" t="s">
        <v>471</v>
      </c>
      <c r="C207" s="17">
        <v>2022502947</v>
      </c>
      <c r="D207" s="17">
        <v>2201010698</v>
      </c>
      <c r="E207" s="17" t="s">
        <v>1805</v>
      </c>
      <c r="F207" s="17" t="str">
        <f>VLOOKUP(C207,'Fast Track '!B:C,2,FALSE)</f>
        <v xml:space="preserve">Fasttrack </v>
      </c>
      <c r="G207" s="17"/>
      <c r="H207" s="17" t="s">
        <v>472</v>
      </c>
      <c r="I207" s="17" t="str">
        <f>VLOOKUP(D207,Sheet1!E:K,6,FALSE)</f>
        <v>9315149393</v>
      </c>
      <c r="J207" s="17" t="s">
        <v>15</v>
      </c>
      <c r="K207" s="37" t="s">
        <v>3645</v>
      </c>
      <c r="L207" t="s">
        <v>3655</v>
      </c>
    </row>
    <row r="208" spans="1:12">
      <c r="A208" s="17">
        <v>207</v>
      </c>
      <c r="B208" s="17" t="s">
        <v>485</v>
      </c>
      <c r="C208" s="17">
        <v>2022521244</v>
      </c>
      <c r="D208" s="17">
        <v>2201010700</v>
      </c>
      <c r="E208" s="17" t="s">
        <v>1805</v>
      </c>
      <c r="F208" s="17" t="e">
        <f>VLOOKUP(C208,'Fast Track '!B:C,2,FALSE)</f>
        <v>#N/A</v>
      </c>
      <c r="G208" s="17" t="s">
        <v>3707</v>
      </c>
      <c r="H208" s="17" t="s">
        <v>486</v>
      </c>
      <c r="I208" s="17" t="str">
        <f>VLOOKUP(D208,Sheet1!E:K,6,FALSE)</f>
        <v>8595849890</v>
      </c>
      <c r="J208" s="17" t="s">
        <v>15</v>
      </c>
      <c r="K208" s="37" t="s">
        <v>3645</v>
      </c>
      <c r="L208" t="s">
        <v>3655</v>
      </c>
    </row>
    <row r="209" spans="1:12">
      <c r="A209" s="17">
        <v>208</v>
      </c>
      <c r="B209" s="17" t="s">
        <v>426</v>
      </c>
      <c r="C209" s="17">
        <v>2022387392</v>
      </c>
      <c r="D209" s="17">
        <v>2201010713</v>
      </c>
      <c r="E209" s="17" t="s">
        <v>1805</v>
      </c>
      <c r="F209" s="17" t="e">
        <f>VLOOKUP(C209,'Fast Track '!B:C,2,FALSE)</f>
        <v>#N/A</v>
      </c>
      <c r="G209" s="17" t="s">
        <v>3707</v>
      </c>
      <c r="H209" s="17" t="s">
        <v>427</v>
      </c>
      <c r="I209" s="17" t="str">
        <f>VLOOKUP(D209,Sheet1!E:K,6,FALSE)</f>
        <v>8145257669</v>
      </c>
      <c r="J209" s="17" t="s">
        <v>15</v>
      </c>
      <c r="K209" s="37" t="s">
        <v>3645</v>
      </c>
      <c r="L209" t="s">
        <v>3655</v>
      </c>
    </row>
    <row r="210" spans="1:12">
      <c r="A210" s="17">
        <v>209</v>
      </c>
      <c r="B210" s="17" t="s">
        <v>418</v>
      </c>
      <c r="C210" s="17">
        <v>2022007728</v>
      </c>
      <c r="D210" s="17">
        <v>2201010862</v>
      </c>
      <c r="E210" s="17" t="s">
        <v>1805</v>
      </c>
      <c r="F210" s="17" t="e">
        <f>VLOOKUP(C210,'Fast Track '!B:C,2,FALSE)</f>
        <v>#N/A</v>
      </c>
      <c r="G210" s="17" t="s">
        <v>3707</v>
      </c>
      <c r="H210" s="17" t="s">
        <v>419</v>
      </c>
      <c r="I210" s="17" t="str">
        <f>VLOOKUP(D210,Sheet1!E:K,6,FALSE)</f>
        <v>8709670822</v>
      </c>
      <c r="J210" s="17" t="s">
        <v>15</v>
      </c>
      <c r="K210" s="37" t="s">
        <v>3645</v>
      </c>
      <c r="L210" t="s">
        <v>3655</v>
      </c>
    </row>
    <row r="211" spans="1:12">
      <c r="A211" s="17">
        <v>210</v>
      </c>
      <c r="B211" s="17" t="s">
        <v>627</v>
      </c>
      <c r="C211" s="17">
        <v>2022548161</v>
      </c>
      <c r="D211" s="17">
        <v>2201010317</v>
      </c>
      <c r="E211" s="17" t="s">
        <v>1805</v>
      </c>
      <c r="F211" s="17" t="e">
        <f>VLOOKUP(C211,'Fast Track '!B:C,2,FALSE)</f>
        <v>#N/A</v>
      </c>
      <c r="G211" s="17" t="s">
        <v>3707</v>
      </c>
      <c r="H211" s="17" t="s">
        <v>628</v>
      </c>
      <c r="I211" s="17" t="str">
        <f>VLOOKUP(D211,Sheet1!E:K,6,FALSE)</f>
        <v>6207071618</v>
      </c>
      <c r="J211" s="17" t="s">
        <v>15</v>
      </c>
      <c r="K211" s="37" t="s">
        <v>3645</v>
      </c>
      <c r="L211" t="s">
        <v>3655</v>
      </c>
    </row>
    <row r="212" spans="1:12">
      <c r="A212" s="17">
        <v>211</v>
      </c>
      <c r="B212" s="17" t="s">
        <v>579</v>
      </c>
      <c r="C212" s="17">
        <v>2022435738</v>
      </c>
      <c r="D212" s="17">
        <v>2201010330</v>
      </c>
      <c r="E212" s="17" t="s">
        <v>1805</v>
      </c>
      <c r="F212" s="17" t="e">
        <f>VLOOKUP(C212,'Fast Track '!B:C,2,FALSE)</f>
        <v>#N/A</v>
      </c>
      <c r="G212" s="17" t="s">
        <v>3707</v>
      </c>
      <c r="H212" s="17" t="s">
        <v>580</v>
      </c>
      <c r="I212" s="17" t="str">
        <f>VLOOKUP(D212,Sheet1!E:K,6,FALSE)</f>
        <v>9065663362</v>
      </c>
      <c r="J212" s="17" t="s">
        <v>15</v>
      </c>
      <c r="K212" s="37" t="s">
        <v>3645</v>
      </c>
      <c r="L212" t="s">
        <v>3655</v>
      </c>
    </row>
    <row r="213" spans="1:12">
      <c r="A213" s="17">
        <v>212</v>
      </c>
      <c r="B213" s="17" t="s">
        <v>559</v>
      </c>
      <c r="C213" s="17">
        <v>2022331708</v>
      </c>
      <c r="D213" s="17">
        <v>2201010345</v>
      </c>
      <c r="E213" s="17" t="s">
        <v>1805</v>
      </c>
      <c r="F213" s="17" t="e">
        <f>VLOOKUP(C213,'Fast Track '!B:C,2,FALSE)</f>
        <v>#N/A</v>
      </c>
      <c r="G213" s="17" t="s">
        <v>3707</v>
      </c>
      <c r="H213" s="17" t="s">
        <v>560</v>
      </c>
      <c r="I213" s="17" t="str">
        <f>VLOOKUP(D213,Sheet1!E:K,6,FALSE)</f>
        <v>6205510692</v>
      </c>
      <c r="J213" s="17" t="s">
        <v>15</v>
      </c>
      <c r="K213" s="37" t="s">
        <v>3645</v>
      </c>
      <c r="L213" t="s">
        <v>3655</v>
      </c>
    </row>
    <row r="214" spans="1:12">
      <c r="A214" s="17">
        <v>213</v>
      </c>
      <c r="B214" s="17" t="s">
        <v>641</v>
      </c>
      <c r="C214" s="17">
        <v>2022006143</v>
      </c>
      <c r="D214" s="17">
        <v>2201010490</v>
      </c>
      <c r="E214" s="17" t="s">
        <v>1805</v>
      </c>
      <c r="F214" s="17" t="e">
        <f>VLOOKUP(C214,'Fast Track '!B:C,2,FALSE)</f>
        <v>#N/A</v>
      </c>
      <c r="G214" s="17" t="s">
        <v>3707</v>
      </c>
      <c r="H214" s="17" t="s">
        <v>642</v>
      </c>
      <c r="I214" s="17" t="str">
        <f>VLOOKUP(D214,Sheet1!E:K,6,FALSE)</f>
        <v>9643355554</v>
      </c>
      <c r="J214" s="17" t="s">
        <v>15</v>
      </c>
      <c r="K214" s="37" t="s">
        <v>3645</v>
      </c>
      <c r="L214" t="s">
        <v>3655</v>
      </c>
    </row>
    <row r="215" spans="1:12">
      <c r="A215" s="17">
        <v>214</v>
      </c>
      <c r="B215" s="17" t="s">
        <v>594</v>
      </c>
      <c r="C215" s="17">
        <v>2022505917</v>
      </c>
      <c r="D215" s="17">
        <v>2201010514</v>
      </c>
      <c r="E215" s="17" t="s">
        <v>1805</v>
      </c>
      <c r="F215" s="17" t="e">
        <f>VLOOKUP(C215,'Fast Track '!B:C,2,FALSE)</f>
        <v>#N/A</v>
      </c>
      <c r="G215" s="17" t="s">
        <v>3707</v>
      </c>
      <c r="H215" s="17" t="s">
        <v>595</v>
      </c>
      <c r="I215" s="17" t="str">
        <f>VLOOKUP(D215,Sheet1!E:K,6,FALSE)</f>
        <v>7351924508</v>
      </c>
      <c r="J215" s="17" t="s">
        <v>15</v>
      </c>
      <c r="K215" s="37" t="s">
        <v>3645</v>
      </c>
      <c r="L215" t="s">
        <v>3655</v>
      </c>
    </row>
    <row r="216" spans="1:12">
      <c r="A216" s="17">
        <v>215</v>
      </c>
      <c r="B216" s="17" t="s">
        <v>620</v>
      </c>
      <c r="C216" s="17">
        <v>2022531964</v>
      </c>
      <c r="D216" s="17">
        <v>2201010692</v>
      </c>
      <c r="E216" s="17" t="s">
        <v>1805</v>
      </c>
      <c r="F216" s="17" t="e">
        <f>VLOOKUP(C216,'Fast Track '!B:C,2,FALSE)</f>
        <v>#N/A</v>
      </c>
      <c r="G216" s="17" t="s">
        <v>3707</v>
      </c>
      <c r="H216" s="17" t="s">
        <v>621</v>
      </c>
      <c r="I216" s="17" t="str">
        <f>VLOOKUP(D216,Sheet1!E:K,6,FALSE)</f>
        <v>6203252388</v>
      </c>
      <c r="J216" s="17" t="s">
        <v>15</v>
      </c>
      <c r="K216" s="37" t="s">
        <v>3645</v>
      </c>
      <c r="L216" t="s">
        <v>3655</v>
      </c>
    </row>
    <row r="217" spans="1:12">
      <c r="A217" s="17">
        <v>216</v>
      </c>
      <c r="B217" s="17" t="s">
        <v>739</v>
      </c>
      <c r="C217" s="17">
        <v>2022805717</v>
      </c>
      <c r="D217" s="17">
        <v>2201010059</v>
      </c>
      <c r="E217" s="17" t="s">
        <v>1805</v>
      </c>
      <c r="F217" s="17" t="e">
        <f>VLOOKUP(C217,'Fast Track '!B:C,2,FALSE)</f>
        <v>#N/A</v>
      </c>
      <c r="G217" s="17" t="s">
        <v>3707</v>
      </c>
      <c r="H217" s="17" t="s">
        <v>740</v>
      </c>
      <c r="I217" s="17" t="str">
        <f>VLOOKUP(D217,Sheet1!E:K,6,FALSE)</f>
        <v>977 9841883474</v>
      </c>
      <c r="J217" s="17" t="s">
        <v>15</v>
      </c>
      <c r="K217" s="37" t="s">
        <v>3645</v>
      </c>
      <c r="L217" t="s">
        <v>3655</v>
      </c>
    </row>
    <row r="218" spans="1:12">
      <c r="A218" s="17">
        <v>217</v>
      </c>
      <c r="B218" s="17" t="s">
        <v>377</v>
      </c>
      <c r="C218" s="17">
        <v>2022005223</v>
      </c>
      <c r="D218" s="17">
        <v>2201010076</v>
      </c>
      <c r="E218" s="17" t="s">
        <v>1805</v>
      </c>
      <c r="F218" s="17" t="e">
        <f>VLOOKUP(C218,'Fast Track '!B:C,2,FALSE)</f>
        <v>#N/A</v>
      </c>
      <c r="G218" s="17" t="s">
        <v>3707</v>
      </c>
      <c r="H218" s="17" t="s">
        <v>684</v>
      </c>
      <c r="I218" s="17" t="str">
        <f>VLOOKUP(D218,Sheet1!E:K,6,FALSE)</f>
        <v>8862957493</v>
      </c>
      <c r="J218" s="17" t="s">
        <v>15</v>
      </c>
      <c r="K218" s="37" t="s">
        <v>3645</v>
      </c>
      <c r="L218" t="s">
        <v>3655</v>
      </c>
    </row>
    <row r="219" spans="1:12">
      <c r="A219" s="17">
        <v>218</v>
      </c>
      <c r="B219" s="17" t="s">
        <v>730</v>
      </c>
      <c r="C219" s="17">
        <v>2022574196</v>
      </c>
      <c r="D219" s="17">
        <v>2201010266</v>
      </c>
      <c r="E219" s="17" t="s">
        <v>1805</v>
      </c>
      <c r="F219" s="17" t="e">
        <f>VLOOKUP(C219,'Fast Track '!B:C,2,FALSE)</f>
        <v>#N/A</v>
      </c>
      <c r="G219" s="17" t="s">
        <v>3707</v>
      </c>
      <c r="H219" s="17" t="s">
        <v>731</v>
      </c>
      <c r="I219" s="17" t="str">
        <f>VLOOKUP(D219,Sheet1!E:K,6,FALSE)</f>
        <v>9958019671</v>
      </c>
      <c r="J219" s="17" t="s">
        <v>15</v>
      </c>
      <c r="K219" s="37" t="s">
        <v>3645</v>
      </c>
      <c r="L219" t="s">
        <v>3655</v>
      </c>
    </row>
    <row r="220" spans="1:12">
      <c r="A220" s="17">
        <v>219</v>
      </c>
      <c r="B220" s="17" t="s">
        <v>727</v>
      </c>
      <c r="C220" s="17">
        <v>2022552969</v>
      </c>
      <c r="D220" s="17">
        <v>2201010299</v>
      </c>
      <c r="E220" s="17" t="s">
        <v>1805</v>
      </c>
      <c r="F220" s="17" t="e">
        <f>VLOOKUP(C220,'Fast Track '!B:C,2,FALSE)</f>
        <v>#N/A</v>
      </c>
      <c r="G220" s="17" t="s">
        <v>3707</v>
      </c>
      <c r="H220" s="17" t="s">
        <v>728</v>
      </c>
      <c r="I220" s="17" t="str">
        <f>VLOOKUP(D220,Sheet1!E:K,6,FALSE)</f>
        <v>6207785380</v>
      </c>
      <c r="J220" s="17" t="s">
        <v>15</v>
      </c>
      <c r="K220" s="37" t="s">
        <v>3645</v>
      </c>
      <c r="L220" t="s">
        <v>3655</v>
      </c>
    </row>
    <row r="221" spans="1:12">
      <c r="A221" s="17">
        <v>220</v>
      </c>
      <c r="B221" s="17" t="s">
        <v>718</v>
      </c>
      <c r="C221" s="17">
        <v>2022472832</v>
      </c>
      <c r="D221" s="17">
        <v>2201010474</v>
      </c>
      <c r="E221" s="17" t="s">
        <v>1805</v>
      </c>
      <c r="F221" s="17" t="e">
        <f>VLOOKUP(C221,'Fast Track '!B:C,2,FALSE)</f>
        <v>#N/A</v>
      </c>
      <c r="G221" s="17" t="s">
        <v>3707</v>
      </c>
      <c r="H221" s="17" t="s">
        <v>719</v>
      </c>
      <c r="I221" s="17" t="str">
        <f>VLOOKUP(D221,Sheet1!E:K,6,FALSE)</f>
        <v>9166305081</v>
      </c>
      <c r="J221" s="17" t="s">
        <v>15</v>
      </c>
      <c r="K221" s="37" t="s">
        <v>3645</v>
      </c>
      <c r="L221" t="s">
        <v>3655</v>
      </c>
    </row>
    <row r="222" spans="1:12">
      <c r="A222" s="17">
        <v>221</v>
      </c>
      <c r="B222" s="17" t="s">
        <v>707</v>
      </c>
      <c r="C222" s="17">
        <v>2022414180</v>
      </c>
      <c r="D222" s="17">
        <v>2201010476</v>
      </c>
      <c r="E222" s="17" t="s">
        <v>1805</v>
      </c>
      <c r="F222" s="17" t="e">
        <f>VLOOKUP(C222,'Fast Track '!B:C,2,FALSE)</f>
        <v>#N/A</v>
      </c>
      <c r="G222" s="17" t="s">
        <v>3707</v>
      </c>
      <c r="H222" s="17" t="s">
        <v>708</v>
      </c>
      <c r="I222" s="17" t="str">
        <f>VLOOKUP(D222,Sheet1!E:K,6,FALSE)</f>
        <v>8477002963</v>
      </c>
      <c r="J222" s="17" t="s">
        <v>15</v>
      </c>
      <c r="K222" s="37" t="s">
        <v>3644</v>
      </c>
      <c r="L222" t="s">
        <v>3655</v>
      </c>
    </row>
    <row r="223" spans="1:12">
      <c r="A223" s="17">
        <v>222</v>
      </c>
      <c r="B223" s="17" t="s">
        <v>732</v>
      </c>
      <c r="C223" s="17">
        <v>2022576883</v>
      </c>
      <c r="D223" s="17">
        <v>2201010599</v>
      </c>
      <c r="E223" s="17" t="s">
        <v>1805</v>
      </c>
      <c r="F223" s="17" t="e">
        <f>VLOOKUP(C223,'Fast Track '!B:C,2,FALSE)</f>
        <v>#N/A</v>
      </c>
      <c r="G223" s="17" t="s">
        <v>3707</v>
      </c>
      <c r="H223" s="17" t="s">
        <v>733</v>
      </c>
      <c r="I223" s="17" t="str">
        <f>VLOOKUP(D223,Sheet1!E:K,6,FALSE)</f>
        <v>7050298675</v>
      </c>
      <c r="J223" s="17" t="s">
        <v>15</v>
      </c>
      <c r="K223" s="37" t="s">
        <v>3644</v>
      </c>
      <c r="L223" t="s">
        <v>3655</v>
      </c>
    </row>
    <row r="224" spans="1:12">
      <c r="A224" s="17">
        <v>223</v>
      </c>
      <c r="B224" s="17" t="s">
        <v>645</v>
      </c>
      <c r="C224" s="17">
        <v>2022467393</v>
      </c>
      <c r="D224" s="17">
        <v>2201010607</v>
      </c>
      <c r="E224" s="17" t="s">
        <v>1805</v>
      </c>
      <c r="F224" s="17" t="e">
        <f>VLOOKUP(C224,'Fast Track '!B:C,2,FALSE)</f>
        <v>#N/A</v>
      </c>
      <c r="G224" s="17" t="s">
        <v>3707</v>
      </c>
      <c r="H224" s="17" t="s">
        <v>649</v>
      </c>
      <c r="I224" s="17" t="str">
        <f>VLOOKUP(D224,Sheet1!E:K,6,FALSE)</f>
        <v>6205854664</v>
      </c>
      <c r="J224" s="17" t="s">
        <v>15</v>
      </c>
      <c r="K224" s="37" t="s">
        <v>3644</v>
      </c>
      <c r="L224" t="s">
        <v>3655</v>
      </c>
    </row>
    <row r="225" spans="1:12">
      <c r="A225" s="17">
        <v>224</v>
      </c>
      <c r="B225" s="17" t="s">
        <v>678</v>
      </c>
      <c r="C225" s="17">
        <v>2022002769</v>
      </c>
      <c r="D225" s="17">
        <v>2201010786</v>
      </c>
      <c r="E225" s="17" t="s">
        <v>1805</v>
      </c>
      <c r="F225" s="17" t="e">
        <f>VLOOKUP(C225,'Fast Track '!B:C,2,FALSE)</f>
        <v>#N/A</v>
      </c>
      <c r="G225" s="17" t="s">
        <v>3707</v>
      </c>
      <c r="H225" s="17" t="s">
        <v>679</v>
      </c>
      <c r="I225" s="17" t="str">
        <f>VLOOKUP(D225,Sheet1!E:K,6,FALSE)</f>
        <v>6206528186</v>
      </c>
      <c r="J225" s="17" t="s">
        <v>15</v>
      </c>
      <c r="K225" s="37" t="s">
        <v>3644</v>
      </c>
      <c r="L225" t="s">
        <v>3655</v>
      </c>
    </row>
    <row r="226" spans="1:12">
      <c r="A226" s="17">
        <v>225</v>
      </c>
      <c r="B226" s="17" t="s">
        <v>691</v>
      </c>
      <c r="C226" s="17">
        <v>2022007111</v>
      </c>
      <c r="D226" s="17">
        <v>2201010788</v>
      </c>
      <c r="E226" s="17" t="s">
        <v>1805</v>
      </c>
      <c r="F226" s="17" t="e">
        <f>VLOOKUP(C226,'Fast Track '!B:C,2,FALSE)</f>
        <v>#N/A</v>
      </c>
      <c r="G226" s="17" t="s">
        <v>3707</v>
      </c>
      <c r="H226" s="17" t="s">
        <v>692</v>
      </c>
      <c r="I226" s="17" t="str">
        <f>VLOOKUP(D226,Sheet1!E:K,6,FALSE)</f>
        <v>9211535436</v>
      </c>
      <c r="J226" s="17" t="s">
        <v>15</v>
      </c>
      <c r="K226" s="37" t="s">
        <v>3644</v>
      </c>
      <c r="L226" t="s">
        <v>3655</v>
      </c>
    </row>
    <row r="227" spans="1:12">
      <c r="A227" s="17">
        <v>226</v>
      </c>
      <c r="B227" s="17" t="s">
        <v>257</v>
      </c>
      <c r="C227" s="17">
        <v>2022007403</v>
      </c>
      <c r="D227" s="17">
        <v>2201010847</v>
      </c>
      <c r="E227" s="17" t="s">
        <v>1805</v>
      </c>
      <c r="F227" s="17" t="e">
        <f>VLOOKUP(C227,'Fast Track '!B:C,2,FALSE)</f>
        <v>#N/A</v>
      </c>
      <c r="G227" s="17" t="s">
        <v>3707</v>
      </c>
      <c r="H227" s="17" t="s">
        <v>648</v>
      </c>
      <c r="I227" s="17" t="str">
        <f>VLOOKUP(D227,Sheet1!E:K,6,FALSE)</f>
        <v>7042191280</v>
      </c>
      <c r="J227" s="17" t="s">
        <v>15</v>
      </c>
      <c r="K227" s="37" t="s">
        <v>3645</v>
      </c>
      <c r="L227" t="s">
        <v>3655</v>
      </c>
    </row>
    <row r="228" spans="1:12">
      <c r="A228" s="17">
        <v>227</v>
      </c>
      <c r="B228" s="17" t="s">
        <v>383</v>
      </c>
      <c r="C228" s="17">
        <v>2022555807</v>
      </c>
      <c r="D228" s="17">
        <v>2201010881</v>
      </c>
      <c r="E228" s="17" t="s">
        <v>1805</v>
      </c>
      <c r="F228" s="17" t="e">
        <f>VLOOKUP(C228,'Fast Track '!B:C,2,FALSE)</f>
        <v>#N/A</v>
      </c>
      <c r="G228" s="17" t="s">
        <v>3707</v>
      </c>
      <c r="H228" s="17" t="s">
        <v>729</v>
      </c>
      <c r="I228" s="17" t="str">
        <f>VLOOKUP(D228,Sheet1!E:K,6,FALSE)</f>
        <v>6204870834</v>
      </c>
      <c r="J228" s="17" t="s">
        <v>15</v>
      </c>
      <c r="K228" s="37" t="s">
        <v>3644</v>
      </c>
      <c r="L228" t="s">
        <v>3655</v>
      </c>
    </row>
    <row r="229" spans="1:12">
      <c r="A229" s="17">
        <v>228</v>
      </c>
      <c r="B229" s="17" t="s">
        <v>317</v>
      </c>
      <c r="C229" s="17">
        <v>2022448509</v>
      </c>
      <c r="D229" s="17">
        <v>2201010118</v>
      </c>
      <c r="E229" s="17" t="s">
        <v>1805</v>
      </c>
      <c r="F229" s="17" t="e">
        <f>VLOOKUP(C229,'Fast Track '!B:C,2,FALSE)</f>
        <v>#N/A</v>
      </c>
      <c r="G229" s="17" t="s">
        <v>3707</v>
      </c>
      <c r="H229" s="17" t="s">
        <v>318</v>
      </c>
      <c r="I229" s="17" t="str">
        <f>VLOOKUP(D229,Sheet1!E:K,6,FALSE)</f>
        <v>9044002858</v>
      </c>
      <c r="J229" s="17" t="s">
        <v>15</v>
      </c>
      <c r="K229" s="37" t="s">
        <v>3644</v>
      </c>
      <c r="L229" t="s">
        <v>3655</v>
      </c>
    </row>
    <row r="230" spans="1:12">
      <c r="A230" s="17">
        <v>229</v>
      </c>
      <c r="B230" s="17" t="s">
        <v>288</v>
      </c>
      <c r="C230" s="17">
        <v>2022005818</v>
      </c>
      <c r="D230" s="17">
        <v>2201010531</v>
      </c>
      <c r="E230" s="17" t="s">
        <v>1805</v>
      </c>
      <c r="F230" s="17" t="e">
        <f>VLOOKUP(C230,'Fast Track '!B:C,2,FALSE)</f>
        <v>#N/A</v>
      </c>
      <c r="G230" s="17" t="s">
        <v>3707</v>
      </c>
      <c r="H230" s="17" t="s">
        <v>289</v>
      </c>
      <c r="I230" s="17" t="str">
        <f>VLOOKUP(D230,Sheet1!E:K,6,FALSE)</f>
        <v>8882946326</v>
      </c>
      <c r="J230" s="17" t="s">
        <v>15</v>
      </c>
      <c r="K230" s="37" t="s">
        <v>3644</v>
      </c>
      <c r="L230" t="s">
        <v>3655</v>
      </c>
    </row>
    <row r="231" spans="1:12">
      <c r="A231" s="17">
        <v>230</v>
      </c>
      <c r="B231" s="17" t="s">
        <v>321</v>
      </c>
      <c r="C231" s="17">
        <v>2022463682</v>
      </c>
      <c r="D231" s="17">
        <v>2201010570</v>
      </c>
      <c r="E231" s="17" t="s">
        <v>1805</v>
      </c>
      <c r="F231" s="17" t="e">
        <f>VLOOKUP(C231,'Fast Track '!B:C,2,FALSE)</f>
        <v>#N/A</v>
      </c>
      <c r="G231" s="17" t="s">
        <v>3707</v>
      </c>
      <c r="H231" s="17" t="s">
        <v>322</v>
      </c>
      <c r="I231" s="17" t="str">
        <f>VLOOKUP(D231,Sheet1!E:K,6,FALSE)</f>
        <v>8368486434</v>
      </c>
      <c r="J231" s="17" t="s">
        <v>15</v>
      </c>
      <c r="K231" s="37" t="s">
        <v>3644</v>
      </c>
      <c r="L231" t="s">
        <v>3655</v>
      </c>
    </row>
    <row r="232" spans="1:12">
      <c r="A232" s="17">
        <v>231</v>
      </c>
      <c r="B232" s="17" t="s">
        <v>282</v>
      </c>
      <c r="C232" s="17">
        <v>2022005275</v>
      </c>
      <c r="D232" s="17">
        <v>2201010675</v>
      </c>
      <c r="E232" s="17" t="s">
        <v>1805</v>
      </c>
      <c r="F232" s="17" t="e">
        <f>VLOOKUP(C232,'Fast Track '!B:C,2,FALSE)</f>
        <v>#N/A</v>
      </c>
      <c r="G232" s="17" t="s">
        <v>3707</v>
      </c>
      <c r="H232" s="17" t="s">
        <v>283</v>
      </c>
      <c r="I232" s="17" t="str">
        <f>VLOOKUP(D232,Sheet1!E:K,6,FALSE)</f>
        <v>8787096109</v>
      </c>
      <c r="J232" s="17" t="s">
        <v>15</v>
      </c>
      <c r="K232" s="37" t="s">
        <v>3644</v>
      </c>
      <c r="L232" t="s">
        <v>3655</v>
      </c>
    </row>
    <row r="233" spans="1:12">
      <c r="A233" s="17">
        <v>232</v>
      </c>
      <c r="B233" s="17" t="s">
        <v>355</v>
      </c>
      <c r="C233" s="17">
        <v>2022506607</v>
      </c>
      <c r="D233" s="17">
        <v>2201010680</v>
      </c>
      <c r="E233" s="17" t="s">
        <v>1805</v>
      </c>
      <c r="F233" s="17" t="e">
        <f>VLOOKUP(C233,'Fast Track '!B:C,2,FALSE)</f>
        <v>#N/A</v>
      </c>
      <c r="G233" s="17" t="s">
        <v>3707</v>
      </c>
      <c r="H233" s="17" t="s">
        <v>356</v>
      </c>
      <c r="I233" s="17" t="str">
        <f>VLOOKUP(D233,Sheet1!E:K,6,FALSE)</f>
        <v>7903140320</v>
      </c>
      <c r="J233" s="17" t="s">
        <v>15</v>
      </c>
      <c r="K233" s="37" t="s">
        <v>3644</v>
      </c>
      <c r="L233" t="s">
        <v>3655</v>
      </c>
    </row>
    <row r="234" spans="1:12">
      <c r="A234" s="17">
        <v>233</v>
      </c>
      <c r="B234" s="17" t="s">
        <v>280</v>
      </c>
      <c r="C234" s="17">
        <v>2022005062</v>
      </c>
      <c r="D234" s="17">
        <v>2201010764</v>
      </c>
      <c r="E234" s="17" t="s">
        <v>1805</v>
      </c>
      <c r="F234" s="17" t="e">
        <f>VLOOKUP(C234,'Fast Track '!B:C,2,FALSE)</f>
        <v>#N/A</v>
      </c>
      <c r="G234" s="17" t="s">
        <v>3707</v>
      </c>
      <c r="H234" s="17" t="s">
        <v>281</v>
      </c>
      <c r="I234" s="17" t="str">
        <f>VLOOKUP(D234,Sheet1!E:K,6,FALSE)</f>
        <v>9058561411</v>
      </c>
      <c r="J234" s="17" t="s">
        <v>15</v>
      </c>
      <c r="K234" s="37" t="s">
        <v>3644</v>
      </c>
      <c r="L234" t="s">
        <v>3655</v>
      </c>
    </row>
    <row r="235" spans="1:12">
      <c r="A235" s="17">
        <v>234</v>
      </c>
      <c r="B235" s="17" t="s">
        <v>359</v>
      </c>
      <c r="C235" s="17">
        <v>2022511135</v>
      </c>
      <c r="D235" s="17">
        <v>2201010774</v>
      </c>
      <c r="E235" s="17" t="s">
        <v>1805</v>
      </c>
      <c r="F235" s="17" t="e">
        <f>VLOOKUP(C235,'Fast Track '!B:C,2,FALSE)</f>
        <v>#N/A</v>
      </c>
      <c r="G235" s="17" t="s">
        <v>3707</v>
      </c>
      <c r="H235" s="17" t="s">
        <v>360</v>
      </c>
      <c r="I235" s="17" t="str">
        <f>VLOOKUP(D235,Sheet1!E:K,6,FALSE)</f>
        <v>8887729889</v>
      </c>
      <c r="J235" s="17" t="s">
        <v>15</v>
      </c>
      <c r="K235" s="37" t="s">
        <v>3644</v>
      </c>
      <c r="L235" t="s">
        <v>3655</v>
      </c>
    </row>
    <row r="236" spans="1:12">
      <c r="A236" s="17">
        <v>235</v>
      </c>
      <c r="B236" s="17" t="s">
        <v>343</v>
      </c>
      <c r="C236" s="17">
        <v>2022498812</v>
      </c>
      <c r="D236" s="17">
        <v>2201010796</v>
      </c>
      <c r="E236" s="17" t="s">
        <v>1805</v>
      </c>
      <c r="F236" s="17" t="str">
        <f>VLOOKUP(C236,'Fast Track '!B:C,2,FALSE)</f>
        <v xml:space="preserve">Fasttrack </v>
      </c>
      <c r="G236" s="17"/>
      <c r="H236" s="17" t="s">
        <v>344</v>
      </c>
      <c r="I236" s="17" t="str">
        <f>VLOOKUP(D236,Sheet1!E:K,6,FALSE)</f>
        <v>9910261441</v>
      </c>
      <c r="J236" s="17" t="s">
        <v>15</v>
      </c>
      <c r="K236" s="37" t="s">
        <v>3644</v>
      </c>
      <c r="L236" t="s">
        <v>3655</v>
      </c>
    </row>
    <row r="237" spans="1:12">
      <c r="A237" s="17">
        <v>236</v>
      </c>
      <c r="B237" s="17" t="s">
        <v>473</v>
      </c>
      <c r="C237" s="17">
        <v>2022508346</v>
      </c>
      <c r="D237" s="17">
        <v>2201010003</v>
      </c>
      <c r="E237" s="17" t="s">
        <v>1805</v>
      </c>
      <c r="F237" s="17" t="e">
        <f>VLOOKUP(C237,'Fast Track '!B:C,2,FALSE)</f>
        <v>#N/A</v>
      </c>
      <c r="G237" s="17" t="s">
        <v>3707</v>
      </c>
      <c r="H237" s="17" t="s">
        <v>474</v>
      </c>
      <c r="I237" s="17" t="str">
        <f>VLOOKUP(D237,Sheet1!E:K,6,FALSE)</f>
        <v>7505018957</v>
      </c>
      <c r="J237" s="17" t="s">
        <v>15</v>
      </c>
      <c r="K237" s="37" t="s">
        <v>3644</v>
      </c>
      <c r="L237" t="s">
        <v>3655</v>
      </c>
    </row>
    <row r="238" spans="1:12">
      <c r="A238" s="17">
        <v>237</v>
      </c>
      <c r="B238" s="17" t="s">
        <v>438</v>
      </c>
      <c r="C238" s="17">
        <v>2022413603</v>
      </c>
      <c r="D238" s="17">
        <v>2201010153</v>
      </c>
      <c r="E238" s="17" t="s">
        <v>1805</v>
      </c>
      <c r="F238" s="17" t="e">
        <f>VLOOKUP(C238,'Fast Track '!B:C,2,FALSE)</f>
        <v>#N/A</v>
      </c>
      <c r="G238" s="17" t="s">
        <v>3707</v>
      </c>
      <c r="H238" s="17" t="s">
        <v>439</v>
      </c>
      <c r="I238" s="17" t="str">
        <f>VLOOKUP(D238,Sheet1!E:K,6,FALSE)</f>
        <v>7895527454</v>
      </c>
      <c r="J238" s="17" t="s">
        <v>15</v>
      </c>
      <c r="K238" s="37" t="s">
        <v>3644</v>
      </c>
      <c r="L238" t="s">
        <v>3655</v>
      </c>
    </row>
    <row r="239" spans="1:12">
      <c r="A239" s="17">
        <v>238</v>
      </c>
      <c r="B239" s="17" t="s">
        <v>483</v>
      </c>
      <c r="C239" s="17">
        <v>2022519020</v>
      </c>
      <c r="D239" s="17">
        <v>2201010185</v>
      </c>
      <c r="E239" s="17" t="s">
        <v>1805</v>
      </c>
      <c r="F239" s="17" t="e">
        <f>VLOOKUP(C239,'Fast Track '!B:C,2,FALSE)</f>
        <v>#N/A</v>
      </c>
      <c r="G239" s="17" t="s">
        <v>3707</v>
      </c>
      <c r="H239" s="17" t="s">
        <v>484</v>
      </c>
      <c r="I239" s="17" t="str">
        <f>VLOOKUP(D239,Sheet1!E:K,6,FALSE)</f>
        <v>9161767047</v>
      </c>
      <c r="J239" s="17" t="s">
        <v>15</v>
      </c>
      <c r="K239" s="37" t="s">
        <v>3644</v>
      </c>
      <c r="L239" t="s">
        <v>3655</v>
      </c>
    </row>
    <row r="240" spans="1:12">
      <c r="A240" s="17">
        <v>239</v>
      </c>
      <c r="B240" s="17" t="s">
        <v>467</v>
      </c>
      <c r="C240" s="17">
        <v>2022497244</v>
      </c>
      <c r="D240" s="17">
        <v>2201010237</v>
      </c>
      <c r="E240" s="17" t="s">
        <v>1805</v>
      </c>
      <c r="F240" s="17" t="e">
        <f>VLOOKUP(C240,'Fast Track '!B:C,2,FALSE)</f>
        <v>#N/A</v>
      </c>
      <c r="G240" s="17" t="s">
        <v>3707</v>
      </c>
      <c r="H240" s="17" t="s">
        <v>468</v>
      </c>
      <c r="I240" s="17" t="str">
        <f>VLOOKUP(D240,Sheet1!E:K,6,FALSE)</f>
        <v>8630446523</v>
      </c>
      <c r="J240" s="17" t="s">
        <v>15</v>
      </c>
      <c r="K240" s="37" t="s">
        <v>3644</v>
      </c>
      <c r="L240" t="s">
        <v>3655</v>
      </c>
    </row>
    <row r="241" spans="1:12">
      <c r="A241" s="17">
        <v>240</v>
      </c>
      <c r="B241" s="17" t="s">
        <v>313</v>
      </c>
      <c r="C241" s="17">
        <v>2022484179</v>
      </c>
      <c r="D241" s="17">
        <v>2201010285</v>
      </c>
      <c r="E241" s="17" t="s">
        <v>1805</v>
      </c>
      <c r="F241" s="17" t="e">
        <f>VLOOKUP(C241,'Fast Track '!B:C,2,FALSE)</f>
        <v>#N/A</v>
      </c>
      <c r="G241" s="17" t="s">
        <v>3707</v>
      </c>
      <c r="H241" s="17" t="s">
        <v>462</v>
      </c>
      <c r="I241" s="17" t="str">
        <f>VLOOKUP(D241,Sheet1!E:K,6,FALSE)</f>
        <v>9304389808</v>
      </c>
      <c r="J241" s="17" t="s">
        <v>15</v>
      </c>
      <c r="K241" s="37" t="s">
        <v>3644</v>
      </c>
      <c r="L241" t="s">
        <v>3655</v>
      </c>
    </row>
    <row r="242" spans="1:12">
      <c r="A242" s="17">
        <v>241</v>
      </c>
      <c r="B242" s="17" t="s">
        <v>477</v>
      </c>
      <c r="C242" s="17">
        <v>2022515249</v>
      </c>
      <c r="D242" s="17">
        <v>2201010352</v>
      </c>
      <c r="E242" s="17" t="s">
        <v>1805</v>
      </c>
      <c r="F242" s="17" t="e">
        <f>VLOOKUP(C242,'Fast Track '!B:C,2,FALSE)</f>
        <v>#N/A</v>
      </c>
      <c r="G242" s="17" t="s">
        <v>3707</v>
      </c>
      <c r="H242" s="17" t="s">
        <v>478</v>
      </c>
      <c r="I242" s="17" t="str">
        <f>VLOOKUP(D242,Sheet1!E:K,6,FALSE)</f>
        <v>9129848274</v>
      </c>
      <c r="J242" s="17" t="s">
        <v>15</v>
      </c>
      <c r="K242" s="37" t="s">
        <v>3644</v>
      </c>
      <c r="L242" t="s">
        <v>3655</v>
      </c>
    </row>
    <row r="243" spans="1:12">
      <c r="A243" s="17">
        <v>242</v>
      </c>
      <c r="B243" s="17" t="s">
        <v>465</v>
      </c>
      <c r="C243" s="17">
        <v>2022484682</v>
      </c>
      <c r="D243" s="17">
        <v>2201010807</v>
      </c>
      <c r="E243" s="17" t="s">
        <v>1805</v>
      </c>
      <c r="F243" s="17" t="e">
        <f>VLOOKUP(C243,'Fast Track '!B:C,2,FALSE)</f>
        <v>#N/A</v>
      </c>
      <c r="G243" s="17" t="s">
        <v>3707</v>
      </c>
      <c r="H243" s="17" t="s">
        <v>466</v>
      </c>
      <c r="I243" s="17" t="str">
        <f>VLOOKUP(D243,Sheet1!E:K,6,FALSE)</f>
        <v>9414268820</v>
      </c>
      <c r="J243" s="17" t="s">
        <v>15</v>
      </c>
      <c r="K243" s="37" t="s">
        <v>3644</v>
      </c>
      <c r="L243" t="s">
        <v>3655</v>
      </c>
    </row>
    <row r="244" spans="1:12">
      <c r="A244" s="17">
        <v>243</v>
      </c>
      <c r="B244" s="17" t="s">
        <v>625</v>
      </c>
      <c r="C244" s="17">
        <v>2022540466</v>
      </c>
      <c r="D244" s="17">
        <v>2201010135</v>
      </c>
      <c r="E244" s="17" t="s">
        <v>1805</v>
      </c>
      <c r="F244" s="17" t="e">
        <f>VLOOKUP(C244,'Fast Track '!B:C,2,FALSE)</f>
        <v>#N/A</v>
      </c>
      <c r="G244" s="17" t="s">
        <v>3707</v>
      </c>
      <c r="H244" s="17" t="s">
        <v>626</v>
      </c>
      <c r="I244" s="17" t="str">
        <f>VLOOKUP(D244,Sheet1!E:K,6,FALSE)</f>
        <v>9462607285</v>
      </c>
      <c r="J244" s="17" t="s">
        <v>15</v>
      </c>
      <c r="K244" s="37" t="s">
        <v>3644</v>
      </c>
      <c r="L244" t="s">
        <v>3655</v>
      </c>
    </row>
    <row r="245" spans="1:12">
      <c r="A245" s="17">
        <v>244</v>
      </c>
      <c r="B245" s="17" t="s">
        <v>598</v>
      </c>
      <c r="C245" s="17">
        <v>2022506880</v>
      </c>
      <c r="D245" s="17">
        <v>2201010275</v>
      </c>
      <c r="E245" s="17" t="s">
        <v>1805</v>
      </c>
      <c r="F245" s="17" t="e">
        <f>VLOOKUP(C245,'Fast Track '!B:C,2,FALSE)</f>
        <v>#N/A</v>
      </c>
      <c r="G245" s="17" t="s">
        <v>3707</v>
      </c>
      <c r="H245" s="17" t="s">
        <v>599</v>
      </c>
      <c r="I245" s="17" t="str">
        <f>VLOOKUP(D245,Sheet1!E:K,6,FALSE)</f>
        <v>7060867763</v>
      </c>
      <c r="J245" s="17" t="s">
        <v>15</v>
      </c>
      <c r="K245" s="37" t="s">
        <v>3644</v>
      </c>
      <c r="L245" t="s">
        <v>3655</v>
      </c>
    </row>
    <row r="246" spans="1:12">
      <c r="A246" s="17">
        <v>245</v>
      </c>
      <c r="B246" s="17" t="s">
        <v>635</v>
      </c>
      <c r="C246" s="17">
        <v>2022805251</v>
      </c>
      <c r="D246" s="17">
        <v>2201010543</v>
      </c>
      <c r="E246" s="17" t="s">
        <v>1805</v>
      </c>
      <c r="F246" s="17" t="e">
        <f>VLOOKUP(C246,'Fast Track '!B:C,2,FALSE)</f>
        <v>#N/A</v>
      </c>
      <c r="G246" s="17" t="s">
        <v>3707</v>
      </c>
      <c r="H246" s="17" t="s">
        <v>636</v>
      </c>
      <c r="I246" s="17" t="str">
        <f>VLOOKUP(D246,Sheet1!E:K,6,FALSE)</f>
        <v>91 9661565894</v>
      </c>
      <c r="J246" s="17" t="s">
        <v>15</v>
      </c>
      <c r="K246" s="37" t="s">
        <v>3644</v>
      </c>
      <c r="L246" t="s">
        <v>3655</v>
      </c>
    </row>
    <row r="247" spans="1:12">
      <c r="A247" s="17">
        <v>246</v>
      </c>
      <c r="B247" s="17" t="s">
        <v>713</v>
      </c>
      <c r="C247" s="17">
        <v>2022453096</v>
      </c>
      <c r="D247" s="17">
        <v>2201010510</v>
      </c>
      <c r="E247" s="17" t="s">
        <v>1805</v>
      </c>
      <c r="F247" s="17" t="e">
        <f>VLOOKUP(C247,'Fast Track '!B:C,2,FALSE)</f>
        <v>#N/A</v>
      </c>
      <c r="G247" s="17" t="s">
        <v>3707</v>
      </c>
      <c r="H247" s="17" t="s">
        <v>714</v>
      </c>
      <c r="I247" s="17" t="str">
        <f>VLOOKUP(D247,Sheet1!E:K,6,FALSE)</f>
        <v>8271863383</v>
      </c>
      <c r="J247" s="17" t="s">
        <v>15</v>
      </c>
      <c r="K247" s="37" t="s">
        <v>3644</v>
      </c>
      <c r="L247" t="s">
        <v>3655</v>
      </c>
    </row>
    <row r="248" spans="1:12">
      <c r="A248" s="17">
        <v>247</v>
      </c>
      <c r="B248" s="17" t="s">
        <v>701</v>
      </c>
      <c r="C248" s="17">
        <v>2022007819</v>
      </c>
      <c r="D248" s="17">
        <v>2201010866</v>
      </c>
      <c r="E248" s="17" t="s">
        <v>1805</v>
      </c>
      <c r="F248" s="17" t="e">
        <f>VLOOKUP(C248,'Fast Track '!B:C,2,FALSE)</f>
        <v>#N/A</v>
      </c>
      <c r="G248" s="17" t="s">
        <v>3707</v>
      </c>
      <c r="H248" s="17" t="s">
        <v>702</v>
      </c>
      <c r="I248" s="17" t="str">
        <f>VLOOKUP(D248,Sheet1!E:K,6,FALSE)</f>
        <v>6299567700</v>
      </c>
      <c r="J248" s="17" t="s">
        <v>15</v>
      </c>
      <c r="K248" s="37" t="s">
        <v>3644</v>
      </c>
      <c r="L248" t="s">
        <v>3655</v>
      </c>
    </row>
    <row r="249" spans="1:12">
      <c r="A249" s="17">
        <v>248</v>
      </c>
      <c r="B249" s="17" t="s">
        <v>751</v>
      </c>
      <c r="C249" s="17">
        <v>2022835895</v>
      </c>
      <c r="D249" s="17">
        <v>2201010910</v>
      </c>
      <c r="E249" s="17" t="s">
        <v>1805</v>
      </c>
      <c r="F249" s="17" t="e">
        <f>VLOOKUP(C249,'Fast Track '!B:C,2,FALSE)</f>
        <v>#N/A</v>
      </c>
      <c r="G249" s="17" t="s">
        <v>3707</v>
      </c>
      <c r="H249" s="17" t="s">
        <v>752</v>
      </c>
      <c r="I249" s="17" t="str">
        <f>VLOOKUP(D249,Sheet1!E:K,6,FALSE)</f>
        <v>91 8084332903</v>
      </c>
      <c r="J249" s="17" t="s">
        <v>15</v>
      </c>
      <c r="K249" s="37" t="s">
        <v>3644</v>
      </c>
      <c r="L249" t="s">
        <v>3655</v>
      </c>
    </row>
    <row r="250" spans="1:12">
      <c r="A250" s="17">
        <v>249</v>
      </c>
      <c r="B250" s="17" t="s">
        <v>323</v>
      </c>
      <c r="C250" s="17">
        <v>2022472005</v>
      </c>
      <c r="D250" s="17">
        <v>2201010296</v>
      </c>
      <c r="E250" s="17" t="s">
        <v>1805</v>
      </c>
      <c r="F250" s="17" t="e">
        <f>VLOOKUP(C250,'Fast Track '!B:C,2,FALSE)</f>
        <v>#N/A</v>
      </c>
      <c r="G250" s="17" t="s">
        <v>3707</v>
      </c>
      <c r="H250" s="17" t="s">
        <v>324</v>
      </c>
      <c r="I250" s="17" t="str">
        <f>VLOOKUP(D250,Sheet1!E:K,6,FALSE)</f>
        <v>8434862779</v>
      </c>
      <c r="J250" s="17" t="s">
        <v>15</v>
      </c>
      <c r="K250" s="37" t="s">
        <v>3644</v>
      </c>
      <c r="L250" t="s">
        <v>3655</v>
      </c>
    </row>
    <row r="251" spans="1:12">
      <c r="A251" s="17">
        <v>250</v>
      </c>
      <c r="B251" s="17" t="s">
        <v>347</v>
      </c>
      <c r="C251" s="17">
        <v>2022504261</v>
      </c>
      <c r="D251" s="17">
        <v>2201010475</v>
      </c>
      <c r="E251" s="17" t="s">
        <v>1805</v>
      </c>
      <c r="F251" s="17" t="e">
        <f>VLOOKUP(C251,'Fast Track '!B:C,2,FALSE)</f>
        <v>#N/A</v>
      </c>
      <c r="G251" s="17" t="s">
        <v>3707</v>
      </c>
      <c r="H251" s="17" t="s">
        <v>348</v>
      </c>
      <c r="I251" s="17" t="str">
        <f>VLOOKUP(D251,Sheet1!E:K,6,FALSE)</f>
        <v>8797904778</v>
      </c>
      <c r="J251" s="17" t="s">
        <v>15</v>
      </c>
      <c r="K251" s="37" t="s">
        <v>3644</v>
      </c>
      <c r="L251" t="s">
        <v>3655</v>
      </c>
    </row>
    <row r="252" spans="1:12">
      <c r="A252" s="17">
        <v>251</v>
      </c>
      <c r="B252" s="17" t="s">
        <v>268</v>
      </c>
      <c r="C252" s="17">
        <v>2022003889</v>
      </c>
      <c r="D252" s="17">
        <v>2201010770</v>
      </c>
      <c r="E252" s="17" t="s">
        <v>1805</v>
      </c>
      <c r="F252" s="17" t="e">
        <f>VLOOKUP(C252,'Fast Track '!B:C,2,FALSE)</f>
        <v>#N/A</v>
      </c>
      <c r="G252" s="17" t="s">
        <v>3707</v>
      </c>
      <c r="H252" s="17" t="s">
        <v>269</v>
      </c>
      <c r="I252" s="17" t="str">
        <f>VLOOKUP(D252,Sheet1!E:K,6,FALSE)</f>
        <v>9034265709</v>
      </c>
      <c r="J252" s="17" t="s">
        <v>15</v>
      </c>
      <c r="K252" s="37" t="s">
        <v>3644</v>
      </c>
      <c r="L252" t="s">
        <v>3655</v>
      </c>
    </row>
    <row r="253" spans="1:12">
      <c r="A253" s="17">
        <v>252</v>
      </c>
      <c r="B253" s="17" t="s">
        <v>711</v>
      </c>
      <c r="C253" s="17">
        <v>2022450179</v>
      </c>
      <c r="D253" s="17">
        <v>2201010826</v>
      </c>
      <c r="E253" s="17" t="s">
        <v>1805</v>
      </c>
      <c r="F253" s="17" t="e">
        <f>VLOOKUP(C253,'Fast Track '!B:C,2,FALSE)</f>
        <v>#N/A</v>
      </c>
      <c r="G253" s="17" t="s">
        <v>3707</v>
      </c>
      <c r="H253" s="17" t="s">
        <v>712</v>
      </c>
      <c r="I253" s="17" t="str">
        <f>VLOOKUP(D253,Sheet1!E:K,6,FALSE)</f>
        <v>8899667050</v>
      </c>
      <c r="J253" s="17" t="s">
        <v>15</v>
      </c>
      <c r="K253" s="37" t="s">
        <v>3644</v>
      </c>
      <c r="L253" t="s">
        <v>3655</v>
      </c>
    </row>
    <row r="254" spans="1:12">
      <c r="A254" s="17">
        <v>253</v>
      </c>
      <c r="B254" s="54" t="s">
        <v>1753</v>
      </c>
      <c r="C254" s="55">
        <v>2022435623</v>
      </c>
      <c r="D254" s="55">
        <v>2201010108</v>
      </c>
      <c r="E254" s="17" t="s">
        <v>1805</v>
      </c>
      <c r="F254" s="17" t="e">
        <f>VLOOKUP(C254,'Fast Track '!B:C,2,FALSE)</f>
        <v>#N/A</v>
      </c>
      <c r="G254" s="17" t="s">
        <v>3707</v>
      </c>
      <c r="H254" s="54" t="s">
        <v>1754</v>
      </c>
      <c r="I254" s="54" t="s">
        <v>3102</v>
      </c>
      <c r="J254" s="54" t="s">
        <v>1401</v>
      </c>
      <c r="K254" s="60" t="s">
        <v>3644</v>
      </c>
      <c r="L254" t="s">
        <v>3655</v>
      </c>
    </row>
    <row r="255" spans="1:12">
      <c r="A255" s="17">
        <v>254</v>
      </c>
      <c r="B255" s="54" t="s">
        <v>668</v>
      </c>
      <c r="C255" s="55">
        <v>2022431018</v>
      </c>
      <c r="D255" s="55">
        <v>2201010421</v>
      </c>
      <c r="E255" s="17" t="s">
        <v>1805</v>
      </c>
      <c r="F255" s="17" t="e">
        <f>VLOOKUP(C255,'Fast Track '!B:C,2,FALSE)</f>
        <v>#N/A</v>
      </c>
      <c r="G255" s="17" t="s">
        <v>3707</v>
      </c>
      <c r="H255" s="54" t="s">
        <v>1748</v>
      </c>
      <c r="I255" s="54" t="s">
        <v>3104</v>
      </c>
      <c r="J255" s="54" t="s">
        <v>1401</v>
      </c>
      <c r="K255" s="60" t="s">
        <v>3644</v>
      </c>
      <c r="L255" t="s">
        <v>3655</v>
      </c>
    </row>
    <row r="256" spans="1:12">
      <c r="A256" s="17">
        <v>255</v>
      </c>
      <c r="B256" s="54" t="s">
        <v>1751</v>
      </c>
      <c r="C256" s="55">
        <v>2022434137</v>
      </c>
      <c r="D256" s="55">
        <v>2201010501</v>
      </c>
      <c r="E256" s="17" t="s">
        <v>1805</v>
      </c>
      <c r="F256" s="17" t="e">
        <f>VLOOKUP(C256,'Fast Track '!B:C,2,FALSE)</f>
        <v>#N/A</v>
      </c>
      <c r="G256" s="17" t="s">
        <v>3707</v>
      </c>
      <c r="H256" s="54" t="s">
        <v>1752</v>
      </c>
      <c r="I256" s="54" t="s">
        <v>3106</v>
      </c>
      <c r="J256" s="54" t="s">
        <v>1401</v>
      </c>
      <c r="K256" s="60" t="s">
        <v>3644</v>
      </c>
      <c r="L256" t="s">
        <v>3655</v>
      </c>
    </row>
    <row r="257" spans="1:12">
      <c r="A257" s="17">
        <v>256</v>
      </c>
      <c r="B257" s="54" t="s">
        <v>1451</v>
      </c>
      <c r="C257" s="55">
        <v>2022343833</v>
      </c>
      <c r="D257" s="55">
        <v>2201010129</v>
      </c>
      <c r="E257" s="17" t="s">
        <v>1805</v>
      </c>
      <c r="F257" s="17" t="e">
        <f>VLOOKUP(C257,'Fast Track '!B:C,2,FALSE)</f>
        <v>#N/A</v>
      </c>
      <c r="G257" s="17" t="s">
        <v>3707</v>
      </c>
      <c r="H257" s="54" t="s">
        <v>1452</v>
      </c>
      <c r="I257" s="54" t="s">
        <v>3228</v>
      </c>
      <c r="J257" s="54" t="s">
        <v>1401</v>
      </c>
      <c r="K257" s="60" t="s">
        <v>3644</v>
      </c>
      <c r="L257" t="s">
        <v>3655</v>
      </c>
    </row>
    <row r="258" spans="1:12">
      <c r="A258" s="17">
        <v>257</v>
      </c>
      <c r="B258" s="54" t="s">
        <v>1488</v>
      </c>
      <c r="C258" s="55">
        <v>2022601278</v>
      </c>
      <c r="D258" s="55">
        <v>2201010921</v>
      </c>
      <c r="E258" s="17" t="s">
        <v>1805</v>
      </c>
      <c r="F258" s="17" t="str">
        <f>VLOOKUP(C258,'Fast Track '!B:C,2,FALSE)</f>
        <v xml:space="preserve">Fasttrack </v>
      </c>
      <c r="G258" s="17"/>
      <c r="H258" s="54" t="s">
        <v>1489</v>
      </c>
      <c r="I258" s="54" t="s">
        <v>3230</v>
      </c>
      <c r="J258" s="54" t="s">
        <v>1401</v>
      </c>
      <c r="K258" s="60" t="s">
        <v>3644</v>
      </c>
      <c r="L258" t="s">
        <v>3655</v>
      </c>
    </row>
    <row r="259" spans="1:12">
      <c r="A259" s="17">
        <v>258</v>
      </c>
      <c r="B259" s="54" t="s">
        <v>1580</v>
      </c>
      <c r="C259" s="55">
        <v>2022523814</v>
      </c>
      <c r="D259" s="55">
        <v>2201010130</v>
      </c>
      <c r="E259" s="17" t="s">
        <v>1805</v>
      </c>
      <c r="F259" s="17" t="e">
        <f>VLOOKUP(C259,'Fast Track '!B:C,2,FALSE)</f>
        <v>#N/A</v>
      </c>
      <c r="G259" s="17" t="s">
        <v>3707</v>
      </c>
      <c r="H259" s="54" t="s">
        <v>1581</v>
      </c>
      <c r="I259" s="54" t="s">
        <v>3358</v>
      </c>
      <c r="J259" s="54" t="s">
        <v>1401</v>
      </c>
      <c r="K259" s="60" t="s">
        <v>3644</v>
      </c>
      <c r="L259" t="s">
        <v>3655</v>
      </c>
    </row>
    <row r="260" spans="1:12">
      <c r="A260" s="17">
        <v>259</v>
      </c>
      <c r="B260" s="54" t="s">
        <v>1539</v>
      </c>
      <c r="C260" s="55">
        <v>2022314446</v>
      </c>
      <c r="D260" s="55">
        <v>2201010181</v>
      </c>
      <c r="E260" s="17" t="s">
        <v>1805</v>
      </c>
      <c r="F260" s="17" t="e">
        <f>VLOOKUP(C260,'Fast Track '!B:C,2,FALSE)</f>
        <v>#N/A</v>
      </c>
      <c r="G260" s="17" t="s">
        <v>3707</v>
      </c>
      <c r="H260" s="54" t="s">
        <v>1540</v>
      </c>
      <c r="I260" s="54" t="s">
        <v>3360</v>
      </c>
      <c r="J260" s="54" t="s">
        <v>1401</v>
      </c>
      <c r="K260" s="60" t="s">
        <v>3644</v>
      </c>
      <c r="L260" t="s">
        <v>3655</v>
      </c>
    </row>
    <row r="261" spans="1:12">
      <c r="A261" s="17">
        <v>260</v>
      </c>
      <c r="B261" s="54" t="s">
        <v>1545</v>
      </c>
      <c r="C261" s="55">
        <v>2022342643</v>
      </c>
      <c r="D261" s="55">
        <v>2201010228</v>
      </c>
      <c r="E261" s="17" t="s">
        <v>1805</v>
      </c>
      <c r="F261" s="17" t="e">
        <f>VLOOKUP(C261,'Fast Track '!B:C,2,FALSE)</f>
        <v>#N/A</v>
      </c>
      <c r="G261" s="17" t="s">
        <v>3707</v>
      </c>
      <c r="H261" s="54" t="s">
        <v>1546</v>
      </c>
      <c r="I261" s="54" t="s">
        <v>3362</v>
      </c>
      <c r="J261" s="54" t="s">
        <v>1401</v>
      </c>
      <c r="K261" s="60" t="s">
        <v>3644</v>
      </c>
      <c r="L261" t="s">
        <v>3655</v>
      </c>
    </row>
    <row r="262" spans="1:12">
      <c r="A262" s="17">
        <v>261</v>
      </c>
      <c r="B262" s="54" t="s">
        <v>1427</v>
      </c>
      <c r="C262" s="55">
        <v>2022007077</v>
      </c>
      <c r="D262" s="55">
        <v>2201010343</v>
      </c>
      <c r="E262" s="17" t="s">
        <v>1805</v>
      </c>
      <c r="F262" s="17" t="e">
        <f>VLOOKUP(C262,'Fast Track '!B:C,2,FALSE)</f>
        <v>#N/A</v>
      </c>
      <c r="G262" s="17" t="s">
        <v>3707</v>
      </c>
      <c r="H262" s="54" t="s">
        <v>1428</v>
      </c>
      <c r="I262" s="54" t="s">
        <v>3364</v>
      </c>
      <c r="J262" s="54" t="s">
        <v>1401</v>
      </c>
      <c r="K262" s="60" t="s">
        <v>3644</v>
      </c>
      <c r="L262" t="s">
        <v>3655</v>
      </c>
    </row>
    <row r="263" spans="1:12">
      <c r="A263" s="17">
        <v>262</v>
      </c>
      <c r="B263" s="54" t="s">
        <v>1413</v>
      </c>
      <c r="C263" s="55">
        <v>2022006247</v>
      </c>
      <c r="D263" s="55">
        <v>2201010359</v>
      </c>
      <c r="E263" s="17" t="s">
        <v>1805</v>
      </c>
      <c r="F263" s="17" t="e">
        <f>VLOOKUP(C263,'Fast Track '!B:C,2,FALSE)</f>
        <v>#N/A</v>
      </c>
      <c r="G263" s="17" t="s">
        <v>3707</v>
      </c>
      <c r="H263" s="54" t="s">
        <v>1414</v>
      </c>
      <c r="I263" s="54" t="s">
        <v>3366</v>
      </c>
      <c r="J263" s="54" t="s">
        <v>1401</v>
      </c>
      <c r="K263" s="60" t="s">
        <v>3644</v>
      </c>
      <c r="L263" t="s">
        <v>3655</v>
      </c>
    </row>
    <row r="264" spans="1:12">
      <c r="A264" s="17">
        <v>263</v>
      </c>
      <c r="B264" s="54" t="s">
        <v>1588</v>
      </c>
      <c r="C264" s="55">
        <v>2022006233</v>
      </c>
      <c r="D264" s="55">
        <v>2201010425</v>
      </c>
      <c r="E264" s="17" t="s">
        <v>1805</v>
      </c>
      <c r="F264" s="17" t="e">
        <f>VLOOKUP(C264,'Fast Track '!B:C,2,FALSE)</f>
        <v>#N/A</v>
      </c>
      <c r="G264" s="17" t="s">
        <v>3707</v>
      </c>
      <c r="H264" s="54" t="s">
        <v>1589</v>
      </c>
      <c r="I264" s="54" t="s">
        <v>3368</v>
      </c>
      <c r="J264" s="54" t="s">
        <v>1401</v>
      </c>
      <c r="K264" s="60" t="s">
        <v>3644</v>
      </c>
      <c r="L264" t="s">
        <v>3655</v>
      </c>
    </row>
    <row r="265" spans="1:12">
      <c r="A265" s="17">
        <v>264</v>
      </c>
      <c r="B265" s="54" t="s">
        <v>1494</v>
      </c>
      <c r="C265" s="55">
        <v>2022817981</v>
      </c>
      <c r="D265" s="55">
        <v>2201010442</v>
      </c>
      <c r="E265" s="17" t="s">
        <v>1805</v>
      </c>
      <c r="F265" s="17" t="e">
        <f>VLOOKUP(C265,'Fast Track '!B:C,2,FALSE)</f>
        <v>#N/A</v>
      </c>
      <c r="G265" s="17" t="s">
        <v>3707</v>
      </c>
      <c r="H265" s="54" t="s">
        <v>1495</v>
      </c>
      <c r="I265" s="54" t="s">
        <v>3370</v>
      </c>
      <c r="J265" s="54" t="s">
        <v>1401</v>
      </c>
      <c r="K265" s="60" t="s">
        <v>3644</v>
      </c>
      <c r="L265" t="s">
        <v>3655</v>
      </c>
    </row>
    <row r="266" spans="1:12">
      <c r="A266" s="17">
        <v>265</v>
      </c>
      <c r="B266" s="54" t="s">
        <v>838</v>
      </c>
      <c r="C266" s="55">
        <v>2022003325</v>
      </c>
      <c r="D266" s="55">
        <v>2201010535</v>
      </c>
      <c r="E266" s="17" t="s">
        <v>1805</v>
      </c>
      <c r="F266" s="17" t="e">
        <f>VLOOKUP(C266,'Fast Track '!B:C,2,FALSE)</f>
        <v>#N/A</v>
      </c>
      <c r="G266" s="17" t="s">
        <v>3707</v>
      </c>
      <c r="H266" s="54" t="s">
        <v>1517</v>
      </c>
      <c r="I266" s="54" t="s">
        <v>3372</v>
      </c>
      <c r="J266" s="54" t="s">
        <v>1401</v>
      </c>
      <c r="K266" s="60" t="s">
        <v>3644</v>
      </c>
      <c r="L266" t="s">
        <v>3655</v>
      </c>
    </row>
    <row r="267" spans="1:12">
      <c r="A267" s="17">
        <v>266</v>
      </c>
      <c r="B267" s="54" t="s">
        <v>1429</v>
      </c>
      <c r="C267" s="55">
        <v>2022007217</v>
      </c>
      <c r="D267" s="55">
        <v>2201010916</v>
      </c>
      <c r="E267" s="17" t="s">
        <v>1805</v>
      </c>
      <c r="F267" s="17" t="str">
        <f>VLOOKUP(C267,'Fast Track '!B:C,2,FALSE)</f>
        <v xml:space="preserve">Fasttrack </v>
      </c>
      <c r="G267" s="17"/>
      <c r="H267" s="54" t="s">
        <v>1430</v>
      </c>
      <c r="I267" s="54" t="s">
        <v>3374</v>
      </c>
      <c r="J267" s="54" t="s">
        <v>1401</v>
      </c>
      <c r="K267" s="60" t="s">
        <v>3644</v>
      </c>
      <c r="L267" t="s">
        <v>3655</v>
      </c>
    </row>
    <row r="268" spans="1:12">
      <c r="A268" s="17">
        <v>267</v>
      </c>
      <c r="B268" s="54" t="s">
        <v>1478</v>
      </c>
      <c r="C268" s="55">
        <v>2022543882</v>
      </c>
      <c r="D268" s="55">
        <v>2201010918</v>
      </c>
      <c r="E268" s="17" t="s">
        <v>1805</v>
      </c>
      <c r="F268" s="17" t="e">
        <f>VLOOKUP(C268,'Fast Track '!B:C,2,FALSE)</f>
        <v>#N/A</v>
      </c>
      <c r="G268" s="17" t="s">
        <v>3707</v>
      </c>
      <c r="H268" s="54" t="s">
        <v>1479</v>
      </c>
      <c r="I268" s="54" t="s">
        <v>3376</v>
      </c>
      <c r="J268" s="54" t="s">
        <v>1401</v>
      </c>
      <c r="K268" s="60" t="s">
        <v>3644</v>
      </c>
      <c r="L268" t="s">
        <v>3655</v>
      </c>
    </row>
    <row r="269" spans="1:12">
      <c r="A269" s="17">
        <v>268</v>
      </c>
      <c r="B269" s="54" t="s">
        <v>1584</v>
      </c>
      <c r="C269" s="55">
        <v>2022594965</v>
      </c>
      <c r="D269" s="55">
        <v>2201010919</v>
      </c>
      <c r="E269" s="17" t="s">
        <v>1805</v>
      </c>
      <c r="F269" s="17" t="str">
        <f>VLOOKUP(C269,'Fast Track '!B:C,2,FALSE)</f>
        <v xml:space="preserve">Fasttrack </v>
      </c>
      <c r="G269" s="17"/>
      <c r="H269" s="54" t="s">
        <v>1585</v>
      </c>
      <c r="I269" s="54" t="s">
        <v>3378</v>
      </c>
      <c r="J269" s="54" t="s">
        <v>1401</v>
      </c>
      <c r="K269" s="60" t="s">
        <v>3644</v>
      </c>
      <c r="L269" t="s">
        <v>3655</v>
      </c>
    </row>
    <row r="270" spans="1:12">
      <c r="A270" s="17">
        <v>269</v>
      </c>
      <c r="B270" s="54" t="s">
        <v>1486</v>
      </c>
      <c r="C270" s="55">
        <v>2022597147</v>
      </c>
      <c r="D270" s="55">
        <v>2201010920</v>
      </c>
      <c r="E270" s="17" t="s">
        <v>1805</v>
      </c>
      <c r="F270" s="17" t="e">
        <f>VLOOKUP(C270,'Fast Track '!B:C,2,FALSE)</f>
        <v>#N/A</v>
      </c>
      <c r="G270" s="17" t="s">
        <v>3707</v>
      </c>
      <c r="H270" s="54" t="s">
        <v>1487</v>
      </c>
      <c r="I270" s="54" t="s">
        <v>3380</v>
      </c>
      <c r="J270" s="54" t="s">
        <v>1401</v>
      </c>
      <c r="K270" s="60" t="s">
        <v>3644</v>
      </c>
      <c r="L270" t="s">
        <v>3655</v>
      </c>
    </row>
    <row r="271" spans="1:12">
      <c r="A271" s="17">
        <v>270</v>
      </c>
      <c r="B271" s="54" t="s">
        <v>1399</v>
      </c>
      <c r="C271" s="55">
        <v>2022003741</v>
      </c>
      <c r="D271" s="55">
        <v>2201070028</v>
      </c>
      <c r="E271" s="17" t="s">
        <v>1805</v>
      </c>
      <c r="F271" s="17" t="e">
        <f>VLOOKUP(C271,'Fast Track '!B:C,2,FALSE)</f>
        <v>#N/A</v>
      </c>
      <c r="G271" s="17" t="s">
        <v>3707</v>
      </c>
      <c r="H271" s="54" t="s">
        <v>1400</v>
      </c>
      <c r="I271" s="54" t="s">
        <v>3382</v>
      </c>
      <c r="J271" s="54" t="s">
        <v>1401</v>
      </c>
      <c r="K271" s="60" t="s">
        <v>3644</v>
      </c>
      <c r="L271" t="s">
        <v>3655</v>
      </c>
    </row>
    <row r="272" spans="1:12">
      <c r="A272" s="17">
        <v>271</v>
      </c>
      <c r="B272" s="54" t="s">
        <v>1611</v>
      </c>
      <c r="C272" s="55">
        <v>2022006824</v>
      </c>
      <c r="D272" s="55">
        <v>2201010093</v>
      </c>
      <c r="E272" s="17" t="s">
        <v>1805</v>
      </c>
      <c r="F272" s="17" t="e">
        <f>VLOOKUP(C272,'Fast Track '!B:C,2,FALSE)</f>
        <v>#N/A</v>
      </c>
      <c r="G272" s="17" t="s">
        <v>3707</v>
      </c>
      <c r="H272" s="54" t="s">
        <v>1612</v>
      </c>
      <c r="I272" s="54" t="s">
        <v>3484</v>
      </c>
      <c r="J272" s="54" t="s">
        <v>1401</v>
      </c>
      <c r="K272" s="60" t="s">
        <v>3644</v>
      </c>
      <c r="L272" t="s">
        <v>3655</v>
      </c>
    </row>
    <row r="273" spans="1:12">
      <c r="A273" s="17">
        <v>272</v>
      </c>
      <c r="B273" s="54" t="s">
        <v>1453</v>
      </c>
      <c r="C273" s="55">
        <v>2022351697</v>
      </c>
      <c r="D273" s="55">
        <v>2201010373</v>
      </c>
      <c r="E273" s="17" t="s">
        <v>1805</v>
      </c>
      <c r="F273" s="17" t="e">
        <f>VLOOKUP(C273,'Fast Track '!B:C,2,FALSE)</f>
        <v>#N/A</v>
      </c>
      <c r="G273" s="17" t="s">
        <v>3707</v>
      </c>
      <c r="H273" s="54" t="s">
        <v>1454</v>
      </c>
      <c r="I273" s="54" t="s">
        <v>3486</v>
      </c>
      <c r="J273" s="54" t="s">
        <v>1401</v>
      </c>
      <c r="K273" s="60" t="s">
        <v>3644</v>
      </c>
      <c r="L273" t="s">
        <v>3655</v>
      </c>
    </row>
    <row r="274" spans="1:12">
      <c r="A274" s="17">
        <v>273</v>
      </c>
      <c r="B274" s="54" t="s">
        <v>1681</v>
      </c>
      <c r="C274" s="55">
        <v>2022833430</v>
      </c>
      <c r="D274" s="55">
        <v>2201010479</v>
      </c>
      <c r="E274" s="17" t="s">
        <v>1805</v>
      </c>
      <c r="F274" s="17" t="e">
        <f>VLOOKUP(C274,'Fast Track '!B:C,2,FALSE)</f>
        <v>#N/A</v>
      </c>
      <c r="G274" s="17" t="s">
        <v>3707</v>
      </c>
      <c r="H274" s="54" t="s">
        <v>1682</v>
      </c>
      <c r="I274" s="54" t="s">
        <v>3488</v>
      </c>
      <c r="J274" s="54" t="s">
        <v>1401</v>
      </c>
      <c r="K274" s="60" t="s">
        <v>3644</v>
      </c>
      <c r="L274" t="s">
        <v>3655</v>
      </c>
    </row>
    <row r="275" spans="1:12">
      <c r="A275" s="17">
        <v>274</v>
      </c>
      <c r="B275" s="54" t="s">
        <v>1625</v>
      </c>
      <c r="C275" s="55">
        <v>2022360934</v>
      </c>
      <c r="D275" s="55">
        <v>2201010784</v>
      </c>
      <c r="E275" s="17" t="s">
        <v>1805</v>
      </c>
      <c r="F275" s="17" t="e">
        <f>VLOOKUP(C275,'Fast Track '!B:C,2,FALSE)</f>
        <v>#N/A</v>
      </c>
      <c r="G275" s="17" t="s">
        <v>3707</v>
      </c>
      <c r="H275" s="54" t="s">
        <v>1626</v>
      </c>
      <c r="I275" s="54" t="s">
        <v>3490</v>
      </c>
      <c r="J275" s="54" t="s">
        <v>1401</v>
      </c>
      <c r="K275" s="60" t="s">
        <v>3644</v>
      </c>
      <c r="L275" t="s">
        <v>3655</v>
      </c>
    </row>
    <row r="276" spans="1:12">
      <c r="A276" s="17">
        <v>275</v>
      </c>
      <c r="B276" s="17" t="s">
        <v>262</v>
      </c>
      <c r="C276" s="17">
        <v>2022000982</v>
      </c>
      <c r="D276" s="17">
        <v>2201010125</v>
      </c>
      <c r="E276" s="17" t="s">
        <v>1806</v>
      </c>
      <c r="F276" s="17" t="e">
        <f>VLOOKUP(C276,'Fast Track '!B:C,2,FALSE)</f>
        <v>#N/A</v>
      </c>
      <c r="G276" s="17" t="s">
        <v>3707</v>
      </c>
      <c r="H276" s="17" t="s">
        <v>263</v>
      </c>
      <c r="I276" s="17" t="str">
        <f>VLOOKUP(D276,Sheet1!E:K,6,FALSE)</f>
        <v>8929586849</v>
      </c>
      <c r="J276" s="17" t="str">
        <f>VLOOKUP(E276,Sheet1!F:L,6,FALSE)</f>
        <v>Computer Science</v>
      </c>
      <c r="K276" s="37" t="s">
        <v>3645</v>
      </c>
      <c r="L276" t="s">
        <v>3794</v>
      </c>
    </row>
    <row r="277" spans="1:12">
      <c r="A277" s="17">
        <v>276</v>
      </c>
      <c r="B277" s="17" t="s">
        <v>327</v>
      </c>
      <c r="C277" s="17">
        <v>2022476992</v>
      </c>
      <c r="D277" s="17">
        <v>2201010263</v>
      </c>
      <c r="E277" s="17" t="s">
        <v>1806</v>
      </c>
      <c r="F277" s="17" t="e">
        <f>VLOOKUP(C277,'Fast Track '!B:C,2,FALSE)</f>
        <v>#N/A</v>
      </c>
      <c r="G277" s="17" t="s">
        <v>3707</v>
      </c>
      <c r="H277" s="17" t="s">
        <v>328</v>
      </c>
      <c r="I277" s="17" t="str">
        <f>VLOOKUP(D277,Sheet1!E:K,6,FALSE)</f>
        <v>7007382747</v>
      </c>
      <c r="J277" s="17" t="str">
        <f>VLOOKUP(E277,Sheet1!F:L,6,FALSE)</f>
        <v>Computer Science</v>
      </c>
      <c r="K277" s="37" t="s">
        <v>3645</v>
      </c>
      <c r="L277" t="s">
        <v>3794</v>
      </c>
    </row>
    <row r="278" spans="1:12">
      <c r="A278" s="17">
        <v>277</v>
      </c>
      <c r="B278" s="17" t="s">
        <v>337</v>
      </c>
      <c r="C278" s="17">
        <v>2022482951</v>
      </c>
      <c r="D278" s="17">
        <v>2201010270</v>
      </c>
      <c r="E278" s="17" t="s">
        <v>1806</v>
      </c>
      <c r="F278" s="17" t="e">
        <f>VLOOKUP(C278,'Fast Track '!B:C,2,FALSE)</f>
        <v>#N/A</v>
      </c>
      <c r="G278" s="17" t="s">
        <v>3707</v>
      </c>
      <c r="H278" s="17" t="s">
        <v>338</v>
      </c>
      <c r="I278" s="17" t="str">
        <f>VLOOKUP(D278,Sheet1!E:K,6,FALSE)</f>
        <v>8439358060</v>
      </c>
      <c r="J278" s="17" t="str">
        <f>VLOOKUP(E278,Sheet1!F:L,6,FALSE)</f>
        <v>Computer Science</v>
      </c>
      <c r="K278" s="37" t="s">
        <v>3645</v>
      </c>
      <c r="L278" t="s">
        <v>3794</v>
      </c>
    </row>
    <row r="279" spans="1:12">
      <c r="A279" s="17">
        <v>278</v>
      </c>
      <c r="B279" s="17" t="s">
        <v>294</v>
      </c>
      <c r="C279" s="17">
        <v>2022301943</v>
      </c>
      <c r="D279" s="17">
        <v>2201010318</v>
      </c>
      <c r="E279" s="17" t="s">
        <v>1806</v>
      </c>
      <c r="F279" s="17" t="e">
        <f>VLOOKUP(C279,'Fast Track '!B:C,2,FALSE)</f>
        <v>#N/A</v>
      </c>
      <c r="G279" s="17" t="s">
        <v>3707</v>
      </c>
      <c r="H279" s="17" t="s">
        <v>295</v>
      </c>
      <c r="I279" s="17" t="str">
        <f>VLOOKUP(D279,Sheet1!E:K,6,FALSE)</f>
        <v>9205507667</v>
      </c>
      <c r="J279" s="17" t="str">
        <f>VLOOKUP(E279,Sheet1!F:L,6,FALSE)</f>
        <v>Computer Science</v>
      </c>
      <c r="K279" s="37" t="s">
        <v>3645</v>
      </c>
      <c r="L279" t="s">
        <v>3794</v>
      </c>
    </row>
    <row r="280" spans="1:12">
      <c r="A280" s="17">
        <v>279</v>
      </c>
      <c r="B280" s="17" t="s">
        <v>331</v>
      </c>
      <c r="C280" s="17">
        <v>2022480728</v>
      </c>
      <c r="D280" s="17">
        <v>2201010389</v>
      </c>
      <c r="E280" s="17" t="s">
        <v>1806</v>
      </c>
      <c r="F280" s="17" t="e">
        <f>VLOOKUP(C280,'Fast Track '!B:C,2,FALSE)</f>
        <v>#N/A</v>
      </c>
      <c r="G280" s="17" t="s">
        <v>3707</v>
      </c>
      <c r="H280" s="17" t="s">
        <v>332</v>
      </c>
      <c r="I280" s="17" t="str">
        <f>VLOOKUP(D280,Sheet1!E:K,6,FALSE)</f>
        <v>9717511182</v>
      </c>
      <c r="J280" s="17" t="str">
        <f>VLOOKUP(E280,Sheet1!F:L,6,FALSE)</f>
        <v>Computer Science</v>
      </c>
      <c r="K280" s="37" t="s">
        <v>3645</v>
      </c>
      <c r="L280" t="s">
        <v>3794</v>
      </c>
    </row>
    <row r="281" spans="1:12">
      <c r="A281" s="17">
        <v>280</v>
      </c>
      <c r="B281" s="17" t="s">
        <v>266</v>
      </c>
      <c r="C281" s="17">
        <v>2022003695</v>
      </c>
      <c r="D281" s="17">
        <v>2201010515</v>
      </c>
      <c r="E281" s="17" t="s">
        <v>1806</v>
      </c>
      <c r="F281" s="17" t="e">
        <f>VLOOKUP(C281,'Fast Track '!B:C,2,FALSE)</f>
        <v>#N/A</v>
      </c>
      <c r="G281" s="17" t="s">
        <v>3707</v>
      </c>
      <c r="H281" s="17" t="s">
        <v>267</v>
      </c>
      <c r="I281" s="17" t="str">
        <f>VLOOKUP(D281,Sheet1!E:K,6,FALSE)</f>
        <v>7903443437</v>
      </c>
      <c r="J281" s="17" t="str">
        <f>VLOOKUP(E281,Sheet1!F:L,6,FALSE)</f>
        <v>Computer Science</v>
      </c>
      <c r="K281" s="37" t="s">
        <v>3645</v>
      </c>
      <c r="L281" t="s">
        <v>3794</v>
      </c>
    </row>
    <row r="282" spans="1:12">
      <c r="A282" s="17">
        <v>281</v>
      </c>
      <c r="B282" s="17" t="s">
        <v>296</v>
      </c>
      <c r="C282" s="17">
        <v>2022306401</v>
      </c>
      <c r="D282" s="17">
        <v>2201010585</v>
      </c>
      <c r="E282" s="17" t="s">
        <v>1806</v>
      </c>
      <c r="F282" s="17" t="e">
        <f>VLOOKUP(C282,'Fast Track '!B:C,2,FALSE)</f>
        <v>#N/A</v>
      </c>
      <c r="G282" s="17" t="s">
        <v>3707</v>
      </c>
      <c r="H282" s="17" t="s">
        <v>297</v>
      </c>
      <c r="I282" s="17" t="str">
        <f>VLOOKUP(D282,Sheet1!E:K,6,FALSE)</f>
        <v>8595590409</v>
      </c>
      <c r="J282" s="17" t="str">
        <f>VLOOKUP(E282,Sheet1!F:L,6,FALSE)</f>
        <v>Computer Science</v>
      </c>
      <c r="K282" s="37" t="s">
        <v>3645</v>
      </c>
      <c r="L282" t="s">
        <v>3794</v>
      </c>
    </row>
    <row r="283" spans="1:12">
      <c r="A283" s="17">
        <v>282</v>
      </c>
      <c r="B283" s="17" t="s">
        <v>264</v>
      </c>
      <c r="C283" s="17">
        <v>2022002431</v>
      </c>
      <c r="D283" s="17">
        <v>2201010745</v>
      </c>
      <c r="E283" s="17" t="s">
        <v>1806</v>
      </c>
      <c r="F283" s="17" t="e">
        <f>VLOOKUP(C283,'Fast Track '!B:C,2,FALSE)</f>
        <v>#N/A</v>
      </c>
      <c r="G283" s="17" t="s">
        <v>3707</v>
      </c>
      <c r="H283" s="17" t="s">
        <v>265</v>
      </c>
      <c r="I283" s="17" t="str">
        <f>VLOOKUP(D283,Sheet1!E:K,6,FALSE)</f>
        <v>8851522509</v>
      </c>
      <c r="J283" s="17" t="str">
        <f>VLOOKUP(E283,Sheet1!F:L,6,FALSE)</f>
        <v>Computer Science</v>
      </c>
      <c r="K283" s="37" t="s">
        <v>3645</v>
      </c>
      <c r="L283" t="s">
        <v>3794</v>
      </c>
    </row>
    <row r="284" spans="1:12">
      <c r="A284" s="17">
        <v>283</v>
      </c>
      <c r="B284" s="17" t="s">
        <v>373</v>
      </c>
      <c r="C284" s="17">
        <v>2022006932</v>
      </c>
      <c r="D284" s="17">
        <v>2201010834</v>
      </c>
      <c r="E284" s="17" t="s">
        <v>1806</v>
      </c>
      <c r="F284" s="17" t="e">
        <f>VLOOKUP(C284,'Fast Track '!B:C,2,FALSE)</f>
        <v>#N/A</v>
      </c>
      <c r="G284" s="17" t="s">
        <v>3707</v>
      </c>
      <c r="H284" s="17" t="s">
        <v>374</v>
      </c>
      <c r="I284" s="17" t="str">
        <f>VLOOKUP(D284,Sheet1!E:K,6,FALSE)</f>
        <v>9310460810</v>
      </c>
      <c r="J284" s="17" t="str">
        <f>VLOOKUP(E284,Sheet1!F:L,6,FALSE)</f>
        <v>Computer Science</v>
      </c>
      <c r="K284" s="37" t="s">
        <v>3645</v>
      </c>
      <c r="L284" t="s">
        <v>3794</v>
      </c>
    </row>
    <row r="285" spans="1:12">
      <c r="A285" s="17">
        <v>284</v>
      </c>
      <c r="B285" s="17" t="s">
        <v>375</v>
      </c>
      <c r="C285" s="17">
        <v>2022007788</v>
      </c>
      <c r="D285" s="17">
        <v>2201010864</v>
      </c>
      <c r="E285" s="17" t="s">
        <v>1806</v>
      </c>
      <c r="F285" s="17" t="e">
        <f>VLOOKUP(C285,'Fast Track '!B:C,2,FALSE)</f>
        <v>#N/A</v>
      </c>
      <c r="G285" s="17" t="s">
        <v>3707</v>
      </c>
      <c r="H285" s="17" t="s">
        <v>376</v>
      </c>
      <c r="I285" s="17" t="str">
        <f>VLOOKUP(D285,Sheet1!E:K,6,FALSE)</f>
        <v>8235930751</v>
      </c>
      <c r="J285" s="17" t="str">
        <f>VLOOKUP(E285,Sheet1!F:L,6,FALSE)</f>
        <v>Computer Science</v>
      </c>
      <c r="K285" s="37" t="s">
        <v>3645</v>
      </c>
      <c r="L285" t="s">
        <v>3794</v>
      </c>
    </row>
    <row r="286" spans="1:12">
      <c r="A286" s="17">
        <v>285</v>
      </c>
      <c r="B286" s="17" t="s">
        <v>377</v>
      </c>
      <c r="C286" s="17">
        <v>2022505059</v>
      </c>
      <c r="D286" s="17">
        <v>2201010875</v>
      </c>
      <c r="E286" s="17" t="s">
        <v>1806</v>
      </c>
      <c r="F286" s="17" t="e">
        <f>VLOOKUP(C286,'Fast Track '!B:C,2,FALSE)</f>
        <v>#N/A</v>
      </c>
      <c r="G286" s="17" t="s">
        <v>3707</v>
      </c>
      <c r="H286" s="17" t="s">
        <v>378</v>
      </c>
      <c r="I286" s="17" t="str">
        <f>VLOOKUP(D286,Sheet1!E:K,6,FALSE)</f>
        <v>7903070334</v>
      </c>
      <c r="J286" s="17" t="str">
        <f>VLOOKUP(E286,Sheet1!F:L,6,FALSE)</f>
        <v>Computer Science</v>
      </c>
      <c r="K286" s="37" t="s">
        <v>3645</v>
      </c>
      <c r="L286" t="s">
        <v>3794</v>
      </c>
    </row>
    <row r="287" spans="1:12">
      <c r="A287" s="17">
        <v>286</v>
      </c>
      <c r="B287" s="17" t="s">
        <v>385</v>
      </c>
      <c r="C287" s="17">
        <v>2023322783</v>
      </c>
      <c r="D287" s="17">
        <v>2301017004</v>
      </c>
      <c r="E287" s="17" t="s">
        <v>1806</v>
      </c>
      <c r="F287" s="17" t="e">
        <f>VLOOKUP(C287,'Fast Track '!B:C,2,FALSE)</f>
        <v>#N/A</v>
      </c>
      <c r="G287" s="17" t="s">
        <v>3707</v>
      </c>
      <c r="H287" s="17" t="s">
        <v>386</v>
      </c>
      <c r="I287" s="17" t="str">
        <f>VLOOKUP(D287,Sheet1!E:K,6,FALSE)</f>
        <v>9027213643</v>
      </c>
      <c r="J287" s="17" t="str">
        <f>VLOOKUP(E287,Sheet1!F:L,6,FALSE)</f>
        <v>Computer Science</v>
      </c>
      <c r="K287" s="37" t="s">
        <v>3645</v>
      </c>
      <c r="L287" t="s">
        <v>3794</v>
      </c>
    </row>
    <row r="288" spans="1:12">
      <c r="A288" s="17">
        <v>287</v>
      </c>
      <c r="B288" s="17" t="s">
        <v>479</v>
      </c>
      <c r="C288" s="17">
        <v>2022516410</v>
      </c>
      <c r="D288" s="17">
        <v>2201010082</v>
      </c>
      <c r="E288" s="17" t="s">
        <v>1806</v>
      </c>
      <c r="F288" s="17" t="e">
        <f>VLOOKUP(C288,'Fast Track '!B:C,2,FALSE)</f>
        <v>#N/A</v>
      </c>
      <c r="G288" s="17" t="s">
        <v>3707</v>
      </c>
      <c r="H288" s="17" t="s">
        <v>480</v>
      </c>
      <c r="I288" s="17" t="str">
        <f>VLOOKUP(D288,Sheet1!E:K,6,FALSE)</f>
        <v>7717742710</v>
      </c>
      <c r="J288" s="17" t="str">
        <f>VLOOKUP(E288,Sheet1!F:L,6,FALSE)</f>
        <v>Computer Science</v>
      </c>
      <c r="K288" s="37" t="s">
        <v>3645</v>
      </c>
      <c r="L288" t="s">
        <v>3794</v>
      </c>
    </row>
    <row r="289" spans="1:12">
      <c r="A289" s="17">
        <v>288</v>
      </c>
      <c r="B289" s="17" t="s">
        <v>491</v>
      </c>
      <c r="C289" s="17">
        <v>2022528415</v>
      </c>
      <c r="D289" s="17">
        <v>2201010188</v>
      </c>
      <c r="E289" s="17" t="s">
        <v>1806</v>
      </c>
      <c r="F289" s="17" t="e">
        <f>VLOOKUP(C289,'Fast Track '!B:C,2,FALSE)</f>
        <v>#N/A</v>
      </c>
      <c r="G289" s="17" t="s">
        <v>3707</v>
      </c>
      <c r="H289" s="17" t="s">
        <v>492</v>
      </c>
      <c r="I289" s="17">
        <f>VLOOKUP(D289,Sheet1!E:K,6,FALSE)</f>
        <v>0</v>
      </c>
      <c r="J289" s="17" t="str">
        <f>VLOOKUP(E289,Sheet1!F:L,6,FALSE)</f>
        <v>Computer Science</v>
      </c>
      <c r="K289" s="37" t="s">
        <v>3645</v>
      </c>
      <c r="L289" t="s">
        <v>3794</v>
      </c>
    </row>
    <row r="290" spans="1:12">
      <c r="A290" s="17">
        <v>289</v>
      </c>
      <c r="B290" s="17" t="s">
        <v>509</v>
      </c>
      <c r="C290" s="17">
        <v>2022000239</v>
      </c>
      <c r="D290" s="17">
        <v>2201010239</v>
      </c>
      <c r="E290" s="17" t="s">
        <v>1806</v>
      </c>
      <c r="F290" s="17" t="e">
        <f>VLOOKUP(C290,'Fast Track '!B:C,2,FALSE)</f>
        <v>#N/A</v>
      </c>
      <c r="G290" s="17" t="s">
        <v>3707</v>
      </c>
      <c r="H290" s="17" t="s">
        <v>510</v>
      </c>
      <c r="I290" s="17" t="str">
        <f>VLOOKUP(D290,Sheet1!E:K,6,FALSE)</f>
        <v>9355642786</v>
      </c>
      <c r="J290" s="17" t="str">
        <f>VLOOKUP(E290,Sheet1!F:L,6,FALSE)</f>
        <v>Computer Science</v>
      </c>
      <c r="K290" s="37" t="s">
        <v>3645</v>
      </c>
      <c r="L290" t="s">
        <v>3794</v>
      </c>
    </row>
    <row r="291" spans="1:12">
      <c r="A291" s="17">
        <v>290</v>
      </c>
      <c r="B291" s="17" t="s">
        <v>497</v>
      </c>
      <c r="C291" s="17">
        <v>2022540214</v>
      </c>
      <c r="D291" s="17">
        <v>2201010246</v>
      </c>
      <c r="E291" s="17" t="s">
        <v>1806</v>
      </c>
      <c r="F291" s="17" t="e">
        <f>VLOOKUP(C291,'Fast Track '!B:C,2,FALSE)</f>
        <v>#N/A</v>
      </c>
      <c r="G291" s="17" t="s">
        <v>3707</v>
      </c>
      <c r="H291" s="17" t="s">
        <v>498</v>
      </c>
      <c r="I291" s="17" t="str">
        <f>VLOOKUP(D291,Sheet1!E:K,6,FALSE)</f>
        <v>8210055072</v>
      </c>
      <c r="J291" s="17" t="str">
        <f>VLOOKUP(E291,Sheet1!F:L,6,FALSE)</f>
        <v>Computer Science</v>
      </c>
      <c r="K291" s="37" t="s">
        <v>3645</v>
      </c>
      <c r="L291" t="s">
        <v>3794</v>
      </c>
    </row>
    <row r="292" spans="1:12">
      <c r="A292" s="17">
        <v>291</v>
      </c>
      <c r="B292" s="17" t="s">
        <v>436</v>
      </c>
      <c r="C292" s="17">
        <v>2022413331</v>
      </c>
      <c r="D292" s="17">
        <v>2201010271</v>
      </c>
      <c r="E292" s="17" t="s">
        <v>1806</v>
      </c>
      <c r="F292" s="17" t="e">
        <f>VLOOKUP(C292,'Fast Track '!B:C,2,FALSE)</f>
        <v>#N/A</v>
      </c>
      <c r="G292" s="17" t="s">
        <v>3707</v>
      </c>
      <c r="H292" s="17" t="s">
        <v>437</v>
      </c>
      <c r="I292" s="17" t="str">
        <f>VLOOKUP(D292,Sheet1!E:K,6,FALSE)</f>
        <v>9528799256</v>
      </c>
      <c r="J292" s="17" t="str">
        <f>VLOOKUP(E292,Sheet1!F:L,6,FALSE)</f>
        <v>Computer Science</v>
      </c>
      <c r="K292" s="37" t="s">
        <v>3645</v>
      </c>
      <c r="L292" t="s">
        <v>3794</v>
      </c>
    </row>
    <row r="293" spans="1:12">
      <c r="A293" s="17">
        <v>292</v>
      </c>
      <c r="B293" s="17" t="s">
        <v>414</v>
      </c>
      <c r="C293" s="17">
        <v>2022006470</v>
      </c>
      <c r="D293" s="17">
        <v>2201010281</v>
      </c>
      <c r="E293" s="17" t="s">
        <v>1806</v>
      </c>
      <c r="F293" s="17" t="e">
        <f>VLOOKUP(C293,'Fast Track '!B:C,2,FALSE)</f>
        <v>#N/A</v>
      </c>
      <c r="G293" s="17" t="s">
        <v>3707</v>
      </c>
      <c r="H293" s="17" t="s">
        <v>415</v>
      </c>
      <c r="I293" s="17" t="str">
        <f>VLOOKUP(D293,Sheet1!E:K,6,FALSE)</f>
        <v>9263230458</v>
      </c>
      <c r="J293" s="17" t="str">
        <f>VLOOKUP(E293,Sheet1!F:L,6,FALSE)</f>
        <v>Computer Science</v>
      </c>
      <c r="K293" s="37" t="s">
        <v>3645</v>
      </c>
      <c r="L293" t="s">
        <v>3794</v>
      </c>
    </row>
    <row r="294" spans="1:12">
      <c r="A294" s="17">
        <v>293</v>
      </c>
      <c r="B294" s="17" t="s">
        <v>410</v>
      </c>
      <c r="C294" s="17">
        <v>2022005495</v>
      </c>
      <c r="D294" s="17">
        <v>2201010329</v>
      </c>
      <c r="E294" s="17" t="s">
        <v>1806</v>
      </c>
      <c r="F294" s="17" t="e">
        <f>VLOOKUP(C294,'Fast Track '!B:C,2,FALSE)</f>
        <v>#N/A</v>
      </c>
      <c r="G294" s="17" t="s">
        <v>3707</v>
      </c>
      <c r="H294" s="17" t="s">
        <v>411</v>
      </c>
      <c r="I294" s="17" t="str">
        <f>VLOOKUP(D294,Sheet1!E:K,6,FALSE)</f>
        <v>8826755885</v>
      </c>
      <c r="J294" s="17" t="str">
        <f>VLOOKUP(E294,Sheet1!F:L,6,FALSE)</f>
        <v>Computer Science</v>
      </c>
      <c r="K294" s="37" t="s">
        <v>3645</v>
      </c>
      <c r="L294" t="s">
        <v>3794</v>
      </c>
    </row>
    <row r="295" spans="1:12">
      <c r="A295" s="17">
        <v>294</v>
      </c>
      <c r="B295" s="17" t="s">
        <v>513</v>
      </c>
      <c r="C295" s="17">
        <v>2022395723</v>
      </c>
      <c r="D295" s="17">
        <v>2201010346</v>
      </c>
      <c r="E295" s="17" t="s">
        <v>1806</v>
      </c>
      <c r="F295" s="17" t="e">
        <f>VLOOKUP(C295,'Fast Track '!B:C,2,FALSE)</f>
        <v>#N/A</v>
      </c>
      <c r="G295" s="17" t="s">
        <v>3707</v>
      </c>
      <c r="H295" s="17" t="s">
        <v>514</v>
      </c>
      <c r="I295" s="17" t="str">
        <f>VLOOKUP(D295,Sheet1!E:K,6,FALSE)</f>
        <v>9873045302</v>
      </c>
      <c r="J295" s="17" t="str">
        <f>VLOOKUP(E295,Sheet1!F:L,6,FALSE)</f>
        <v>Computer Science</v>
      </c>
      <c r="K295" s="37" t="s">
        <v>3645</v>
      </c>
      <c r="L295" t="s">
        <v>3794</v>
      </c>
    </row>
    <row r="296" spans="1:12">
      <c r="A296" s="17">
        <v>295</v>
      </c>
      <c r="B296" s="17" t="s">
        <v>511</v>
      </c>
      <c r="C296" s="17">
        <v>2022369814</v>
      </c>
      <c r="D296" s="17">
        <v>2201010367</v>
      </c>
      <c r="E296" s="17" t="s">
        <v>1806</v>
      </c>
      <c r="F296" s="17" t="e">
        <f>VLOOKUP(C296,'Fast Track '!B:C,2,FALSE)</f>
        <v>#N/A</v>
      </c>
      <c r="G296" s="17" t="s">
        <v>3707</v>
      </c>
      <c r="H296" s="17" t="s">
        <v>512</v>
      </c>
      <c r="I296" s="17" t="str">
        <f>VLOOKUP(D296,Sheet1!E:K,6,FALSE)</f>
        <v>8923735824</v>
      </c>
      <c r="J296" s="17" t="str">
        <f>VLOOKUP(E296,Sheet1!F:L,6,FALSE)</f>
        <v>Computer Science</v>
      </c>
      <c r="K296" s="37" t="s">
        <v>3645</v>
      </c>
      <c r="L296" t="s">
        <v>3794</v>
      </c>
    </row>
    <row r="297" spans="1:12">
      <c r="A297" s="17">
        <v>296</v>
      </c>
      <c r="B297" s="17" t="s">
        <v>424</v>
      </c>
      <c r="C297" s="17">
        <v>2022366848</v>
      </c>
      <c r="D297" s="17">
        <v>2201010414</v>
      </c>
      <c r="E297" s="17" t="s">
        <v>1806</v>
      </c>
      <c r="F297" s="17" t="e">
        <f>VLOOKUP(C297,'Fast Track '!B:C,2,FALSE)</f>
        <v>#N/A</v>
      </c>
      <c r="G297" s="17" t="s">
        <v>3707</v>
      </c>
      <c r="H297" s="17" t="s">
        <v>425</v>
      </c>
      <c r="I297" s="17" t="str">
        <f>VLOOKUP(D297,Sheet1!E:K,6,FALSE)</f>
        <v>7505115911</v>
      </c>
      <c r="J297" s="17" t="str">
        <f>VLOOKUP(E297,Sheet1!F:L,6,FALSE)</f>
        <v>Computer Science</v>
      </c>
      <c r="K297" s="37" t="s">
        <v>3645</v>
      </c>
      <c r="L297" t="s">
        <v>3794</v>
      </c>
    </row>
    <row r="298" spans="1:12">
      <c r="A298" s="17">
        <v>297</v>
      </c>
      <c r="B298" s="17" t="s">
        <v>507</v>
      </c>
      <c r="C298" s="17">
        <v>2022808929</v>
      </c>
      <c r="D298" s="17">
        <v>2201010445</v>
      </c>
      <c r="E298" s="17" t="s">
        <v>1806</v>
      </c>
      <c r="F298" s="17" t="e">
        <f>VLOOKUP(C298,'Fast Track '!B:C,2,FALSE)</f>
        <v>#N/A</v>
      </c>
      <c r="G298" s="17" t="s">
        <v>3707</v>
      </c>
      <c r="H298" s="17" t="s">
        <v>508</v>
      </c>
      <c r="I298" s="17" t="str">
        <f>VLOOKUP(D298,Sheet1!E:K,6,FALSE)</f>
        <v>9812369000</v>
      </c>
      <c r="J298" s="17" t="str">
        <f>VLOOKUP(E298,Sheet1!F:L,6,FALSE)</f>
        <v>Computer Science</v>
      </c>
      <c r="K298" s="37" t="s">
        <v>3645</v>
      </c>
      <c r="L298" t="s">
        <v>3794</v>
      </c>
    </row>
    <row r="299" spans="1:12">
      <c r="A299" s="17">
        <v>298</v>
      </c>
      <c r="B299" s="17" t="s">
        <v>420</v>
      </c>
      <c r="C299" s="17">
        <v>2022312023</v>
      </c>
      <c r="D299" s="17">
        <v>2201010569</v>
      </c>
      <c r="E299" s="17" t="s">
        <v>1806</v>
      </c>
      <c r="F299" s="17" t="e">
        <f>VLOOKUP(C299,'Fast Track '!B:C,2,FALSE)</f>
        <v>#N/A</v>
      </c>
      <c r="G299" s="17" t="s">
        <v>3707</v>
      </c>
      <c r="H299" s="17" t="s">
        <v>421</v>
      </c>
      <c r="I299" s="17" t="str">
        <f>VLOOKUP(D299,Sheet1!E:K,6,FALSE)</f>
        <v>8955060862</v>
      </c>
      <c r="J299" s="17" t="str">
        <f>VLOOKUP(E299,Sheet1!F:L,6,FALSE)</f>
        <v>Computer Science</v>
      </c>
      <c r="K299" s="37" t="s">
        <v>3645</v>
      </c>
      <c r="L299" t="s">
        <v>3794</v>
      </c>
    </row>
    <row r="300" spans="1:12">
      <c r="A300" s="17">
        <v>299</v>
      </c>
      <c r="B300" s="17" t="s">
        <v>428</v>
      </c>
      <c r="C300" s="17">
        <v>2022404040</v>
      </c>
      <c r="D300" s="17">
        <v>2201010583</v>
      </c>
      <c r="E300" s="17" t="s">
        <v>1806</v>
      </c>
      <c r="F300" s="17" t="e">
        <f>VLOOKUP(C300,'Fast Track '!B:C,2,FALSE)</f>
        <v>#N/A</v>
      </c>
      <c r="G300" s="17" t="s">
        <v>3707</v>
      </c>
      <c r="H300" s="17" t="s">
        <v>429</v>
      </c>
      <c r="I300" s="17" t="str">
        <f>VLOOKUP(D300,Sheet1!E:K,6,FALSE)</f>
        <v>9368171807</v>
      </c>
      <c r="J300" s="17" t="str">
        <f>VLOOKUP(E300,Sheet1!F:L,6,FALSE)</f>
        <v>Computer Science</v>
      </c>
      <c r="K300" s="37" t="s">
        <v>3645</v>
      </c>
      <c r="L300" t="s">
        <v>3794</v>
      </c>
    </row>
    <row r="301" spans="1:12">
      <c r="A301" s="17">
        <v>300</v>
      </c>
      <c r="B301" s="17" t="s">
        <v>458</v>
      </c>
      <c r="C301" s="17">
        <v>2022475752</v>
      </c>
      <c r="D301" s="17">
        <v>2201010645</v>
      </c>
      <c r="E301" s="17" t="s">
        <v>1806</v>
      </c>
      <c r="F301" s="17" t="e">
        <f>VLOOKUP(C301,'Fast Track '!B:C,2,FALSE)</f>
        <v>#N/A</v>
      </c>
      <c r="G301" s="17" t="s">
        <v>3707</v>
      </c>
      <c r="H301" s="17" t="s">
        <v>459</v>
      </c>
      <c r="I301" s="17" t="str">
        <f>VLOOKUP(D301,Sheet1!E:K,6,FALSE)</f>
        <v>9413593360</v>
      </c>
      <c r="J301" s="17" t="str">
        <f>VLOOKUP(E301,Sheet1!F:L,6,FALSE)</f>
        <v>Computer Science</v>
      </c>
      <c r="K301" s="37" t="s">
        <v>3645</v>
      </c>
      <c r="L301" t="s">
        <v>3794</v>
      </c>
    </row>
    <row r="302" spans="1:12">
      <c r="A302" s="17">
        <v>301</v>
      </c>
      <c r="B302" s="17" t="s">
        <v>412</v>
      </c>
      <c r="C302" s="17">
        <v>2022005800</v>
      </c>
      <c r="D302" s="17">
        <v>2201010740</v>
      </c>
      <c r="E302" s="17" t="s">
        <v>1806</v>
      </c>
      <c r="F302" s="17" t="e">
        <f>VLOOKUP(C302,'Fast Track '!B:C,2,FALSE)</f>
        <v>#N/A</v>
      </c>
      <c r="G302" s="17" t="s">
        <v>3707</v>
      </c>
      <c r="H302" s="17" t="s">
        <v>413</v>
      </c>
      <c r="I302" s="17" t="str">
        <f>VLOOKUP(D302,Sheet1!E:K,6,FALSE)</f>
        <v>8527273409</v>
      </c>
      <c r="J302" s="17" t="str">
        <f>VLOOKUP(E302,Sheet1!F:L,6,FALSE)</f>
        <v>Computer Science</v>
      </c>
      <c r="K302" s="37" t="s">
        <v>3645</v>
      </c>
      <c r="L302" t="s">
        <v>3794</v>
      </c>
    </row>
    <row r="303" spans="1:12">
      <c r="A303" s="17">
        <v>302</v>
      </c>
      <c r="B303" s="17" t="s">
        <v>396</v>
      </c>
      <c r="C303" s="17">
        <v>2022003238</v>
      </c>
      <c r="D303" s="17">
        <v>2201010817</v>
      </c>
      <c r="E303" s="17" t="s">
        <v>1806</v>
      </c>
      <c r="F303" s="17" t="e">
        <f>VLOOKUP(C303,'Fast Track '!B:C,2,FALSE)</f>
        <v>#N/A</v>
      </c>
      <c r="G303" s="17" t="s">
        <v>3707</v>
      </c>
      <c r="H303" s="17" t="s">
        <v>397</v>
      </c>
      <c r="I303" s="17" t="str">
        <f>VLOOKUP(D303,Sheet1!E:K,6,FALSE)</f>
        <v>9540302937</v>
      </c>
      <c r="J303" s="17" t="str">
        <f>VLOOKUP(E303,Sheet1!F:L,6,FALSE)</f>
        <v>Computer Science</v>
      </c>
      <c r="K303" s="37" t="s">
        <v>3645</v>
      </c>
      <c r="L303" t="s">
        <v>3794</v>
      </c>
    </row>
    <row r="304" spans="1:12">
      <c r="A304" s="17">
        <v>303</v>
      </c>
      <c r="B304" s="17" t="s">
        <v>524</v>
      </c>
      <c r="C304" s="17">
        <v>2022007029</v>
      </c>
      <c r="D304" s="17">
        <v>2201010009</v>
      </c>
      <c r="E304" s="17" t="s">
        <v>1806</v>
      </c>
      <c r="F304" s="17" t="e">
        <f>VLOOKUP(C304,'Fast Track '!B:C,2,FALSE)</f>
        <v>#N/A</v>
      </c>
      <c r="G304" s="17" t="s">
        <v>3707</v>
      </c>
      <c r="H304" s="17" t="s">
        <v>525</v>
      </c>
      <c r="I304" s="17" t="str">
        <f>VLOOKUP(D304,Sheet1!E:K,6,FALSE)</f>
        <v>7065582311</v>
      </c>
      <c r="J304" s="17" t="str">
        <f>VLOOKUP(E304,Sheet1!F:L,6,FALSE)</f>
        <v>Computer Science</v>
      </c>
      <c r="K304" s="37" t="s">
        <v>3644</v>
      </c>
      <c r="L304" t="s">
        <v>3794</v>
      </c>
    </row>
    <row r="305" spans="1:12">
      <c r="A305" s="17">
        <v>304</v>
      </c>
      <c r="B305" s="17" t="s">
        <v>581</v>
      </c>
      <c r="C305" s="17">
        <v>2022438394</v>
      </c>
      <c r="D305" s="17">
        <v>2201010012</v>
      </c>
      <c r="E305" s="17" t="s">
        <v>1806</v>
      </c>
      <c r="F305" s="17" t="e">
        <f>VLOOKUP(C305,'Fast Track '!B:C,2,FALSE)</f>
        <v>#N/A</v>
      </c>
      <c r="G305" s="17" t="s">
        <v>3707</v>
      </c>
      <c r="H305" s="17" t="s">
        <v>582</v>
      </c>
      <c r="I305" s="17" t="str">
        <f>VLOOKUP(D305,Sheet1!E:K,6,FALSE)</f>
        <v>6206046943</v>
      </c>
      <c r="J305" s="17" t="str">
        <f>VLOOKUP(E305,Sheet1!F:L,6,FALSE)</f>
        <v>Computer Science</v>
      </c>
      <c r="K305" s="37" t="s">
        <v>3644</v>
      </c>
      <c r="L305" t="s">
        <v>3794</v>
      </c>
    </row>
    <row r="306" spans="1:12">
      <c r="A306" s="17">
        <v>305</v>
      </c>
      <c r="B306" s="17" t="s">
        <v>604</v>
      </c>
      <c r="C306" s="17">
        <v>2022508678</v>
      </c>
      <c r="D306" s="17">
        <v>2201010116</v>
      </c>
      <c r="E306" s="17" t="s">
        <v>1806</v>
      </c>
      <c r="F306" s="17" t="e">
        <f>VLOOKUP(C306,'Fast Track '!B:C,2,FALSE)</f>
        <v>#N/A</v>
      </c>
      <c r="G306" s="17" t="s">
        <v>3707</v>
      </c>
      <c r="H306" s="17" t="s">
        <v>605</v>
      </c>
      <c r="I306" s="17" t="str">
        <f>VLOOKUP(D306,Sheet1!E:K,6,FALSE)</f>
        <v>8859093114</v>
      </c>
      <c r="J306" s="17" t="str">
        <f>VLOOKUP(E306,Sheet1!F:L,6,FALSE)</f>
        <v>Computer Science</v>
      </c>
      <c r="K306" s="37" t="s">
        <v>3644</v>
      </c>
      <c r="L306" t="s">
        <v>3794</v>
      </c>
    </row>
    <row r="307" spans="1:12">
      <c r="A307" s="17">
        <v>306</v>
      </c>
      <c r="B307" s="17" t="s">
        <v>563</v>
      </c>
      <c r="C307" s="17">
        <v>2022345566</v>
      </c>
      <c r="D307" s="17">
        <v>2201010189</v>
      </c>
      <c r="E307" s="17" t="s">
        <v>1806</v>
      </c>
      <c r="F307" s="17" t="e">
        <f>VLOOKUP(C307,'Fast Track '!B:C,2,FALSE)</f>
        <v>#N/A</v>
      </c>
      <c r="G307" s="17" t="s">
        <v>3707</v>
      </c>
      <c r="H307" s="17" t="s">
        <v>564</v>
      </c>
      <c r="I307" s="17" t="str">
        <f>VLOOKUP(D307,Sheet1!E:K,6,FALSE)</f>
        <v>7983655180</v>
      </c>
      <c r="J307" s="17" t="str">
        <f>VLOOKUP(E307,Sheet1!F:L,6,FALSE)</f>
        <v>Computer Science</v>
      </c>
      <c r="K307" s="37" t="s">
        <v>3644</v>
      </c>
      <c r="L307" t="s">
        <v>3794</v>
      </c>
    </row>
    <row r="308" spans="1:12">
      <c r="A308" s="17">
        <v>307</v>
      </c>
      <c r="B308" s="17" t="s">
        <v>557</v>
      </c>
      <c r="C308" s="17">
        <v>2022307961</v>
      </c>
      <c r="D308" s="17">
        <v>2201010238</v>
      </c>
      <c r="E308" s="17" t="s">
        <v>1806</v>
      </c>
      <c r="F308" s="17" t="e">
        <f>VLOOKUP(C308,'Fast Track '!B:C,2,FALSE)</f>
        <v>#N/A</v>
      </c>
      <c r="G308" s="17" t="s">
        <v>3707</v>
      </c>
      <c r="H308" s="17" t="s">
        <v>558</v>
      </c>
      <c r="I308" s="17" t="str">
        <f>VLOOKUP(D308,Sheet1!E:K,6,FALSE)</f>
        <v>7015668319</v>
      </c>
      <c r="J308" s="17" t="str">
        <f>VLOOKUP(E308,Sheet1!F:L,6,FALSE)</f>
        <v>Computer Science</v>
      </c>
      <c r="K308" s="37" t="s">
        <v>3644</v>
      </c>
      <c r="L308" t="s">
        <v>3794</v>
      </c>
    </row>
    <row r="309" spans="1:12">
      <c r="A309" s="17">
        <v>308</v>
      </c>
      <c r="B309" s="17" t="s">
        <v>551</v>
      </c>
      <c r="C309" s="17">
        <v>2022006272</v>
      </c>
      <c r="D309" s="17">
        <v>2201010269</v>
      </c>
      <c r="E309" s="17" t="s">
        <v>1806</v>
      </c>
      <c r="F309" s="17" t="e">
        <f>VLOOKUP(C309,'Fast Track '!B:C,2,FALSE)</f>
        <v>#N/A</v>
      </c>
      <c r="G309" s="17" t="s">
        <v>3707</v>
      </c>
      <c r="H309" s="17" t="s">
        <v>552</v>
      </c>
      <c r="I309" s="17" t="str">
        <f>VLOOKUP(D309,Sheet1!E:K,6,FALSE)</f>
        <v>6203386550</v>
      </c>
      <c r="J309" s="17" t="str">
        <f>VLOOKUP(E309,Sheet1!F:L,6,FALSE)</f>
        <v>Computer Science</v>
      </c>
      <c r="K309" s="37" t="s">
        <v>3644</v>
      </c>
      <c r="L309" t="s">
        <v>3794</v>
      </c>
    </row>
    <row r="310" spans="1:12">
      <c r="A310" s="17">
        <v>309</v>
      </c>
      <c r="B310" s="17" t="s">
        <v>614</v>
      </c>
      <c r="C310" s="17">
        <v>2022521021</v>
      </c>
      <c r="D310" s="17">
        <v>2201010323</v>
      </c>
      <c r="E310" s="17" t="s">
        <v>1806</v>
      </c>
      <c r="F310" s="17" t="e">
        <f>VLOOKUP(C310,'Fast Track '!B:C,2,FALSE)</f>
        <v>#N/A</v>
      </c>
      <c r="G310" s="17" t="s">
        <v>3707</v>
      </c>
      <c r="H310" s="17" t="s">
        <v>615</v>
      </c>
      <c r="I310" s="17" t="str">
        <f>VLOOKUP(D310,Sheet1!E:K,6,FALSE)</f>
        <v>7980476255</v>
      </c>
      <c r="J310" s="17" t="str">
        <f>VLOOKUP(E310,Sheet1!F:L,6,FALSE)</f>
        <v>Computer Science</v>
      </c>
      <c r="K310" s="37" t="s">
        <v>3644</v>
      </c>
      <c r="L310" t="s">
        <v>3794</v>
      </c>
    </row>
    <row r="311" spans="1:12">
      <c r="A311" s="17">
        <v>310</v>
      </c>
      <c r="B311" s="17" t="s">
        <v>547</v>
      </c>
      <c r="C311" s="17">
        <v>2022006140</v>
      </c>
      <c r="D311" s="17">
        <v>2201010331</v>
      </c>
      <c r="E311" s="17" t="s">
        <v>1806</v>
      </c>
      <c r="F311" s="17" t="e">
        <f>VLOOKUP(C311,'Fast Track '!B:C,2,FALSE)</f>
        <v>#N/A</v>
      </c>
      <c r="G311" s="17" t="s">
        <v>3707</v>
      </c>
      <c r="H311" s="17" t="s">
        <v>548</v>
      </c>
      <c r="I311" s="17" t="str">
        <f>VLOOKUP(D311,Sheet1!E:K,6,FALSE)</f>
        <v>6397191413</v>
      </c>
      <c r="J311" s="17" t="str">
        <f>VLOOKUP(E311,Sheet1!F:L,6,FALSE)</f>
        <v>Computer Science</v>
      </c>
      <c r="K311" s="37" t="s">
        <v>3644</v>
      </c>
      <c r="L311" t="s">
        <v>3794</v>
      </c>
    </row>
    <row r="312" spans="1:12">
      <c r="A312" s="17">
        <v>311</v>
      </c>
      <c r="B312" s="17" t="s">
        <v>586</v>
      </c>
      <c r="C312" s="17">
        <v>2022473330</v>
      </c>
      <c r="D312" s="17">
        <v>2201010551</v>
      </c>
      <c r="E312" s="17" t="s">
        <v>1806</v>
      </c>
      <c r="F312" s="17" t="e">
        <f>VLOOKUP(C312,'Fast Track '!B:C,2,FALSE)</f>
        <v>#N/A</v>
      </c>
      <c r="G312" s="17" t="s">
        <v>3707</v>
      </c>
      <c r="H312" s="17" t="s">
        <v>587</v>
      </c>
      <c r="I312" s="17" t="str">
        <f>VLOOKUP(D312,Sheet1!E:K,6,FALSE)</f>
        <v>8900049210</v>
      </c>
      <c r="J312" s="17" t="str">
        <f>VLOOKUP(E312,Sheet1!F:L,6,FALSE)</f>
        <v>Computer Science</v>
      </c>
      <c r="K312" s="37" t="s">
        <v>3644</v>
      </c>
      <c r="L312" t="s">
        <v>3794</v>
      </c>
    </row>
    <row r="313" spans="1:12">
      <c r="A313" s="17">
        <v>312</v>
      </c>
      <c r="B313" s="17" t="s">
        <v>606</v>
      </c>
      <c r="C313" s="17">
        <v>2022512387</v>
      </c>
      <c r="D313" s="17">
        <v>2201010572</v>
      </c>
      <c r="E313" s="17" t="s">
        <v>1806</v>
      </c>
      <c r="F313" s="17" t="e">
        <f>VLOOKUP(C313,'Fast Track '!B:C,2,FALSE)</f>
        <v>#N/A</v>
      </c>
      <c r="G313" s="17" t="s">
        <v>3707</v>
      </c>
      <c r="H313" s="17" t="s">
        <v>607</v>
      </c>
      <c r="I313" s="17" t="str">
        <f>VLOOKUP(D313,Sheet1!E:K,6,FALSE)</f>
        <v>9142724357</v>
      </c>
      <c r="J313" s="17" t="str">
        <f>VLOOKUP(E313,Sheet1!F:L,6,FALSE)</f>
        <v>Computer Science</v>
      </c>
      <c r="K313" s="37" t="s">
        <v>3644</v>
      </c>
      <c r="L313" t="s">
        <v>3794</v>
      </c>
    </row>
    <row r="314" spans="1:12">
      <c r="A314" s="17">
        <v>313</v>
      </c>
      <c r="B314" s="17" t="s">
        <v>608</v>
      </c>
      <c r="C314" s="17">
        <v>2022514886</v>
      </c>
      <c r="D314" s="17">
        <v>2201010656</v>
      </c>
      <c r="E314" s="17" t="s">
        <v>1806</v>
      </c>
      <c r="F314" s="17" t="e">
        <f>VLOOKUP(C314,'Fast Track '!B:C,2,FALSE)</f>
        <v>#N/A</v>
      </c>
      <c r="G314" s="17" t="s">
        <v>3707</v>
      </c>
      <c r="H314" s="17" t="s">
        <v>609</v>
      </c>
      <c r="I314" s="17" t="str">
        <f>VLOOKUP(D314,Sheet1!E:K,6,FALSE)</f>
        <v>8252711617</v>
      </c>
      <c r="J314" s="17" t="str">
        <f>VLOOKUP(E314,Sheet1!F:L,6,FALSE)</f>
        <v>Computer Science</v>
      </c>
      <c r="K314" s="37" t="s">
        <v>3644</v>
      </c>
      <c r="L314" t="s">
        <v>3794</v>
      </c>
    </row>
    <row r="315" spans="1:12">
      <c r="A315" s="17">
        <v>314</v>
      </c>
      <c r="B315" s="17" t="s">
        <v>533</v>
      </c>
      <c r="C315" s="17">
        <v>2022000791</v>
      </c>
      <c r="D315" s="17">
        <v>2201010664</v>
      </c>
      <c r="E315" s="17" t="s">
        <v>1806</v>
      </c>
      <c r="F315" s="17" t="e">
        <f>VLOOKUP(C315,'Fast Track '!B:C,2,FALSE)</f>
        <v>#N/A</v>
      </c>
      <c r="G315" s="17" t="s">
        <v>3707</v>
      </c>
      <c r="H315" s="17" t="s">
        <v>534</v>
      </c>
      <c r="I315" s="17" t="str">
        <f>VLOOKUP(D315,Sheet1!E:K,6,FALSE)</f>
        <v>6202918615</v>
      </c>
      <c r="J315" s="17" t="str">
        <f>VLOOKUP(E315,Sheet1!F:L,6,FALSE)</f>
        <v>Computer Science</v>
      </c>
      <c r="K315" s="37" t="s">
        <v>3644</v>
      </c>
      <c r="L315" t="s">
        <v>3794</v>
      </c>
    </row>
    <row r="316" spans="1:12">
      <c r="A316" s="17">
        <v>315</v>
      </c>
      <c r="B316" s="17" t="s">
        <v>539</v>
      </c>
      <c r="C316" s="17">
        <v>2022003069</v>
      </c>
      <c r="D316" s="17">
        <v>2201010694</v>
      </c>
      <c r="E316" s="17" t="s">
        <v>1806</v>
      </c>
      <c r="F316" s="17" t="e">
        <f>VLOOKUP(C316,'Fast Track '!B:C,2,FALSE)</f>
        <v>#N/A</v>
      </c>
      <c r="G316" s="17" t="s">
        <v>3707</v>
      </c>
      <c r="H316" s="17" t="s">
        <v>540</v>
      </c>
      <c r="I316" s="17" t="str">
        <f>VLOOKUP(D316,Sheet1!E:K,6,FALSE)</f>
        <v>8534991362</v>
      </c>
      <c r="J316" s="17" t="str">
        <f>VLOOKUP(E316,Sheet1!F:L,6,FALSE)</f>
        <v>Computer Science</v>
      </c>
      <c r="K316" s="37" t="s">
        <v>3645</v>
      </c>
      <c r="L316" t="s">
        <v>3794</v>
      </c>
    </row>
    <row r="317" spans="1:12">
      <c r="A317" s="17">
        <v>316</v>
      </c>
      <c r="B317" s="17" t="s">
        <v>571</v>
      </c>
      <c r="C317" s="17">
        <v>2022381725</v>
      </c>
      <c r="D317" s="17">
        <v>2201010804</v>
      </c>
      <c r="E317" s="17" t="s">
        <v>1806</v>
      </c>
      <c r="F317" s="17" t="e">
        <f>VLOOKUP(C317,'Fast Track '!B:C,2,FALSE)</f>
        <v>#N/A</v>
      </c>
      <c r="G317" s="17" t="s">
        <v>3707</v>
      </c>
      <c r="H317" s="17" t="s">
        <v>572</v>
      </c>
      <c r="I317" s="17" t="str">
        <f>VLOOKUP(D317,Sheet1!E:K,6,FALSE)</f>
        <v>7011422195</v>
      </c>
      <c r="J317" s="17" t="str">
        <f>VLOOKUP(E317,Sheet1!F:L,6,FALSE)</f>
        <v>Computer Science</v>
      </c>
      <c r="K317" s="37" t="s">
        <v>3644</v>
      </c>
      <c r="L317" t="s">
        <v>3794</v>
      </c>
    </row>
    <row r="318" spans="1:12">
      <c r="A318" s="17">
        <v>317</v>
      </c>
      <c r="B318" s="17" t="s">
        <v>555</v>
      </c>
      <c r="C318" s="17">
        <v>2022007677</v>
      </c>
      <c r="D318" s="17">
        <v>2201010857</v>
      </c>
      <c r="E318" s="17" t="s">
        <v>1806</v>
      </c>
      <c r="F318" s="17" t="e">
        <f>VLOOKUP(C318,'Fast Track '!B:C,2,FALSE)</f>
        <v>#N/A</v>
      </c>
      <c r="G318" s="17" t="s">
        <v>3707</v>
      </c>
      <c r="H318" s="17" t="s">
        <v>556</v>
      </c>
      <c r="I318" s="17" t="str">
        <f>VLOOKUP(D318,Sheet1!E:K,6,FALSE)</f>
        <v>7000477717</v>
      </c>
      <c r="J318" s="17" t="str">
        <f>VLOOKUP(E318,Sheet1!F:L,6,FALSE)</f>
        <v>Computer Science</v>
      </c>
      <c r="K318" s="37" t="s">
        <v>3644</v>
      </c>
      <c r="L318" t="s">
        <v>3794</v>
      </c>
    </row>
    <row r="319" spans="1:12">
      <c r="A319" s="17">
        <v>318</v>
      </c>
      <c r="B319" s="17" t="s">
        <v>528</v>
      </c>
      <c r="C319" s="17">
        <v>2022585888</v>
      </c>
      <c r="D319" s="17">
        <v>2201010886</v>
      </c>
      <c r="E319" s="17" t="s">
        <v>1806</v>
      </c>
      <c r="F319" s="17" t="e">
        <f>VLOOKUP(C319,'Fast Track '!B:C,2,FALSE)</f>
        <v>#N/A</v>
      </c>
      <c r="G319" s="17" t="s">
        <v>3707</v>
      </c>
      <c r="H319" s="17" t="s">
        <v>529</v>
      </c>
      <c r="I319" s="17" t="str">
        <f>VLOOKUP(D319,Sheet1!E:K,6,FALSE)</f>
        <v>9635287067</v>
      </c>
      <c r="J319" s="17" t="str">
        <f>VLOOKUP(E319,Sheet1!F:L,6,FALSE)</f>
        <v>Computer Science</v>
      </c>
      <c r="K319" s="37" t="s">
        <v>3644</v>
      </c>
      <c r="L319" t="s">
        <v>3794</v>
      </c>
    </row>
    <row r="320" spans="1:12">
      <c r="A320" s="17">
        <v>319</v>
      </c>
      <c r="B320" s="17" t="s">
        <v>736</v>
      </c>
      <c r="C320" s="17">
        <v>2022578067</v>
      </c>
      <c r="D320" s="17">
        <v>2201010007</v>
      </c>
      <c r="E320" s="17" t="s">
        <v>1806</v>
      </c>
      <c r="F320" s="17" t="e">
        <f>VLOOKUP(C320,'Fast Track '!B:C,2,FALSE)</f>
        <v>#N/A</v>
      </c>
      <c r="G320" s="17" t="s">
        <v>3707</v>
      </c>
      <c r="H320" s="17" t="s">
        <v>737</v>
      </c>
      <c r="I320" s="17" t="str">
        <f>VLOOKUP(D320,Sheet1!E:K,6,FALSE)</f>
        <v>9102398365</v>
      </c>
      <c r="J320" s="17" t="str">
        <f>VLOOKUP(E320,Sheet1!F:L,6,FALSE)</f>
        <v>Computer Science</v>
      </c>
      <c r="K320" s="37" t="s">
        <v>3644</v>
      </c>
      <c r="L320" t="s">
        <v>3794</v>
      </c>
    </row>
    <row r="321" spans="1:12">
      <c r="A321" s="17">
        <v>320</v>
      </c>
      <c r="B321" s="17" t="s">
        <v>705</v>
      </c>
      <c r="C321" s="17">
        <v>2022374295</v>
      </c>
      <c r="D321" s="17">
        <v>2201010045</v>
      </c>
      <c r="E321" s="17" t="s">
        <v>1806</v>
      </c>
      <c r="F321" s="17" t="e">
        <f>VLOOKUP(C321,'Fast Track '!B:C,2,FALSE)</f>
        <v>#N/A</v>
      </c>
      <c r="G321" s="17" t="s">
        <v>3707</v>
      </c>
      <c r="H321" s="17" t="s">
        <v>706</v>
      </c>
      <c r="I321" s="17" t="str">
        <f>VLOOKUP(D321,Sheet1!E:K,6,FALSE)</f>
        <v>6207058004</v>
      </c>
      <c r="J321" s="17" t="str">
        <f>VLOOKUP(E321,Sheet1!F:L,6,FALSE)</f>
        <v>Computer Science</v>
      </c>
      <c r="K321" s="37" t="s">
        <v>3644</v>
      </c>
      <c r="L321" t="s">
        <v>3794</v>
      </c>
    </row>
    <row r="322" spans="1:12">
      <c r="A322" s="17">
        <v>321</v>
      </c>
      <c r="B322" s="17" t="s">
        <v>377</v>
      </c>
      <c r="C322" s="17">
        <v>2022467293</v>
      </c>
      <c r="D322" s="17">
        <v>2201010077</v>
      </c>
      <c r="E322" s="17" t="s">
        <v>1806</v>
      </c>
      <c r="F322" s="17" t="e">
        <f>VLOOKUP(C322,'Fast Track '!B:C,2,FALSE)</f>
        <v>#N/A</v>
      </c>
      <c r="G322" s="17" t="s">
        <v>3707</v>
      </c>
      <c r="H322" s="17" t="s">
        <v>717</v>
      </c>
      <c r="I322" s="17" t="str">
        <f>VLOOKUP(D322,Sheet1!E:K,6,FALSE)</f>
        <v>6202941942</v>
      </c>
      <c r="J322" s="17" t="str">
        <f>VLOOKUP(E322,Sheet1!F:L,6,FALSE)</f>
        <v>Computer Science</v>
      </c>
      <c r="K322" s="37" t="s">
        <v>3644</v>
      </c>
      <c r="L322" t="s">
        <v>3794</v>
      </c>
    </row>
    <row r="323" spans="1:12">
      <c r="A323" s="17">
        <v>322</v>
      </c>
      <c r="B323" s="17" t="s">
        <v>709</v>
      </c>
      <c r="C323" s="17">
        <v>2022434340</v>
      </c>
      <c r="D323" s="17">
        <v>2201010159</v>
      </c>
      <c r="E323" s="17" t="s">
        <v>1806</v>
      </c>
      <c r="F323" s="17" t="e">
        <f>VLOOKUP(C323,'Fast Track '!B:C,2,FALSE)</f>
        <v>#N/A</v>
      </c>
      <c r="G323" s="17" t="s">
        <v>3707</v>
      </c>
      <c r="H323" s="17" t="s">
        <v>710</v>
      </c>
      <c r="I323" s="17" t="str">
        <f>VLOOKUP(D323,Sheet1!E:K,6,FALSE)</f>
        <v>6205495441</v>
      </c>
      <c r="J323" s="17" t="str">
        <f>VLOOKUP(E323,Sheet1!F:L,6,FALSE)</f>
        <v>Computer Science</v>
      </c>
      <c r="K323" s="37" t="s">
        <v>3644</v>
      </c>
      <c r="L323" t="s">
        <v>3794</v>
      </c>
    </row>
    <row r="324" spans="1:12">
      <c r="A324" s="17">
        <v>323</v>
      </c>
      <c r="B324" s="17" t="s">
        <v>680</v>
      </c>
      <c r="C324" s="17">
        <v>2022004342</v>
      </c>
      <c r="D324" s="17">
        <v>2201010217</v>
      </c>
      <c r="E324" s="17" t="s">
        <v>1806</v>
      </c>
      <c r="F324" s="17" t="e">
        <f>VLOOKUP(C324,'Fast Track '!B:C,2,FALSE)</f>
        <v>#N/A</v>
      </c>
      <c r="G324" s="17" t="s">
        <v>3707</v>
      </c>
      <c r="H324" s="17" t="s">
        <v>681</v>
      </c>
      <c r="I324" s="17" t="str">
        <f>VLOOKUP(D324,Sheet1!E:K,6,FALSE)</f>
        <v>7983405848</v>
      </c>
      <c r="J324" s="17" t="str">
        <f>VLOOKUP(E324,Sheet1!F:L,6,FALSE)</f>
        <v>Computer Science</v>
      </c>
      <c r="K324" s="37" t="s">
        <v>3644</v>
      </c>
      <c r="L324" t="s">
        <v>3794</v>
      </c>
    </row>
    <row r="325" spans="1:12">
      <c r="A325" s="17">
        <v>324</v>
      </c>
      <c r="B325" s="17" t="s">
        <v>685</v>
      </c>
      <c r="C325" s="17">
        <v>2022006787</v>
      </c>
      <c r="D325" s="17">
        <v>2201010757</v>
      </c>
      <c r="E325" s="17" t="s">
        <v>1806</v>
      </c>
      <c r="F325" s="17" t="e">
        <f>VLOOKUP(C325,'Fast Track '!B:C,2,FALSE)</f>
        <v>#N/A</v>
      </c>
      <c r="G325" s="17" t="s">
        <v>3707</v>
      </c>
      <c r="H325" s="17" t="s">
        <v>686</v>
      </c>
      <c r="I325" s="17" t="str">
        <f>VLOOKUP(D325,Sheet1!E:K,6,FALSE)</f>
        <v>8235368282</v>
      </c>
      <c r="J325" s="17" t="str">
        <f>VLOOKUP(E325,Sheet1!F:L,6,FALSE)</f>
        <v>Computer Science</v>
      </c>
      <c r="K325" s="37" t="s">
        <v>3644</v>
      </c>
      <c r="L325" t="s">
        <v>3794</v>
      </c>
    </row>
    <row r="326" spans="1:12">
      <c r="A326" s="17">
        <v>325</v>
      </c>
      <c r="B326" s="17" t="s">
        <v>759</v>
      </c>
      <c r="C326" s="17">
        <v>2022007323</v>
      </c>
      <c r="D326" s="17">
        <v>2201010843</v>
      </c>
      <c r="E326" s="17" t="s">
        <v>1806</v>
      </c>
      <c r="F326" s="17" t="e">
        <f>VLOOKUP(C326,'Fast Track '!B:C,2,FALSE)</f>
        <v>#N/A</v>
      </c>
      <c r="G326" s="17" t="s">
        <v>3707</v>
      </c>
      <c r="H326" s="17" t="s">
        <v>760</v>
      </c>
      <c r="I326" s="17" t="str">
        <f>VLOOKUP(D326,Sheet1!E:K,6,FALSE)</f>
        <v>7838117145</v>
      </c>
      <c r="J326" s="17" t="str">
        <f>VLOOKUP(E326,Sheet1!F:L,6,FALSE)</f>
        <v>Computer Science</v>
      </c>
      <c r="K326" s="37" t="s">
        <v>3644</v>
      </c>
      <c r="L326" t="s">
        <v>3794</v>
      </c>
    </row>
    <row r="327" spans="1:12">
      <c r="A327" s="17">
        <v>326</v>
      </c>
      <c r="B327" s="17" t="s">
        <v>662</v>
      </c>
      <c r="C327" s="17">
        <v>2022007795</v>
      </c>
      <c r="D327" s="17">
        <v>2201010865</v>
      </c>
      <c r="E327" s="17" t="s">
        <v>1806</v>
      </c>
      <c r="F327" s="17" t="e">
        <f>VLOOKUP(C327,'Fast Track '!B:C,2,FALSE)</f>
        <v>#N/A</v>
      </c>
      <c r="G327" s="17" t="s">
        <v>3707</v>
      </c>
      <c r="H327" s="17" t="s">
        <v>663</v>
      </c>
      <c r="I327" s="17" t="str">
        <f>VLOOKUP(D327,Sheet1!E:K,6,FALSE)</f>
        <v>9903404550</v>
      </c>
      <c r="J327" s="17" t="str">
        <f>VLOOKUP(E327,Sheet1!F:L,6,FALSE)</f>
        <v>Computer Science</v>
      </c>
      <c r="K327" s="37" t="s">
        <v>3644</v>
      </c>
      <c r="L327" t="s">
        <v>3794</v>
      </c>
    </row>
    <row r="328" spans="1:12">
      <c r="A328" s="17">
        <v>327</v>
      </c>
      <c r="B328" s="17" t="s">
        <v>670</v>
      </c>
      <c r="C328" s="17">
        <v>2022610409</v>
      </c>
      <c r="D328" s="17">
        <v>2201010900</v>
      </c>
      <c r="E328" s="17" t="s">
        <v>1806</v>
      </c>
      <c r="F328" s="17" t="e">
        <f>VLOOKUP(C328,'Fast Track '!B:C,2,FALSE)</f>
        <v>#N/A</v>
      </c>
      <c r="G328" s="17" t="s">
        <v>3707</v>
      </c>
      <c r="H328" s="17" t="s">
        <v>671</v>
      </c>
      <c r="I328" s="17" t="str">
        <f>VLOOKUP(D328,Sheet1!E:K,6,FALSE)</f>
        <v>7974011350</v>
      </c>
      <c r="J328" s="17" t="str">
        <f>VLOOKUP(E328,Sheet1!F:L,6,FALSE)</f>
        <v>Computer Science</v>
      </c>
      <c r="K328" s="37" t="s">
        <v>3644</v>
      </c>
      <c r="L328" t="s">
        <v>3794</v>
      </c>
    </row>
    <row r="329" spans="1:12">
      <c r="A329" s="17">
        <v>328</v>
      </c>
      <c r="B329" s="17" t="s">
        <v>387</v>
      </c>
      <c r="C329" s="17">
        <v>2021463218</v>
      </c>
      <c r="D329" s="17">
        <v>210101493</v>
      </c>
      <c r="E329" s="17" t="s">
        <v>1806</v>
      </c>
      <c r="F329" s="17" t="e">
        <f>VLOOKUP(C329,'Fast Track '!B:C,2,FALSE)</f>
        <v>#N/A</v>
      </c>
      <c r="G329" s="17" t="s">
        <v>3707</v>
      </c>
      <c r="H329" s="17" t="s">
        <v>388</v>
      </c>
      <c r="I329" s="17" t="str">
        <f>VLOOKUP(D329,Sheet1!E:K,6,FALSE)</f>
        <v>9832307047</v>
      </c>
      <c r="J329" s="17" t="str">
        <f>VLOOKUP(E329,Sheet1!F:L,6,FALSE)</f>
        <v>Computer Science</v>
      </c>
      <c r="K329" s="37" t="s">
        <v>3644</v>
      </c>
      <c r="L329" t="s">
        <v>3794</v>
      </c>
    </row>
    <row r="330" spans="1:12">
      <c r="A330" s="17">
        <v>329</v>
      </c>
      <c r="B330" s="17" t="s">
        <v>379</v>
      </c>
      <c r="C330" s="17">
        <v>2022527904</v>
      </c>
      <c r="D330" s="17">
        <v>2201010799</v>
      </c>
      <c r="E330" s="17" t="s">
        <v>1806</v>
      </c>
      <c r="F330" s="17" t="e">
        <f>VLOOKUP(C330,'Fast Track '!B:C,2,FALSE)</f>
        <v>#N/A</v>
      </c>
      <c r="G330" s="17" t="s">
        <v>3707</v>
      </c>
      <c r="H330" s="17" t="s">
        <v>380</v>
      </c>
      <c r="I330" s="17" t="str">
        <f>VLOOKUP(D330,Sheet1!E:K,6,FALSE)</f>
        <v>7001523353</v>
      </c>
      <c r="J330" s="17" t="str">
        <f>VLOOKUP(E330,Sheet1!F:L,6,FALSE)</f>
        <v>Computer Science</v>
      </c>
      <c r="K330" s="37" t="s">
        <v>3644</v>
      </c>
      <c r="L330" t="s">
        <v>3794</v>
      </c>
    </row>
    <row r="331" spans="1:12">
      <c r="A331" s="17">
        <v>330</v>
      </c>
      <c r="B331" s="17" t="s">
        <v>383</v>
      </c>
      <c r="C331" s="17">
        <v>2023263567</v>
      </c>
      <c r="D331" s="17">
        <v>2301017005</v>
      </c>
      <c r="E331" s="17" t="s">
        <v>1806</v>
      </c>
      <c r="F331" s="17" t="e">
        <f>VLOOKUP(C331,'Fast Track '!B:C,2,FALSE)</f>
        <v>#N/A</v>
      </c>
      <c r="G331" s="17" t="s">
        <v>3707</v>
      </c>
      <c r="H331" s="17" t="s">
        <v>384</v>
      </c>
      <c r="I331" s="17" t="str">
        <f>VLOOKUP(D331,Sheet1!E:K,6,FALSE)</f>
        <v>8092097291</v>
      </c>
      <c r="J331" s="17" t="str">
        <f>VLOOKUP(E331,Sheet1!F:L,6,FALSE)</f>
        <v>Computer Science</v>
      </c>
      <c r="K331" s="37" t="s">
        <v>3644</v>
      </c>
      <c r="L331" t="s">
        <v>3794</v>
      </c>
    </row>
    <row r="332" spans="1:12">
      <c r="A332" s="17">
        <v>331</v>
      </c>
      <c r="B332" s="17" t="s">
        <v>518</v>
      </c>
      <c r="C332" s="17">
        <v>2021001342</v>
      </c>
      <c r="D332" s="17">
        <v>210101351</v>
      </c>
      <c r="E332" s="17" t="s">
        <v>1806</v>
      </c>
      <c r="F332" s="17" t="e">
        <f>VLOOKUP(C332,'Fast Track '!B:C,2,FALSE)</f>
        <v>#N/A</v>
      </c>
      <c r="G332" s="17" t="s">
        <v>3707</v>
      </c>
      <c r="H332" s="17" t="s">
        <v>519</v>
      </c>
      <c r="I332" s="17" t="str">
        <f>VLOOKUP(D332,Sheet1!E:K,6,FALSE)</f>
        <v>8448124468</v>
      </c>
      <c r="J332" s="17" t="str">
        <f>VLOOKUP(E332,Sheet1!F:L,6,FALSE)</f>
        <v>Computer Science</v>
      </c>
      <c r="K332" s="37" t="s">
        <v>3644</v>
      </c>
      <c r="L332" t="s">
        <v>3794</v>
      </c>
    </row>
    <row r="333" spans="1:12">
      <c r="A333" s="17">
        <v>332</v>
      </c>
      <c r="B333" s="17" t="s">
        <v>682</v>
      </c>
      <c r="C333" s="17">
        <v>2022004659</v>
      </c>
      <c r="D333" s="17">
        <v>2201010079</v>
      </c>
      <c r="E333" s="17" t="s">
        <v>1806</v>
      </c>
      <c r="F333" s="17" t="e">
        <f>VLOOKUP(C333,'Fast Track '!B:C,2,FALSE)</f>
        <v>#N/A</v>
      </c>
      <c r="G333" s="17" t="s">
        <v>3707</v>
      </c>
      <c r="H333" s="17" t="s">
        <v>683</v>
      </c>
      <c r="I333" s="17" t="str">
        <f>VLOOKUP(D333,Sheet1!E:K,6,FALSE)</f>
        <v>7856816590</v>
      </c>
      <c r="J333" s="17" t="str">
        <f>VLOOKUP(E333,Sheet1!F:L,6,FALSE)</f>
        <v>Computer Science</v>
      </c>
      <c r="K333" s="37" t="s">
        <v>3644</v>
      </c>
      <c r="L333" t="s">
        <v>3794</v>
      </c>
    </row>
    <row r="334" spans="1:12">
      <c r="A334" s="17">
        <v>333</v>
      </c>
      <c r="B334" s="6" t="s">
        <v>1431</v>
      </c>
      <c r="C334" s="7">
        <v>2022007672</v>
      </c>
      <c r="D334" s="7">
        <v>2201010962</v>
      </c>
      <c r="E334" s="17" t="s">
        <v>1806</v>
      </c>
      <c r="F334" s="17" t="e">
        <f>VLOOKUP(C334,'Fast Track '!B:C,2,FALSE)</f>
        <v>#N/A</v>
      </c>
      <c r="G334" s="17" t="s">
        <v>3707</v>
      </c>
      <c r="H334" s="6" t="s">
        <v>1432</v>
      </c>
      <c r="I334" s="6" t="s">
        <v>3434</v>
      </c>
      <c r="J334" s="6" t="s">
        <v>1396</v>
      </c>
      <c r="K334" s="37" t="s">
        <v>3644</v>
      </c>
      <c r="L334" t="s">
        <v>3794</v>
      </c>
    </row>
    <row r="335" spans="1:12">
      <c r="A335" s="17">
        <v>334</v>
      </c>
      <c r="B335" s="6" t="s">
        <v>1533</v>
      </c>
      <c r="C335" s="7">
        <v>2022007731</v>
      </c>
      <c r="D335" s="7">
        <v>2201010963</v>
      </c>
      <c r="E335" s="17" t="s">
        <v>1806</v>
      </c>
      <c r="F335" s="17" t="e">
        <f>VLOOKUP(C335,'Fast Track '!B:C,2,FALSE)</f>
        <v>#N/A</v>
      </c>
      <c r="G335" s="17" t="s">
        <v>3707</v>
      </c>
      <c r="H335" s="6" t="s">
        <v>1534</v>
      </c>
      <c r="I335" s="6" t="s">
        <v>3436</v>
      </c>
      <c r="J335" s="6" t="s">
        <v>1396</v>
      </c>
      <c r="K335" s="37" t="s">
        <v>3644</v>
      </c>
      <c r="L335" t="s">
        <v>3794</v>
      </c>
    </row>
    <row r="336" spans="1:12">
      <c r="A336" s="17">
        <v>335</v>
      </c>
      <c r="B336" s="6" t="s">
        <v>1433</v>
      </c>
      <c r="C336" s="7">
        <v>2022007802</v>
      </c>
      <c r="D336" s="7">
        <v>2201010964</v>
      </c>
      <c r="E336" s="17" t="s">
        <v>1806</v>
      </c>
      <c r="F336" s="17" t="e">
        <f>VLOOKUP(C336,'Fast Track '!B:C,2,FALSE)</f>
        <v>#N/A</v>
      </c>
      <c r="G336" s="17" t="s">
        <v>3707</v>
      </c>
      <c r="H336" s="6" t="s">
        <v>1434</v>
      </c>
      <c r="I336" s="6" t="s">
        <v>3438</v>
      </c>
      <c r="J336" s="6" t="s">
        <v>1396</v>
      </c>
      <c r="K336" s="37" t="s">
        <v>3644</v>
      </c>
      <c r="L336" t="s">
        <v>3794</v>
      </c>
    </row>
    <row r="337" spans="1:12">
      <c r="A337" s="17">
        <v>336</v>
      </c>
      <c r="B337" s="6" t="s">
        <v>1535</v>
      </c>
      <c r="C337" s="7">
        <v>2022008050</v>
      </c>
      <c r="D337" s="7">
        <v>2201010966</v>
      </c>
      <c r="E337" s="17" t="s">
        <v>1806</v>
      </c>
      <c r="F337" s="17" t="e">
        <f>VLOOKUP(C337,'Fast Track '!B:C,2,FALSE)</f>
        <v>#N/A</v>
      </c>
      <c r="G337" s="17" t="s">
        <v>3707</v>
      </c>
      <c r="H337" s="6" t="s">
        <v>1536</v>
      </c>
      <c r="I337" s="6" t="s">
        <v>3440</v>
      </c>
      <c r="J337" s="6" t="s">
        <v>1396</v>
      </c>
      <c r="K337" s="37" t="s">
        <v>3644</v>
      </c>
      <c r="L337" t="s">
        <v>3794</v>
      </c>
    </row>
    <row r="338" spans="1:12">
      <c r="A338" s="17">
        <v>337</v>
      </c>
      <c r="B338" s="6" t="s">
        <v>1435</v>
      </c>
      <c r="C338" s="7">
        <v>2022008126</v>
      </c>
      <c r="D338" s="7">
        <v>2201010969</v>
      </c>
      <c r="E338" s="17" t="s">
        <v>1806</v>
      </c>
      <c r="F338" s="17" t="e">
        <f>VLOOKUP(C338,'Fast Track '!B:C,2,FALSE)</f>
        <v>#N/A</v>
      </c>
      <c r="G338" s="17" t="s">
        <v>3707</v>
      </c>
      <c r="H338" s="6" t="s">
        <v>1436</v>
      </c>
      <c r="I338" s="6" t="s">
        <v>3442</v>
      </c>
      <c r="J338" s="6" t="s">
        <v>1396</v>
      </c>
      <c r="K338" s="37" t="s">
        <v>3644</v>
      </c>
      <c r="L338" t="s">
        <v>3794</v>
      </c>
    </row>
    <row r="339" spans="1:12">
      <c r="A339" s="17">
        <v>338</v>
      </c>
      <c r="B339" s="6" t="s">
        <v>1537</v>
      </c>
      <c r="C339" s="7">
        <v>2022008263</v>
      </c>
      <c r="D339" s="7">
        <v>2201010973</v>
      </c>
      <c r="E339" s="17" t="s">
        <v>1806</v>
      </c>
      <c r="F339" s="17" t="e">
        <f>VLOOKUP(C339,'Fast Track '!B:C,2,FALSE)</f>
        <v>#N/A</v>
      </c>
      <c r="G339" s="17" t="s">
        <v>3707</v>
      </c>
      <c r="H339" s="6" t="s">
        <v>1538</v>
      </c>
      <c r="I339" s="6" t="s">
        <v>3444</v>
      </c>
      <c r="J339" s="6" t="s">
        <v>1396</v>
      </c>
      <c r="K339" s="37" t="s">
        <v>3644</v>
      </c>
      <c r="L339" t="s">
        <v>3794</v>
      </c>
    </row>
    <row r="340" spans="1:12">
      <c r="A340" s="17">
        <v>339</v>
      </c>
      <c r="B340" s="6" t="s">
        <v>1492</v>
      </c>
      <c r="C340" s="7">
        <v>2022619784</v>
      </c>
      <c r="D340" s="7">
        <v>2201010976</v>
      </c>
      <c r="E340" s="17" t="s">
        <v>1806</v>
      </c>
      <c r="F340" s="17" t="e">
        <f>VLOOKUP(C340,'Fast Track '!B:C,2,FALSE)</f>
        <v>#N/A</v>
      </c>
      <c r="G340" s="17" t="s">
        <v>3707</v>
      </c>
      <c r="H340" s="6" t="s">
        <v>1493</v>
      </c>
      <c r="I340" s="6" t="s">
        <v>3446</v>
      </c>
      <c r="J340" s="6" t="s">
        <v>1396</v>
      </c>
      <c r="K340" s="37" t="s">
        <v>3644</v>
      </c>
      <c r="L340" t="s">
        <v>3794</v>
      </c>
    </row>
    <row r="341" spans="1:12">
      <c r="A341" s="17">
        <v>340</v>
      </c>
      <c r="B341" s="17" t="s">
        <v>341</v>
      </c>
      <c r="C341" s="17">
        <v>2022497340</v>
      </c>
      <c r="D341" s="17">
        <v>2201010409</v>
      </c>
      <c r="E341" s="17" t="s">
        <v>1808</v>
      </c>
      <c r="F341" s="17" t="e">
        <f>VLOOKUP(C341,'Fast Track '!B:C,2,FALSE)</f>
        <v>#N/A</v>
      </c>
      <c r="G341" s="17" t="s">
        <v>3707</v>
      </c>
      <c r="H341" s="17" t="s">
        <v>342</v>
      </c>
      <c r="I341" s="17" t="str">
        <f>VLOOKUP(D341,Sheet1!E:K,6,FALSE)</f>
        <v>9128944978</v>
      </c>
      <c r="J341" s="17" t="s">
        <v>15</v>
      </c>
      <c r="K341" s="37" t="s">
        <v>3645</v>
      </c>
      <c r="L341" t="s">
        <v>3656</v>
      </c>
    </row>
    <row r="342" spans="1:12">
      <c r="A342" s="17">
        <v>341</v>
      </c>
      <c r="B342" s="17" t="s">
        <v>371</v>
      </c>
      <c r="C342" s="17">
        <v>2022824586</v>
      </c>
      <c r="D342" s="17">
        <v>2201010435</v>
      </c>
      <c r="E342" s="17" t="s">
        <v>1808</v>
      </c>
      <c r="F342" s="17" t="e">
        <f>VLOOKUP(C342,'Fast Track '!B:C,2,FALSE)</f>
        <v>#N/A</v>
      </c>
      <c r="G342" s="17" t="s">
        <v>3707</v>
      </c>
      <c r="H342" s="17" t="s">
        <v>372</v>
      </c>
      <c r="I342" s="17" t="str">
        <f>VLOOKUP(D342,Sheet1!E:K,6,FALSE)</f>
        <v>960012907</v>
      </c>
      <c r="J342" s="17" t="s">
        <v>15</v>
      </c>
      <c r="K342" s="37" t="s">
        <v>3645</v>
      </c>
      <c r="L342" t="s">
        <v>3656</v>
      </c>
    </row>
    <row r="343" spans="1:12">
      <c r="A343" s="17">
        <v>342</v>
      </c>
      <c r="B343" s="17" t="s">
        <v>351</v>
      </c>
      <c r="C343" s="17">
        <v>2022506127</v>
      </c>
      <c r="D343" s="17">
        <v>2201010521</v>
      </c>
      <c r="E343" s="17" t="s">
        <v>1808</v>
      </c>
      <c r="F343" s="17" t="e">
        <f>VLOOKUP(C343,'Fast Track '!B:C,2,FALSE)</f>
        <v>#N/A</v>
      </c>
      <c r="G343" s="17" t="s">
        <v>3707</v>
      </c>
      <c r="H343" s="17" t="s">
        <v>352</v>
      </c>
      <c r="I343" s="17" t="str">
        <f>VLOOKUP(D343,Sheet1!E:K,6,FALSE)</f>
        <v>9315709293</v>
      </c>
      <c r="J343" s="17" t="s">
        <v>15</v>
      </c>
      <c r="K343" s="37" t="s">
        <v>3645</v>
      </c>
      <c r="L343" t="s">
        <v>3656</v>
      </c>
    </row>
    <row r="344" spans="1:12">
      <c r="A344" s="17">
        <v>343</v>
      </c>
      <c r="B344" s="17" t="s">
        <v>284</v>
      </c>
      <c r="C344" s="17">
        <v>2022005567</v>
      </c>
      <c r="D344" s="17">
        <v>2201010747</v>
      </c>
      <c r="E344" s="17" t="s">
        <v>1808</v>
      </c>
      <c r="F344" s="17" t="e">
        <f>VLOOKUP(C344,'Fast Track '!B:C,2,FALSE)</f>
        <v>#N/A</v>
      </c>
      <c r="G344" s="17" t="s">
        <v>3707</v>
      </c>
      <c r="H344" s="17" t="s">
        <v>285</v>
      </c>
      <c r="I344" s="17" t="str">
        <f>VLOOKUP(D344,Sheet1!E:K,6,FALSE)</f>
        <v>9415690996</v>
      </c>
      <c r="J344" s="17" t="s">
        <v>15</v>
      </c>
      <c r="K344" s="37" t="s">
        <v>3645</v>
      </c>
      <c r="L344" t="s">
        <v>3656</v>
      </c>
    </row>
    <row r="345" spans="1:12">
      <c r="A345" s="17">
        <v>344</v>
      </c>
      <c r="B345" s="17" t="s">
        <v>398</v>
      </c>
      <c r="C345" s="17">
        <v>2022003287</v>
      </c>
      <c r="D345" s="17">
        <v>2201010190</v>
      </c>
      <c r="E345" s="17" t="s">
        <v>1808</v>
      </c>
      <c r="F345" s="17" t="e">
        <f>VLOOKUP(C345,'Fast Track '!B:C,2,FALSE)</f>
        <v>#N/A</v>
      </c>
      <c r="G345" s="17" t="s">
        <v>3707</v>
      </c>
      <c r="H345" s="17" t="s">
        <v>399</v>
      </c>
      <c r="I345" s="17" t="str">
        <f>VLOOKUP(D345,Sheet1!E:K,6,FALSE)</f>
        <v>9119729502</v>
      </c>
      <c r="J345" s="17" t="s">
        <v>15</v>
      </c>
      <c r="K345" s="37" t="s">
        <v>3645</v>
      </c>
      <c r="L345" t="s">
        <v>3656</v>
      </c>
    </row>
    <row r="346" spans="1:12">
      <c r="A346" s="17">
        <v>345</v>
      </c>
      <c r="B346" s="17" t="s">
        <v>300</v>
      </c>
      <c r="C346" s="17">
        <v>2022307471</v>
      </c>
      <c r="D346" s="17">
        <v>2201010763</v>
      </c>
      <c r="E346" s="17" t="s">
        <v>1808</v>
      </c>
      <c r="F346" s="17" t="e">
        <f>VLOOKUP(C346,'Fast Track '!B:C,2,FALSE)</f>
        <v>#N/A</v>
      </c>
      <c r="G346" s="17" t="s">
        <v>3707</v>
      </c>
      <c r="H346" s="17" t="s">
        <v>301</v>
      </c>
      <c r="I346" s="17" t="str">
        <f>VLOOKUP(D346,Sheet1!E:K,6,FALSE)</f>
        <v>6394434558</v>
      </c>
      <c r="J346" s="17" t="s">
        <v>15</v>
      </c>
      <c r="K346" s="37" t="s">
        <v>3645</v>
      </c>
      <c r="L346" t="s">
        <v>3656</v>
      </c>
    </row>
    <row r="347" spans="1:12">
      <c r="A347" s="17">
        <v>346</v>
      </c>
      <c r="B347" s="17" t="s">
        <v>292</v>
      </c>
      <c r="C347" s="17">
        <v>2022006361</v>
      </c>
      <c r="D347" s="17">
        <v>2201010830</v>
      </c>
      <c r="E347" s="17" t="s">
        <v>1808</v>
      </c>
      <c r="F347" s="17" t="e">
        <f>VLOOKUP(C347,'Fast Track '!B:C,2,FALSE)</f>
        <v>#N/A</v>
      </c>
      <c r="G347" s="17" t="s">
        <v>3707</v>
      </c>
      <c r="H347" s="17" t="s">
        <v>293</v>
      </c>
      <c r="I347" s="17" t="str">
        <f>VLOOKUP(D347,Sheet1!E:K,6,FALSE)</f>
        <v>9576657850</v>
      </c>
      <c r="J347" s="17" t="s">
        <v>15</v>
      </c>
      <c r="K347" s="37" t="s">
        <v>3645</v>
      </c>
      <c r="L347" t="s">
        <v>3656</v>
      </c>
    </row>
    <row r="348" spans="1:12">
      <c r="A348" s="17">
        <v>347</v>
      </c>
      <c r="B348" s="17" t="s">
        <v>363</v>
      </c>
      <c r="C348" s="17">
        <v>2022591631</v>
      </c>
      <c r="D348" s="17">
        <v>2201010888</v>
      </c>
      <c r="E348" s="17" t="s">
        <v>1808</v>
      </c>
      <c r="F348" s="17" t="e">
        <f>VLOOKUP(C348,'Fast Track '!B:C,2,FALSE)</f>
        <v>#N/A</v>
      </c>
      <c r="G348" s="17" t="s">
        <v>3707</v>
      </c>
      <c r="H348" s="17" t="s">
        <v>364</v>
      </c>
      <c r="I348" s="17" t="str">
        <f>VLOOKUP(D348,Sheet1!E:K,6,FALSE)</f>
        <v>7979841252</v>
      </c>
      <c r="J348" s="17" t="s">
        <v>15</v>
      </c>
      <c r="K348" s="37" t="s">
        <v>3645</v>
      </c>
      <c r="L348" t="s">
        <v>3656</v>
      </c>
    </row>
    <row r="349" spans="1:12">
      <c r="A349" s="17">
        <v>348</v>
      </c>
      <c r="B349" s="17" t="s">
        <v>454</v>
      </c>
      <c r="C349" s="17">
        <v>2022469915</v>
      </c>
      <c r="D349" s="17">
        <v>2201010008</v>
      </c>
      <c r="E349" s="17" t="s">
        <v>1808</v>
      </c>
      <c r="F349" s="17" t="e">
        <f>VLOOKUP(C349,'Fast Track '!B:C,2,FALSE)</f>
        <v>#N/A</v>
      </c>
      <c r="G349" s="17" t="s">
        <v>3707</v>
      </c>
      <c r="H349" s="17" t="s">
        <v>455</v>
      </c>
      <c r="I349" s="17" t="str">
        <f>VLOOKUP(D349,Sheet1!E:K,6,FALSE)</f>
        <v>8700390171</v>
      </c>
      <c r="J349" s="17" t="s">
        <v>15</v>
      </c>
      <c r="K349" s="37" t="s">
        <v>3645</v>
      </c>
      <c r="L349" t="s">
        <v>3656</v>
      </c>
    </row>
    <row r="350" spans="1:12">
      <c r="A350" s="17">
        <v>349</v>
      </c>
      <c r="B350" s="17" t="s">
        <v>446</v>
      </c>
      <c r="C350" s="17">
        <v>2022448964</v>
      </c>
      <c r="D350" s="17">
        <v>2201010080</v>
      </c>
      <c r="E350" s="17" t="s">
        <v>1808</v>
      </c>
      <c r="F350" s="17" t="e">
        <f>VLOOKUP(C350,'Fast Track '!B:C,2,FALSE)</f>
        <v>#N/A</v>
      </c>
      <c r="G350" s="17" t="s">
        <v>3707</v>
      </c>
      <c r="H350" s="17" t="s">
        <v>447</v>
      </c>
      <c r="I350" s="17" t="str">
        <f>VLOOKUP(D350,Sheet1!E:K,6,FALSE)</f>
        <v>8521759941</v>
      </c>
      <c r="J350" s="17" t="s">
        <v>15</v>
      </c>
      <c r="K350" s="37" t="s">
        <v>3645</v>
      </c>
      <c r="L350" t="s">
        <v>3656</v>
      </c>
    </row>
    <row r="351" spans="1:12">
      <c r="A351" s="17">
        <v>350</v>
      </c>
      <c r="B351" s="17" t="s">
        <v>493</v>
      </c>
      <c r="C351" s="17">
        <v>2022531916</v>
      </c>
      <c r="D351" s="17">
        <v>2201010163</v>
      </c>
      <c r="E351" s="17" t="s">
        <v>1808</v>
      </c>
      <c r="F351" s="17" t="e">
        <f>VLOOKUP(C351,'Fast Track '!B:C,2,FALSE)</f>
        <v>#N/A</v>
      </c>
      <c r="G351" s="17" t="s">
        <v>3707</v>
      </c>
      <c r="H351" s="17" t="s">
        <v>494</v>
      </c>
      <c r="I351" s="17" t="str">
        <f>VLOOKUP(D351,Sheet1!E:K,6,FALSE)</f>
        <v>6204638315</v>
      </c>
      <c r="J351" s="17" t="s">
        <v>15</v>
      </c>
      <c r="K351" s="37" t="s">
        <v>3645</v>
      </c>
      <c r="L351" t="s">
        <v>3656</v>
      </c>
    </row>
    <row r="352" spans="1:12">
      <c r="A352" s="17">
        <v>351</v>
      </c>
      <c r="B352" s="17" t="s">
        <v>475</v>
      </c>
      <c r="C352" s="17">
        <v>2022514536</v>
      </c>
      <c r="D352" s="17">
        <v>2201010203</v>
      </c>
      <c r="E352" s="17" t="s">
        <v>1808</v>
      </c>
      <c r="F352" s="17" t="e">
        <f>VLOOKUP(C352,'Fast Track '!B:C,2,FALSE)</f>
        <v>#N/A</v>
      </c>
      <c r="G352" s="17" t="s">
        <v>3707</v>
      </c>
      <c r="H352" s="17" t="s">
        <v>476</v>
      </c>
      <c r="I352" s="17" t="str">
        <f>VLOOKUP(D352,Sheet1!E:K,6,FALSE)</f>
        <v>9772621230</v>
      </c>
      <c r="J352" s="17" t="s">
        <v>15</v>
      </c>
      <c r="K352" s="37" t="s">
        <v>3645</v>
      </c>
      <c r="L352" t="s">
        <v>3656</v>
      </c>
    </row>
    <row r="353" spans="1:12">
      <c r="A353" s="17">
        <v>352</v>
      </c>
      <c r="B353" s="17" t="s">
        <v>452</v>
      </c>
      <c r="C353" s="17">
        <v>2022469745</v>
      </c>
      <c r="D353" s="17">
        <v>2201010306</v>
      </c>
      <c r="E353" s="17" t="s">
        <v>1808</v>
      </c>
      <c r="F353" s="17" t="e">
        <f>VLOOKUP(C353,'Fast Track '!B:C,2,FALSE)</f>
        <v>#N/A</v>
      </c>
      <c r="G353" s="17" t="s">
        <v>3707</v>
      </c>
      <c r="H353" s="17" t="s">
        <v>453</v>
      </c>
      <c r="I353" s="17" t="str">
        <f>VLOOKUP(D353,Sheet1!E:K,6,FALSE)</f>
        <v>7678437824</v>
      </c>
      <c r="J353" s="17" t="s">
        <v>15</v>
      </c>
      <c r="K353" s="37" t="s">
        <v>3645</v>
      </c>
      <c r="L353" t="s">
        <v>3656</v>
      </c>
    </row>
    <row r="354" spans="1:12">
      <c r="A354" s="17">
        <v>353</v>
      </c>
      <c r="B354" s="17" t="s">
        <v>404</v>
      </c>
      <c r="C354" s="17">
        <v>2022003834</v>
      </c>
      <c r="D354" s="17">
        <v>2201010418</v>
      </c>
      <c r="E354" s="17" t="s">
        <v>1808</v>
      </c>
      <c r="F354" s="17" t="e">
        <f>VLOOKUP(C354,'Fast Track '!B:C,2,FALSE)</f>
        <v>#N/A</v>
      </c>
      <c r="G354" s="17" t="s">
        <v>3707</v>
      </c>
      <c r="H354" s="17" t="s">
        <v>405</v>
      </c>
      <c r="I354" s="17" t="str">
        <f>VLOOKUP(D354,Sheet1!E:K,6,FALSE)</f>
        <v>7037612173</v>
      </c>
      <c r="J354" s="17" t="s">
        <v>15</v>
      </c>
      <c r="K354" s="37" t="s">
        <v>3645</v>
      </c>
      <c r="L354" t="s">
        <v>3656</v>
      </c>
    </row>
    <row r="355" spans="1:12">
      <c r="A355" s="17">
        <v>354</v>
      </c>
      <c r="B355" s="17" t="s">
        <v>487</v>
      </c>
      <c r="C355" s="17">
        <v>2022526278</v>
      </c>
      <c r="D355" s="17">
        <v>2201010651</v>
      </c>
      <c r="E355" s="17" t="s">
        <v>1808</v>
      </c>
      <c r="F355" s="17" t="e">
        <f>VLOOKUP(C355,'Fast Track '!B:C,2,FALSE)</f>
        <v>#N/A</v>
      </c>
      <c r="G355" s="17" t="s">
        <v>3707</v>
      </c>
      <c r="H355" s="17" t="s">
        <v>488</v>
      </c>
      <c r="I355" s="17" t="str">
        <f>VLOOKUP(D355,Sheet1!E:K,6,FALSE)</f>
        <v>9906207996</v>
      </c>
      <c r="J355" s="17" t="s">
        <v>15</v>
      </c>
      <c r="K355" s="37" t="s">
        <v>3645</v>
      </c>
      <c r="L355" t="s">
        <v>3656</v>
      </c>
    </row>
    <row r="356" spans="1:12">
      <c r="A356" s="17">
        <v>355</v>
      </c>
      <c r="B356" s="17" t="s">
        <v>515</v>
      </c>
      <c r="C356" s="17">
        <v>2022413369</v>
      </c>
      <c r="D356" s="17">
        <v>2201010732</v>
      </c>
      <c r="E356" s="17" t="s">
        <v>1808</v>
      </c>
      <c r="F356" s="17" t="e">
        <f>VLOOKUP(C356,'Fast Track '!B:C,2,FALSE)</f>
        <v>#N/A</v>
      </c>
      <c r="G356" s="17" t="s">
        <v>3707</v>
      </c>
      <c r="H356" s="17" t="s">
        <v>516</v>
      </c>
      <c r="I356" s="17" t="str">
        <f>VLOOKUP(D356,Sheet1!E:K,6,FALSE)</f>
        <v>8252741969</v>
      </c>
      <c r="J356" s="17" t="s">
        <v>15</v>
      </c>
      <c r="K356" s="37" t="s">
        <v>3645</v>
      </c>
      <c r="L356" t="s">
        <v>3656</v>
      </c>
    </row>
    <row r="357" spans="1:12">
      <c r="A357" s="17">
        <v>356</v>
      </c>
      <c r="B357" s="17" t="s">
        <v>450</v>
      </c>
      <c r="C357" s="17">
        <v>2022457752</v>
      </c>
      <c r="D357" s="17">
        <v>2201010741</v>
      </c>
      <c r="E357" s="17" t="s">
        <v>1808</v>
      </c>
      <c r="F357" s="17" t="e">
        <f>VLOOKUP(C357,'Fast Track '!B:C,2,FALSE)</f>
        <v>#N/A</v>
      </c>
      <c r="G357" s="17" t="s">
        <v>3707</v>
      </c>
      <c r="H357" s="17" t="s">
        <v>451</v>
      </c>
      <c r="I357" s="17" t="str">
        <f>VLOOKUP(D357,Sheet1!E:K,6,FALSE)</f>
        <v>8532959985</v>
      </c>
      <c r="J357" s="17" t="s">
        <v>15</v>
      </c>
      <c r="K357" s="37" t="s">
        <v>3645</v>
      </c>
      <c r="L357" t="s">
        <v>3656</v>
      </c>
    </row>
    <row r="358" spans="1:12">
      <c r="A358" s="17">
        <v>357</v>
      </c>
      <c r="B358" s="17" t="s">
        <v>495</v>
      </c>
      <c r="C358" s="17">
        <v>2022536274</v>
      </c>
      <c r="D358" s="17">
        <v>2201010878</v>
      </c>
      <c r="E358" s="17" t="s">
        <v>1808</v>
      </c>
      <c r="F358" s="17" t="e">
        <f>VLOOKUP(C358,'Fast Track '!B:C,2,FALSE)</f>
        <v>#N/A</v>
      </c>
      <c r="G358" s="17" t="s">
        <v>3707</v>
      </c>
      <c r="H358" s="17" t="s">
        <v>496</v>
      </c>
      <c r="I358" s="17" t="str">
        <f>VLOOKUP(D358,Sheet1!E:K,6,FALSE)</f>
        <v>7065509551</v>
      </c>
      <c r="J358" s="17" t="s">
        <v>15</v>
      </c>
      <c r="K358" s="37" t="s">
        <v>3645</v>
      </c>
      <c r="L358" t="s">
        <v>3656</v>
      </c>
    </row>
    <row r="359" spans="1:12">
      <c r="A359" s="17">
        <v>358</v>
      </c>
      <c r="B359" s="17" t="s">
        <v>520</v>
      </c>
      <c r="C359" s="17">
        <v>2021369177</v>
      </c>
      <c r="D359" s="17">
        <v>210101120</v>
      </c>
      <c r="E359" s="17" t="s">
        <v>1808</v>
      </c>
      <c r="F359" s="17" t="e">
        <f>VLOOKUP(C359,'Fast Track '!B:C,2,FALSE)</f>
        <v>#N/A</v>
      </c>
      <c r="G359" s="17" t="s">
        <v>3707</v>
      </c>
      <c r="H359" s="17" t="s">
        <v>521</v>
      </c>
      <c r="I359" s="17" t="str">
        <f>VLOOKUP(D359,Sheet1!E:K,6,FALSE)</f>
        <v>7599538528</v>
      </c>
      <c r="J359" s="17" t="s">
        <v>15</v>
      </c>
      <c r="K359" s="37" t="s">
        <v>3645</v>
      </c>
      <c r="L359" t="s">
        <v>3656</v>
      </c>
    </row>
    <row r="360" spans="1:12">
      <c r="A360" s="17">
        <v>359</v>
      </c>
      <c r="B360" s="17" t="s">
        <v>522</v>
      </c>
      <c r="C360" s="17">
        <v>2021375907</v>
      </c>
      <c r="D360" s="17">
        <v>210101149</v>
      </c>
      <c r="E360" s="17" t="s">
        <v>1808</v>
      </c>
      <c r="F360" s="17" t="e">
        <f>VLOOKUP(C360,'Fast Track '!B:C,2,FALSE)</f>
        <v>#N/A</v>
      </c>
      <c r="G360" s="17" t="s">
        <v>3707</v>
      </c>
      <c r="H360" s="17" t="s">
        <v>523</v>
      </c>
      <c r="I360" s="17" t="str">
        <f>VLOOKUP(D360,Sheet1!E:K,6,FALSE)</f>
        <v>9122439887</v>
      </c>
      <c r="J360" s="17" t="s">
        <v>15</v>
      </c>
      <c r="K360" s="37" t="s">
        <v>3645</v>
      </c>
      <c r="L360" t="s">
        <v>3656</v>
      </c>
    </row>
    <row r="361" spans="1:12">
      <c r="A361" s="17">
        <v>360</v>
      </c>
      <c r="B361" s="17" t="s">
        <v>543</v>
      </c>
      <c r="C361" s="17">
        <v>2022004546</v>
      </c>
      <c r="D361" s="17">
        <v>2201010038</v>
      </c>
      <c r="E361" s="17" t="s">
        <v>1808</v>
      </c>
      <c r="F361" s="17" t="e">
        <f>VLOOKUP(C361,'Fast Track '!B:C,2,FALSE)</f>
        <v>#N/A</v>
      </c>
      <c r="G361" s="17" t="s">
        <v>3707</v>
      </c>
      <c r="H361" s="17" t="s">
        <v>544</v>
      </c>
      <c r="I361" s="17" t="str">
        <f>VLOOKUP(D361,Sheet1!E:K,6,FALSE)</f>
        <v>9868040160</v>
      </c>
      <c r="J361" s="17" t="s">
        <v>15</v>
      </c>
      <c r="K361" s="37" t="s">
        <v>3645</v>
      </c>
      <c r="L361" t="s">
        <v>3656</v>
      </c>
    </row>
    <row r="362" spans="1:12">
      <c r="A362" s="17">
        <v>361</v>
      </c>
      <c r="B362" s="17" t="s">
        <v>622</v>
      </c>
      <c r="C362" s="17">
        <v>2022535859</v>
      </c>
      <c r="D362" s="17">
        <v>2201010043</v>
      </c>
      <c r="E362" s="17" t="s">
        <v>1808</v>
      </c>
      <c r="F362" s="17" t="e">
        <f>VLOOKUP(C362,'Fast Track '!B:C,2,FALSE)</f>
        <v>#N/A</v>
      </c>
      <c r="G362" s="17" t="s">
        <v>3707</v>
      </c>
      <c r="H362" s="17" t="s">
        <v>623</v>
      </c>
      <c r="I362" s="17" t="str">
        <f>VLOOKUP(D362,Sheet1!E:K,6,FALSE)</f>
        <v>9708761089</v>
      </c>
      <c r="J362" s="17" t="s">
        <v>15</v>
      </c>
      <c r="K362" s="37" t="s">
        <v>3645</v>
      </c>
      <c r="L362" t="s">
        <v>3656</v>
      </c>
    </row>
    <row r="363" spans="1:12">
      <c r="A363" s="17">
        <v>362</v>
      </c>
      <c r="B363" s="17" t="s">
        <v>219</v>
      </c>
      <c r="C363" s="17">
        <v>2022536473</v>
      </c>
      <c r="D363" s="17">
        <v>2201010049</v>
      </c>
      <c r="E363" s="17" t="s">
        <v>1808</v>
      </c>
      <c r="F363" s="17" t="e">
        <f>VLOOKUP(C363,'Fast Track '!B:C,2,FALSE)</f>
        <v>#N/A</v>
      </c>
      <c r="G363" s="17" t="s">
        <v>3707</v>
      </c>
      <c r="H363" s="17" t="s">
        <v>624</v>
      </c>
      <c r="I363" s="17" t="str">
        <f>VLOOKUP(D363,Sheet1!E:K,6,FALSE)</f>
        <v>8349621902</v>
      </c>
      <c r="J363" s="17" t="s">
        <v>15</v>
      </c>
      <c r="K363" s="37" t="s">
        <v>3645</v>
      </c>
      <c r="L363" t="s">
        <v>3656</v>
      </c>
    </row>
    <row r="364" spans="1:12">
      <c r="A364" s="17">
        <v>363</v>
      </c>
      <c r="B364" s="17" t="s">
        <v>535</v>
      </c>
      <c r="C364" s="17">
        <v>2022001884</v>
      </c>
      <c r="D364" s="17">
        <v>2201010055</v>
      </c>
      <c r="E364" s="17" t="s">
        <v>1808</v>
      </c>
      <c r="F364" s="17" t="e">
        <f>VLOOKUP(C364,'Fast Track '!B:C,2,FALSE)</f>
        <v>#N/A</v>
      </c>
      <c r="G364" s="17" t="s">
        <v>3707</v>
      </c>
      <c r="H364" s="17" t="s">
        <v>536</v>
      </c>
      <c r="I364" s="17" t="str">
        <f>VLOOKUP(D364,Sheet1!E:K,6,FALSE)</f>
        <v>8394910079</v>
      </c>
      <c r="J364" s="17" t="s">
        <v>15</v>
      </c>
      <c r="K364" s="37" t="s">
        <v>3645</v>
      </c>
      <c r="L364" t="s">
        <v>3656</v>
      </c>
    </row>
    <row r="365" spans="1:12">
      <c r="A365" s="17">
        <v>364</v>
      </c>
      <c r="B365" s="17" t="s">
        <v>561</v>
      </c>
      <c r="C365" s="17">
        <v>2022334212</v>
      </c>
      <c r="D365" s="17">
        <v>2201010157</v>
      </c>
      <c r="E365" s="17" t="s">
        <v>1808</v>
      </c>
      <c r="F365" s="17" t="e">
        <f>VLOOKUP(C365,'Fast Track '!B:C,2,FALSE)</f>
        <v>#N/A</v>
      </c>
      <c r="G365" s="17" t="s">
        <v>3707</v>
      </c>
      <c r="H365" s="17" t="s">
        <v>562</v>
      </c>
      <c r="I365" s="17" t="str">
        <f>VLOOKUP(D365,Sheet1!E:K,6,FALSE)</f>
        <v>7982794898</v>
      </c>
      <c r="J365" s="17" t="s">
        <v>15</v>
      </c>
      <c r="K365" s="37" t="s">
        <v>3645</v>
      </c>
      <c r="L365" t="s">
        <v>3656</v>
      </c>
    </row>
    <row r="366" spans="1:12">
      <c r="A366" s="17">
        <v>365</v>
      </c>
      <c r="B366" s="17" t="s">
        <v>537</v>
      </c>
      <c r="C366" s="17">
        <v>2022002383</v>
      </c>
      <c r="D366" s="17">
        <v>2201010292</v>
      </c>
      <c r="E366" s="17" t="s">
        <v>1808</v>
      </c>
      <c r="F366" s="17" t="e">
        <f>VLOOKUP(C366,'Fast Track '!B:C,2,FALSE)</f>
        <v>#N/A</v>
      </c>
      <c r="G366" s="17" t="s">
        <v>3707</v>
      </c>
      <c r="H366" s="17" t="s">
        <v>538</v>
      </c>
      <c r="I366" s="17" t="str">
        <f>VLOOKUP(D366,Sheet1!E:K,6,FALSE)</f>
        <v>9319854930</v>
      </c>
      <c r="J366" s="17" t="s">
        <v>15</v>
      </c>
      <c r="K366" s="37" t="s">
        <v>3645</v>
      </c>
      <c r="L366" t="s">
        <v>3656</v>
      </c>
    </row>
    <row r="367" spans="1:12">
      <c r="A367" s="17">
        <v>366</v>
      </c>
      <c r="B367" s="17" t="s">
        <v>812</v>
      </c>
      <c r="C367" s="17">
        <v>2022004755</v>
      </c>
      <c r="D367" s="17">
        <v>2201010332</v>
      </c>
      <c r="E367" s="17" t="s">
        <v>1808</v>
      </c>
      <c r="F367" s="17" t="e">
        <f>VLOOKUP(C367,'Fast Track '!B:C,2,FALSE)</f>
        <v>#N/A</v>
      </c>
      <c r="G367" s="17" t="s">
        <v>3707</v>
      </c>
      <c r="H367" s="17" t="s">
        <v>813</v>
      </c>
      <c r="I367" s="17" t="str">
        <f>VLOOKUP(D367,Sheet1!E:K,6,FALSE)</f>
        <v>9911616569</v>
      </c>
      <c r="J367" s="17" t="s">
        <v>15</v>
      </c>
      <c r="K367" s="37" t="s">
        <v>3645</v>
      </c>
      <c r="L367" t="s">
        <v>3656</v>
      </c>
    </row>
    <row r="368" spans="1:12">
      <c r="A368" s="17">
        <v>367</v>
      </c>
      <c r="B368" s="17" t="s">
        <v>600</v>
      </c>
      <c r="C368" s="17">
        <v>2022507069</v>
      </c>
      <c r="D368" s="17">
        <v>2201010337</v>
      </c>
      <c r="E368" s="17" t="s">
        <v>1808</v>
      </c>
      <c r="F368" s="17" t="e">
        <f>VLOOKUP(C368,'Fast Track '!B:C,2,FALSE)</f>
        <v>#N/A</v>
      </c>
      <c r="G368" s="17" t="s">
        <v>3707</v>
      </c>
      <c r="H368" s="17" t="s">
        <v>601</v>
      </c>
      <c r="I368" s="17" t="str">
        <f>VLOOKUP(D368,Sheet1!E:K,6,FALSE)</f>
        <v>8757335109</v>
      </c>
      <c r="J368" s="17" t="s">
        <v>15</v>
      </c>
      <c r="K368" s="37" t="s">
        <v>3645</v>
      </c>
      <c r="L368" t="s">
        <v>3656</v>
      </c>
    </row>
    <row r="369" spans="1:12">
      <c r="A369" s="17">
        <v>368</v>
      </c>
      <c r="B369" s="17" t="s">
        <v>639</v>
      </c>
      <c r="C369" s="17">
        <v>2022829153</v>
      </c>
      <c r="D369" s="17">
        <v>2201010397</v>
      </c>
      <c r="E369" s="17" t="s">
        <v>1808</v>
      </c>
      <c r="F369" s="17" t="e">
        <f>VLOOKUP(C369,'Fast Track '!B:C,2,FALSE)</f>
        <v>#N/A</v>
      </c>
      <c r="G369" s="17" t="s">
        <v>3707</v>
      </c>
      <c r="H369" s="17" t="s">
        <v>640</v>
      </c>
      <c r="I369" s="17" t="str">
        <f>VLOOKUP(D369,Sheet1!E:K,6,FALSE)</f>
        <v>91 7050193458</v>
      </c>
      <c r="J369" s="17" t="s">
        <v>15</v>
      </c>
      <c r="K369" s="37" t="s">
        <v>3645</v>
      </c>
      <c r="L369" t="s">
        <v>3656</v>
      </c>
    </row>
    <row r="370" spans="1:12">
      <c r="A370" s="17">
        <v>369</v>
      </c>
      <c r="B370" s="17" t="s">
        <v>596</v>
      </c>
      <c r="C370" s="17">
        <v>2022506240</v>
      </c>
      <c r="D370" s="17">
        <v>2201010509</v>
      </c>
      <c r="E370" s="17" t="s">
        <v>1808</v>
      </c>
      <c r="F370" s="17" t="e">
        <f>VLOOKUP(C370,'Fast Track '!B:C,2,FALSE)</f>
        <v>#N/A</v>
      </c>
      <c r="G370" s="17" t="s">
        <v>3707</v>
      </c>
      <c r="H370" s="17" t="s">
        <v>597</v>
      </c>
      <c r="I370" s="17" t="str">
        <f>VLOOKUP(D370,Sheet1!E:K,6,FALSE)</f>
        <v>9999226854</v>
      </c>
      <c r="J370" s="17" t="s">
        <v>15</v>
      </c>
      <c r="K370" s="37" t="s">
        <v>3645</v>
      </c>
      <c r="L370" t="s">
        <v>3656</v>
      </c>
    </row>
    <row r="371" spans="1:12">
      <c r="A371" s="17">
        <v>370</v>
      </c>
      <c r="B371" s="17" t="s">
        <v>588</v>
      </c>
      <c r="C371" s="17">
        <v>2022490152</v>
      </c>
      <c r="D371" s="17">
        <v>2201010517</v>
      </c>
      <c r="E371" s="17" t="s">
        <v>1808</v>
      </c>
      <c r="F371" s="17" t="e">
        <f>VLOOKUP(C371,'Fast Track '!B:C,2,FALSE)</f>
        <v>#N/A</v>
      </c>
      <c r="G371" s="17" t="s">
        <v>3707</v>
      </c>
      <c r="H371" s="17" t="s">
        <v>589</v>
      </c>
      <c r="I371" s="17" t="str">
        <f>VLOOKUP(D371,Sheet1!E:K,6,FALSE)</f>
        <v>8222010280</v>
      </c>
      <c r="J371" s="17" t="s">
        <v>15</v>
      </c>
      <c r="K371" s="39" t="s">
        <v>3645</v>
      </c>
      <c r="L371" t="s">
        <v>3656</v>
      </c>
    </row>
    <row r="372" spans="1:12">
      <c r="A372" s="17">
        <v>371</v>
      </c>
      <c r="B372" s="17" t="s">
        <v>573</v>
      </c>
      <c r="C372" s="17">
        <v>2022427336</v>
      </c>
      <c r="D372" s="17">
        <v>2201010611</v>
      </c>
      <c r="E372" s="17" t="s">
        <v>1808</v>
      </c>
      <c r="F372" s="17" t="e">
        <f>VLOOKUP(C372,'Fast Track '!B:C,2,FALSE)</f>
        <v>#N/A</v>
      </c>
      <c r="G372" s="17" t="s">
        <v>3707</v>
      </c>
      <c r="H372" s="17" t="s">
        <v>574</v>
      </c>
      <c r="I372" s="17" t="str">
        <f>VLOOKUP(D372,Sheet1!E:K,6,FALSE)</f>
        <v>9315253842</v>
      </c>
      <c r="J372" s="17" t="s">
        <v>15</v>
      </c>
      <c r="K372" s="37" t="s">
        <v>3644</v>
      </c>
      <c r="L372" t="s">
        <v>3656</v>
      </c>
    </row>
    <row r="373" spans="1:12">
      <c r="A373" s="17">
        <v>372</v>
      </c>
      <c r="B373" s="17" t="s">
        <v>616</v>
      </c>
      <c r="C373" s="17">
        <v>2022523724</v>
      </c>
      <c r="D373" s="17">
        <v>2201010632</v>
      </c>
      <c r="E373" s="17" t="s">
        <v>1808</v>
      </c>
      <c r="F373" s="17" t="e">
        <f>VLOOKUP(C373,'Fast Track '!B:C,2,FALSE)</f>
        <v>#N/A</v>
      </c>
      <c r="G373" s="17" t="s">
        <v>3707</v>
      </c>
      <c r="H373" s="17" t="s">
        <v>617</v>
      </c>
      <c r="I373" s="17" t="str">
        <f>VLOOKUP(D373,Sheet1!E:K,6,FALSE)</f>
        <v>8800970493</v>
      </c>
      <c r="J373" s="17" t="s">
        <v>15</v>
      </c>
      <c r="K373" s="37" t="s">
        <v>3644</v>
      </c>
      <c r="L373" t="s">
        <v>3656</v>
      </c>
    </row>
    <row r="374" spans="1:12">
      <c r="A374" s="17">
        <v>373</v>
      </c>
      <c r="B374" s="17" t="s">
        <v>565</v>
      </c>
      <c r="C374" s="17">
        <v>2022363290</v>
      </c>
      <c r="D374" s="17">
        <v>2201010711</v>
      </c>
      <c r="E374" s="17" t="s">
        <v>1808</v>
      </c>
      <c r="F374" s="17" t="e">
        <f>VLOOKUP(C374,'Fast Track '!B:C,2,FALSE)</f>
        <v>#N/A</v>
      </c>
      <c r="G374" s="17" t="s">
        <v>3707</v>
      </c>
      <c r="H374" s="17" t="s">
        <v>566</v>
      </c>
      <c r="I374" s="17" t="str">
        <f>VLOOKUP(D374,Sheet1!E:K,6,FALSE)</f>
        <v>7643814053</v>
      </c>
      <c r="J374" s="17" t="s">
        <v>15</v>
      </c>
      <c r="K374" s="37" t="s">
        <v>3644</v>
      </c>
      <c r="L374" t="s">
        <v>3656</v>
      </c>
    </row>
    <row r="375" spans="1:12">
      <c r="A375" s="17">
        <v>374</v>
      </c>
      <c r="B375" s="17" t="s">
        <v>590</v>
      </c>
      <c r="C375" s="17">
        <v>2022498440</v>
      </c>
      <c r="D375" s="17">
        <v>2201010721</v>
      </c>
      <c r="E375" s="17" t="s">
        <v>1808</v>
      </c>
      <c r="F375" s="17" t="e">
        <f>VLOOKUP(C375,'Fast Track '!B:C,2,FALSE)</f>
        <v>#N/A</v>
      </c>
      <c r="G375" s="17" t="s">
        <v>3707</v>
      </c>
      <c r="H375" s="17" t="s">
        <v>591</v>
      </c>
      <c r="I375" s="17" t="str">
        <f>VLOOKUP(D375,Sheet1!E:K,6,FALSE)</f>
        <v>8354944670</v>
      </c>
      <c r="J375" s="17" t="s">
        <v>15</v>
      </c>
      <c r="K375" s="37" t="s">
        <v>3644</v>
      </c>
      <c r="L375" t="s">
        <v>3656</v>
      </c>
    </row>
    <row r="376" spans="1:12">
      <c r="A376" s="17">
        <v>375</v>
      </c>
      <c r="B376" s="17" t="s">
        <v>553</v>
      </c>
      <c r="C376" s="17">
        <v>2022007195</v>
      </c>
      <c r="D376" s="17">
        <v>2201010837</v>
      </c>
      <c r="E376" s="17" t="s">
        <v>1808</v>
      </c>
      <c r="F376" s="17" t="e">
        <f>VLOOKUP(C376,'Fast Track '!B:C,2,FALSE)</f>
        <v>#N/A</v>
      </c>
      <c r="G376" s="17" t="s">
        <v>3707</v>
      </c>
      <c r="H376" s="17" t="s">
        <v>554</v>
      </c>
      <c r="I376" s="17" t="str">
        <f>VLOOKUP(D376,Sheet1!E:K,6,FALSE)</f>
        <v>7456007669</v>
      </c>
      <c r="J376" s="17" t="s">
        <v>15</v>
      </c>
      <c r="K376" s="37" t="s">
        <v>3644</v>
      </c>
      <c r="L376" t="s">
        <v>3656</v>
      </c>
    </row>
    <row r="377" spans="1:12">
      <c r="A377" s="17">
        <v>376</v>
      </c>
      <c r="B377" s="17" t="s">
        <v>526</v>
      </c>
      <c r="C377" s="17">
        <v>2022536169</v>
      </c>
      <c r="D377" s="17">
        <v>2201010877</v>
      </c>
      <c r="E377" s="17" t="s">
        <v>1808</v>
      </c>
      <c r="F377" s="17" t="e">
        <f>VLOOKUP(C377,'Fast Track '!B:C,2,FALSE)</f>
        <v>#N/A</v>
      </c>
      <c r="G377" s="17" t="s">
        <v>3707</v>
      </c>
      <c r="H377" s="17" t="s">
        <v>527</v>
      </c>
      <c r="I377" s="17" t="str">
        <f>VLOOKUP(D377,Sheet1!E:K,6,FALSE)</f>
        <v>8868830646</v>
      </c>
      <c r="J377" s="17" t="s">
        <v>15</v>
      </c>
      <c r="K377" s="37" t="s">
        <v>3644</v>
      </c>
      <c r="L377" t="s">
        <v>3656</v>
      </c>
    </row>
    <row r="378" spans="1:12">
      <c r="A378" s="17">
        <v>377</v>
      </c>
      <c r="B378" s="17" t="s">
        <v>633</v>
      </c>
      <c r="C378" s="17">
        <v>2022573413</v>
      </c>
      <c r="D378" s="17">
        <v>2201010884</v>
      </c>
      <c r="E378" s="17" t="s">
        <v>1808</v>
      </c>
      <c r="F378" s="17" t="e">
        <f>VLOOKUP(C378,'Fast Track '!B:C,2,FALSE)</f>
        <v>#N/A</v>
      </c>
      <c r="G378" s="17" t="s">
        <v>3707</v>
      </c>
      <c r="H378" s="17" t="s">
        <v>634</v>
      </c>
      <c r="I378" s="17" t="str">
        <f>VLOOKUP(D378,Sheet1!E:K,6,FALSE)</f>
        <v>9748781285</v>
      </c>
      <c r="J378" s="17" t="s">
        <v>15</v>
      </c>
      <c r="K378" s="37" t="s">
        <v>3644</v>
      </c>
      <c r="L378" t="s">
        <v>3656</v>
      </c>
    </row>
    <row r="379" spans="1:12">
      <c r="A379" s="17">
        <v>378</v>
      </c>
      <c r="B379" s="17" t="s">
        <v>654</v>
      </c>
      <c r="C379" s="17">
        <v>2022000245</v>
      </c>
      <c r="D379" s="17">
        <v>2201010098</v>
      </c>
      <c r="E379" s="17" t="s">
        <v>1808</v>
      </c>
      <c r="F379" s="17" t="e">
        <f>VLOOKUP(C379,'Fast Track '!B:C,2,FALSE)</f>
        <v>#N/A</v>
      </c>
      <c r="G379" s="17" t="s">
        <v>3707</v>
      </c>
      <c r="H379" s="17" t="s">
        <v>655</v>
      </c>
      <c r="I379" s="17" t="str">
        <f>VLOOKUP(D379,Sheet1!E:K,6,FALSE)</f>
        <v>7667491662</v>
      </c>
      <c r="J379" s="17" t="s">
        <v>15</v>
      </c>
      <c r="K379" s="37" t="s">
        <v>3644</v>
      </c>
      <c r="L379" t="s">
        <v>3656</v>
      </c>
    </row>
    <row r="380" spans="1:12">
      <c r="A380" s="17">
        <v>379</v>
      </c>
      <c r="B380" s="17" t="s">
        <v>734</v>
      </c>
      <c r="C380" s="17">
        <v>2022577356</v>
      </c>
      <c r="D380" s="17">
        <v>2201010103</v>
      </c>
      <c r="E380" s="17" t="s">
        <v>1808</v>
      </c>
      <c r="F380" s="17" t="e">
        <f>VLOOKUP(C380,'Fast Track '!B:C,2,FALSE)</f>
        <v>#N/A</v>
      </c>
      <c r="G380" s="17" t="s">
        <v>3707</v>
      </c>
      <c r="H380" s="17" t="s">
        <v>735</v>
      </c>
      <c r="I380" s="17" t="str">
        <f>VLOOKUP(D380,Sheet1!E:K,6,FALSE)</f>
        <v>9905227087</v>
      </c>
      <c r="J380" s="17" t="s">
        <v>15</v>
      </c>
      <c r="K380" s="37" t="s">
        <v>3644</v>
      </c>
      <c r="L380" t="s">
        <v>3656</v>
      </c>
    </row>
    <row r="381" spans="1:12">
      <c r="A381" s="17">
        <v>380</v>
      </c>
      <c r="B381" s="17" t="s">
        <v>743</v>
      </c>
      <c r="C381" s="17">
        <v>2022820872</v>
      </c>
      <c r="D381" s="17">
        <v>2201010182</v>
      </c>
      <c r="E381" s="17" t="s">
        <v>1808</v>
      </c>
      <c r="F381" s="17" t="e">
        <f>VLOOKUP(C381,'Fast Track '!B:C,2,FALSE)</f>
        <v>#N/A</v>
      </c>
      <c r="G381" s="17" t="s">
        <v>3707</v>
      </c>
      <c r="H381" s="17" t="s">
        <v>744</v>
      </c>
      <c r="I381" s="17" t="str">
        <f>VLOOKUP(D381,Sheet1!E:K,6,FALSE)</f>
        <v>91 7011964628</v>
      </c>
      <c r="J381" s="17" t="s">
        <v>15</v>
      </c>
      <c r="K381" s="37" t="s">
        <v>3644</v>
      </c>
      <c r="L381" t="s">
        <v>3656</v>
      </c>
    </row>
    <row r="382" spans="1:12">
      <c r="A382" s="17">
        <v>381</v>
      </c>
      <c r="B382" s="17" t="s">
        <v>689</v>
      </c>
      <c r="C382" s="17">
        <v>2022007055</v>
      </c>
      <c r="D382" s="17">
        <v>2201010187</v>
      </c>
      <c r="E382" s="17" t="s">
        <v>1808</v>
      </c>
      <c r="F382" s="17" t="e">
        <f>VLOOKUP(C382,'Fast Track '!B:C,2,FALSE)</f>
        <v>#N/A</v>
      </c>
      <c r="G382" s="17" t="s">
        <v>3707</v>
      </c>
      <c r="H382" s="17" t="s">
        <v>690</v>
      </c>
      <c r="I382" s="17" t="str">
        <f>VLOOKUP(D382,Sheet1!E:K,6,FALSE)</f>
        <v>9525902309</v>
      </c>
      <c r="J382" s="17" t="s">
        <v>15</v>
      </c>
      <c r="K382" s="37" t="s">
        <v>3644</v>
      </c>
      <c r="L382" t="s">
        <v>3656</v>
      </c>
    </row>
    <row r="383" spans="1:12">
      <c r="A383" s="17">
        <v>382</v>
      </c>
      <c r="B383" s="17" t="s">
        <v>693</v>
      </c>
      <c r="C383" s="17">
        <v>2022007141</v>
      </c>
      <c r="D383" s="17">
        <v>2201010196</v>
      </c>
      <c r="E383" s="17" t="s">
        <v>1808</v>
      </c>
      <c r="F383" s="17" t="e">
        <f>VLOOKUP(C383,'Fast Track '!B:C,2,FALSE)</f>
        <v>#N/A</v>
      </c>
      <c r="G383" s="17" t="s">
        <v>3707</v>
      </c>
      <c r="H383" s="17" t="s">
        <v>694</v>
      </c>
      <c r="I383" s="17" t="str">
        <f>VLOOKUP(D383,Sheet1!E:K,6,FALSE)</f>
        <v>7417242229</v>
      </c>
      <c r="J383" s="17" t="s">
        <v>15</v>
      </c>
      <c r="K383" s="37" t="s">
        <v>3644</v>
      </c>
      <c r="L383" t="s">
        <v>3656</v>
      </c>
    </row>
    <row r="384" spans="1:12">
      <c r="A384" s="17">
        <v>383</v>
      </c>
      <c r="B384" s="17" t="s">
        <v>749</v>
      </c>
      <c r="C384" s="17">
        <v>2022833385</v>
      </c>
      <c r="D384" s="17">
        <v>2201010199</v>
      </c>
      <c r="E384" s="17" t="s">
        <v>1808</v>
      </c>
      <c r="F384" s="17" t="e">
        <f>VLOOKUP(C384,'Fast Track '!B:C,2,FALSE)</f>
        <v>#N/A</v>
      </c>
      <c r="G384" s="17" t="s">
        <v>3707</v>
      </c>
      <c r="H384" s="17" t="s">
        <v>750</v>
      </c>
      <c r="I384" s="17" t="str">
        <f>VLOOKUP(D384,Sheet1!E:K,6,FALSE)</f>
        <v>58870955</v>
      </c>
      <c r="J384" s="17" t="s">
        <v>15</v>
      </c>
      <c r="K384" s="37" t="s">
        <v>3644</v>
      </c>
      <c r="L384" t="s">
        <v>3656</v>
      </c>
    </row>
    <row r="385" spans="1:12">
      <c r="A385" s="17">
        <v>384</v>
      </c>
      <c r="B385" s="17" t="s">
        <v>741</v>
      </c>
      <c r="C385" s="17">
        <v>2022816874</v>
      </c>
      <c r="D385" s="17">
        <v>2201010252</v>
      </c>
      <c r="E385" s="17" t="s">
        <v>1808</v>
      </c>
      <c r="F385" s="17" t="e">
        <f>VLOOKUP(C385,'Fast Track '!B:C,2,FALSE)</f>
        <v>#N/A</v>
      </c>
      <c r="G385" s="17" t="s">
        <v>3707</v>
      </c>
      <c r="H385" s="17" t="s">
        <v>742</v>
      </c>
      <c r="I385" s="17" t="str">
        <f>VLOOKUP(D385,Sheet1!E:K,6,FALSE)</f>
        <v>91 7676535597</v>
      </c>
      <c r="J385" s="17" t="s">
        <v>15</v>
      </c>
      <c r="K385" s="37" t="s">
        <v>3644</v>
      </c>
      <c r="L385" t="s">
        <v>3656</v>
      </c>
    </row>
    <row r="386" spans="1:12">
      <c r="A386" s="17">
        <v>385</v>
      </c>
      <c r="B386" s="17" t="s">
        <v>658</v>
      </c>
      <c r="C386" s="17">
        <v>2022006870</v>
      </c>
      <c r="D386" s="17">
        <v>2201010310</v>
      </c>
      <c r="E386" s="17" t="s">
        <v>1808</v>
      </c>
      <c r="F386" s="17" t="e">
        <f>VLOOKUP(C386,'Fast Track '!B:C,2,FALSE)</f>
        <v>#N/A</v>
      </c>
      <c r="G386" s="17" t="s">
        <v>3707</v>
      </c>
      <c r="H386" s="17" t="s">
        <v>659</v>
      </c>
      <c r="I386" s="17" t="str">
        <f>VLOOKUP(D386,Sheet1!E:K,6,FALSE)</f>
        <v>6200170281</v>
      </c>
      <c r="J386" s="17" t="s">
        <v>15</v>
      </c>
      <c r="K386" s="37" t="s">
        <v>3644</v>
      </c>
      <c r="L386" t="s">
        <v>3656</v>
      </c>
    </row>
    <row r="387" spans="1:12">
      <c r="A387" s="17">
        <v>386</v>
      </c>
      <c r="B387" s="17" t="s">
        <v>664</v>
      </c>
      <c r="C387" s="17">
        <v>2022444658</v>
      </c>
      <c r="D387" s="17">
        <v>2201010334</v>
      </c>
      <c r="E387" s="17" t="s">
        <v>1808</v>
      </c>
      <c r="F387" s="17" t="e">
        <f>VLOOKUP(C387,'Fast Track '!B:C,2,FALSE)</f>
        <v>#N/A</v>
      </c>
      <c r="G387" s="17" t="s">
        <v>3707</v>
      </c>
      <c r="H387" s="17" t="s">
        <v>665</v>
      </c>
      <c r="I387" s="17" t="str">
        <f>VLOOKUP(D387,Sheet1!E:K,6,FALSE)</f>
        <v>7081066123</v>
      </c>
      <c r="J387" s="17" t="s">
        <v>15</v>
      </c>
      <c r="K387" s="37" t="s">
        <v>3644</v>
      </c>
      <c r="L387" t="s">
        <v>3656</v>
      </c>
    </row>
    <row r="388" spans="1:12">
      <c r="A388" s="17">
        <v>387</v>
      </c>
      <c r="B388" s="17" t="s">
        <v>672</v>
      </c>
      <c r="C388" s="17">
        <v>2022540866</v>
      </c>
      <c r="D388" s="17">
        <v>2201010382</v>
      </c>
      <c r="E388" s="17" t="s">
        <v>1808</v>
      </c>
      <c r="F388" s="17" t="e">
        <f>VLOOKUP(C388,'Fast Track '!B:C,2,FALSE)</f>
        <v>#N/A</v>
      </c>
      <c r="G388" s="17" t="s">
        <v>3707</v>
      </c>
      <c r="H388" s="17" t="s">
        <v>673</v>
      </c>
      <c r="I388" s="17" t="str">
        <f>VLOOKUP(D388,Sheet1!E:K,6,FALSE)</f>
        <v>9102569677</v>
      </c>
      <c r="J388" s="17" t="s">
        <v>15</v>
      </c>
      <c r="K388" s="37" t="s">
        <v>3644</v>
      </c>
      <c r="L388" t="s">
        <v>3656</v>
      </c>
    </row>
    <row r="389" spans="1:12">
      <c r="A389" s="17">
        <v>388</v>
      </c>
      <c r="B389" s="17" t="s">
        <v>703</v>
      </c>
      <c r="C389" s="17">
        <v>2022309654</v>
      </c>
      <c r="D389" s="17">
        <v>2201010383</v>
      </c>
      <c r="E389" s="17" t="s">
        <v>1808</v>
      </c>
      <c r="F389" s="17" t="e">
        <f>VLOOKUP(C389,'Fast Track '!B:C,2,FALSE)</f>
        <v>#N/A</v>
      </c>
      <c r="G389" s="17" t="s">
        <v>3707</v>
      </c>
      <c r="H389" s="17" t="s">
        <v>704</v>
      </c>
      <c r="I389" s="17" t="str">
        <f>VLOOKUP(D389,Sheet1!E:K,6,FALSE)</f>
        <v>7644063616</v>
      </c>
      <c r="J389" s="17" t="s">
        <v>15</v>
      </c>
      <c r="K389" s="37" t="s">
        <v>3644</v>
      </c>
      <c r="L389" t="s">
        <v>3656</v>
      </c>
    </row>
    <row r="390" spans="1:12">
      <c r="A390" s="17">
        <v>389</v>
      </c>
      <c r="B390" s="17" t="s">
        <v>763</v>
      </c>
      <c r="C390" s="17">
        <v>2022505407</v>
      </c>
      <c r="D390" s="17">
        <v>2201010387</v>
      </c>
      <c r="E390" s="17" t="s">
        <v>1808</v>
      </c>
      <c r="F390" s="17" t="e">
        <f>VLOOKUP(C390,'Fast Track '!B:C,2,FALSE)</f>
        <v>#N/A</v>
      </c>
      <c r="G390" s="17" t="s">
        <v>3707</v>
      </c>
      <c r="H390" s="17" t="s">
        <v>764</v>
      </c>
      <c r="I390" s="17" t="str">
        <f>VLOOKUP(D390,Sheet1!E:K,6,FALSE)</f>
        <v>8986447723</v>
      </c>
      <c r="J390" s="17" t="s">
        <v>15</v>
      </c>
      <c r="K390" s="37" t="s">
        <v>3644</v>
      </c>
      <c r="L390" t="s">
        <v>3656</v>
      </c>
    </row>
    <row r="391" spans="1:12">
      <c r="A391" s="17">
        <v>390</v>
      </c>
      <c r="B391" s="17" t="s">
        <v>745</v>
      </c>
      <c r="C391" s="17">
        <v>2022832103</v>
      </c>
      <c r="D391" s="17">
        <v>2201010413</v>
      </c>
      <c r="E391" s="17" t="s">
        <v>1808</v>
      </c>
      <c r="F391" s="17" t="e">
        <f>VLOOKUP(C391,'Fast Track '!B:C,2,FALSE)</f>
        <v>#N/A</v>
      </c>
      <c r="G391" s="17" t="s">
        <v>3707</v>
      </c>
      <c r="H391" s="17" t="s">
        <v>746</v>
      </c>
      <c r="I391" s="17" t="str">
        <f>VLOOKUP(D391,Sheet1!E:K,6,FALSE)</f>
        <v>966 504144013</v>
      </c>
      <c r="J391" s="17" t="s">
        <v>15</v>
      </c>
      <c r="K391" s="37" t="s">
        <v>3644</v>
      </c>
      <c r="L391" t="s">
        <v>3656</v>
      </c>
    </row>
    <row r="392" spans="1:12">
      <c r="A392" s="17">
        <v>391</v>
      </c>
      <c r="B392" s="17" t="s">
        <v>668</v>
      </c>
      <c r="C392" s="17">
        <v>2022005063</v>
      </c>
      <c r="D392" s="17">
        <v>2201010420</v>
      </c>
      <c r="E392" s="17" t="s">
        <v>1808</v>
      </c>
      <c r="F392" s="17" t="e">
        <f>VLOOKUP(C392,'Fast Track '!B:C,2,FALSE)</f>
        <v>#N/A</v>
      </c>
      <c r="G392" s="17" t="s">
        <v>3707</v>
      </c>
      <c r="H392" s="17" t="s">
        <v>669</v>
      </c>
      <c r="I392" s="17" t="str">
        <f>VLOOKUP(D392,Sheet1!E:K,6,FALSE)</f>
        <v>8923559251</v>
      </c>
      <c r="J392" s="17" t="s">
        <v>15</v>
      </c>
      <c r="K392" s="37" t="s">
        <v>3644</v>
      </c>
      <c r="L392" t="s">
        <v>3656</v>
      </c>
    </row>
    <row r="393" spans="1:12">
      <c r="A393" s="17">
        <v>392</v>
      </c>
      <c r="B393" s="17" t="s">
        <v>676</v>
      </c>
      <c r="C393" s="17">
        <v>2022447440</v>
      </c>
      <c r="D393" s="17">
        <v>2201010432</v>
      </c>
      <c r="E393" s="17" t="s">
        <v>1808</v>
      </c>
      <c r="F393" s="17" t="e">
        <f>VLOOKUP(C393,'Fast Track '!B:C,2,FALSE)</f>
        <v>#N/A</v>
      </c>
      <c r="G393" s="17" t="s">
        <v>3707</v>
      </c>
      <c r="H393" s="17" t="s">
        <v>677</v>
      </c>
      <c r="I393" s="17" t="str">
        <f>VLOOKUP(D393,Sheet1!E:K,6,FALSE)</f>
        <v>8319379307</v>
      </c>
      <c r="J393" s="17" t="s">
        <v>15</v>
      </c>
      <c r="K393" s="37" t="s">
        <v>3644</v>
      </c>
      <c r="L393" t="s">
        <v>3656</v>
      </c>
    </row>
    <row r="394" spans="1:12">
      <c r="A394" s="17">
        <v>393</v>
      </c>
      <c r="B394" s="17" t="s">
        <v>656</v>
      </c>
      <c r="C394" s="17">
        <v>2022006827</v>
      </c>
      <c r="D394" s="17">
        <v>2201010832</v>
      </c>
      <c r="E394" s="17" t="s">
        <v>1808</v>
      </c>
      <c r="F394" s="17" t="e">
        <f>VLOOKUP(C394,'Fast Track '!B:C,2,FALSE)</f>
        <v>#N/A</v>
      </c>
      <c r="G394" s="17" t="s">
        <v>3707</v>
      </c>
      <c r="H394" s="17" t="s">
        <v>657</v>
      </c>
      <c r="I394" s="17" t="str">
        <f>VLOOKUP(D394,Sheet1!E:K,6,FALSE)</f>
        <v>7739168024</v>
      </c>
      <c r="J394" s="17" t="s">
        <v>15</v>
      </c>
      <c r="K394" s="37" t="s">
        <v>3644</v>
      </c>
      <c r="L394" t="s">
        <v>3656</v>
      </c>
    </row>
    <row r="395" spans="1:12">
      <c r="A395" s="17">
        <v>394</v>
      </c>
      <c r="B395" s="17" t="s">
        <v>687</v>
      </c>
      <c r="C395" s="17">
        <v>2022006845</v>
      </c>
      <c r="D395" s="17">
        <v>2201010833</v>
      </c>
      <c r="E395" s="17" t="s">
        <v>1808</v>
      </c>
      <c r="F395" s="17" t="e">
        <f>VLOOKUP(C395,'Fast Track '!B:C,2,FALSE)</f>
        <v>#N/A</v>
      </c>
      <c r="G395" s="17" t="s">
        <v>3707</v>
      </c>
      <c r="H395" s="17" t="s">
        <v>688</v>
      </c>
      <c r="I395" s="17" t="str">
        <f>VLOOKUP(D395,Sheet1!E:K,6,FALSE)</f>
        <v>9897705302</v>
      </c>
      <c r="J395" s="17" t="s">
        <v>15</v>
      </c>
      <c r="K395" s="37" t="s">
        <v>3644</v>
      </c>
      <c r="L395" t="s">
        <v>3656</v>
      </c>
    </row>
    <row r="396" spans="1:12">
      <c r="A396" s="17">
        <v>395</v>
      </c>
      <c r="B396" s="17" t="s">
        <v>408</v>
      </c>
      <c r="C396" s="17">
        <v>2022005252</v>
      </c>
      <c r="D396" s="17">
        <v>2201010278</v>
      </c>
      <c r="E396" s="17" t="s">
        <v>1808</v>
      </c>
      <c r="F396" s="17" t="e">
        <f>VLOOKUP(C396,'Fast Track '!B:C,2,FALSE)</f>
        <v>#N/A</v>
      </c>
      <c r="G396" s="17" t="s">
        <v>3707</v>
      </c>
      <c r="H396" s="17" t="s">
        <v>409</v>
      </c>
      <c r="I396" s="17" t="str">
        <f>VLOOKUP(D396,Sheet1!E:K,6,FALSE)</f>
        <v>9548484695</v>
      </c>
      <c r="J396" s="17" t="s">
        <v>15</v>
      </c>
      <c r="K396" s="37" t="s">
        <v>3645</v>
      </c>
      <c r="L396" t="s">
        <v>3656</v>
      </c>
    </row>
    <row r="397" spans="1:12">
      <c r="A397" s="17">
        <v>396</v>
      </c>
      <c r="B397" s="17" t="s">
        <v>757</v>
      </c>
      <c r="C397" s="17">
        <v>2022007320</v>
      </c>
      <c r="D397" s="17">
        <v>2201010842</v>
      </c>
      <c r="E397" s="17" t="s">
        <v>1808</v>
      </c>
      <c r="F397" s="17" t="e">
        <f>VLOOKUP(C397,'Fast Track '!B:C,2,FALSE)</f>
        <v>#N/A</v>
      </c>
      <c r="G397" s="17" t="s">
        <v>3707</v>
      </c>
      <c r="H397" s="17" t="s">
        <v>758</v>
      </c>
      <c r="I397" s="17" t="str">
        <f>VLOOKUP(D397,Sheet1!E:K,6,FALSE)</f>
        <v>7563084668</v>
      </c>
      <c r="J397" s="17" t="s">
        <v>15</v>
      </c>
      <c r="K397" s="37" t="s">
        <v>3644</v>
      </c>
      <c r="L397" t="s">
        <v>3656</v>
      </c>
    </row>
    <row r="398" spans="1:12">
      <c r="A398" s="17">
        <v>397</v>
      </c>
      <c r="B398" s="17" t="s">
        <v>674</v>
      </c>
      <c r="C398" s="17">
        <v>2022007438</v>
      </c>
      <c r="D398" s="17">
        <v>2201010848</v>
      </c>
      <c r="E398" s="17" t="s">
        <v>1808</v>
      </c>
      <c r="F398" s="17" t="e">
        <f>VLOOKUP(C398,'Fast Track '!B:C,2,FALSE)</f>
        <v>#N/A</v>
      </c>
      <c r="G398" s="17" t="s">
        <v>3707</v>
      </c>
      <c r="H398" s="17" t="s">
        <v>675</v>
      </c>
      <c r="I398" s="17" t="str">
        <f>VLOOKUP(D398,Sheet1!E:K,6,FALSE)</f>
        <v>9368983852</v>
      </c>
      <c r="J398" s="17" t="s">
        <v>15</v>
      </c>
      <c r="K398" s="37" t="s">
        <v>3644</v>
      </c>
      <c r="L398" t="s">
        <v>3656</v>
      </c>
    </row>
    <row r="399" spans="1:12">
      <c r="A399" s="17">
        <v>398</v>
      </c>
      <c r="B399" s="17" t="s">
        <v>660</v>
      </c>
      <c r="C399" s="17">
        <v>2022007661</v>
      </c>
      <c r="D399" s="17">
        <v>2201010855</v>
      </c>
      <c r="E399" s="17" t="s">
        <v>1808</v>
      </c>
      <c r="F399" s="17" t="e">
        <f>VLOOKUP(C399,'Fast Track '!B:C,2,FALSE)</f>
        <v>#N/A</v>
      </c>
      <c r="G399" s="17" t="s">
        <v>3707</v>
      </c>
      <c r="H399" s="17" t="s">
        <v>661</v>
      </c>
      <c r="I399" s="17" t="str">
        <f>VLOOKUP(D399,Sheet1!E:K,6,FALSE)</f>
        <v>8051118373</v>
      </c>
      <c r="J399" s="17" t="s">
        <v>15</v>
      </c>
      <c r="K399" s="37" t="s">
        <v>3644</v>
      </c>
      <c r="L399" t="s">
        <v>3656</v>
      </c>
    </row>
    <row r="400" spans="1:12">
      <c r="A400" s="17">
        <v>399</v>
      </c>
      <c r="B400" s="17" t="s">
        <v>697</v>
      </c>
      <c r="C400" s="17">
        <v>2022007718</v>
      </c>
      <c r="D400" s="17">
        <v>2201010860</v>
      </c>
      <c r="E400" s="17" t="s">
        <v>1808</v>
      </c>
      <c r="F400" s="17" t="e">
        <f>VLOOKUP(C400,'Fast Track '!B:C,2,FALSE)</f>
        <v>#N/A</v>
      </c>
      <c r="G400" s="17" t="s">
        <v>3707</v>
      </c>
      <c r="H400" s="17" t="s">
        <v>698</v>
      </c>
      <c r="I400" s="17" t="str">
        <f>VLOOKUP(D400,Sheet1!E:K,6,FALSE)</f>
        <v>9034293489</v>
      </c>
      <c r="J400" s="17" t="s">
        <v>15</v>
      </c>
      <c r="K400" s="37" t="s">
        <v>3644</v>
      </c>
      <c r="L400" t="s">
        <v>3656</v>
      </c>
    </row>
    <row r="401" spans="1:12">
      <c r="A401" s="17">
        <v>400</v>
      </c>
      <c r="B401" s="17" t="s">
        <v>761</v>
      </c>
      <c r="C401" s="17">
        <v>2022364256</v>
      </c>
      <c r="D401" s="17">
        <v>2201010869</v>
      </c>
      <c r="E401" s="17" t="s">
        <v>1808</v>
      </c>
      <c r="F401" s="17" t="e">
        <f>VLOOKUP(C401,'Fast Track '!B:C,2,FALSE)</f>
        <v>#N/A</v>
      </c>
      <c r="G401" s="17" t="s">
        <v>3707</v>
      </c>
      <c r="H401" s="17" t="s">
        <v>762</v>
      </c>
      <c r="I401" s="17" t="str">
        <f>VLOOKUP(D401,Sheet1!E:K,6,FALSE)</f>
        <v>9990700671</v>
      </c>
      <c r="J401" s="17" t="s">
        <v>15</v>
      </c>
      <c r="K401" s="37" t="s">
        <v>3644</v>
      </c>
      <c r="L401" t="s">
        <v>3656</v>
      </c>
    </row>
    <row r="402" spans="1:12">
      <c r="A402" s="17">
        <v>401</v>
      </c>
      <c r="B402" s="17" t="s">
        <v>666</v>
      </c>
      <c r="C402" s="17">
        <v>2022594458</v>
      </c>
      <c r="D402" s="17">
        <v>2201010892</v>
      </c>
      <c r="E402" s="17" t="s">
        <v>1808</v>
      </c>
      <c r="F402" s="17" t="e">
        <f>VLOOKUP(C402,'Fast Track '!B:C,2,FALSE)</f>
        <v>#N/A</v>
      </c>
      <c r="G402" s="17" t="s">
        <v>3707</v>
      </c>
      <c r="H402" s="17" t="s">
        <v>667</v>
      </c>
      <c r="I402" s="17" t="str">
        <f>VLOOKUP(D402,Sheet1!E:K,6,FALSE)</f>
        <v>6201156707</v>
      </c>
      <c r="J402" s="17" t="s">
        <v>15</v>
      </c>
      <c r="K402" s="37" t="s">
        <v>3644</v>
      </c>
      <c r="L402" t="s">
        <v>3656</v>
      </c>
    </row>
    <row r="403" spans="1:12">
      <c r="A403" s="17">
        <v>402</v>
      </c>
      <c r="B403" s="17" t="s">
        <v>1373</v>
      </c>
      <c r="C403" s="17">
        <v>2023503067</v>
      </c>
      <c r="D403" s="17">
        <v>2301017006</v>
      </c>
      <c r="E403" s="17" t="s">
        <v>1808</v>
      </c>
      <c r="F403" s="17" t="e">
        <f>VLOOKUP(C403,'Fast Track '!B:C,2,FALSE)</f>
        <v>#N/A</v>
      </c>
      <c r="G403" s="17" t="s">
        <v>3707</v>
      </c>
      <c r="H403" s="17" t="s">
        <v>1374</v>
      </c>
      <c r="I403" s="17" t="str">
        <f>VLOOKUP(D403,Sheet1!E:K,6,FALSE)</f>
        <v>7683936276</v>
      </c>
      <c r="J403" s="17" t="s">
        <v>15</v>
      </c>
      <c r="K403" s="37" t="s">
        <v>3644</v>
      </c>
      <c r="L403" t="s">
        <v>3656</v>
      </c>
    </row>
    <row r="404" spans="1:12">
      <c r="A404" s="17">
        <v>403</v>
      </c>
      <c r="B404" s="17" t="s">
        <v>791</v>
      </c>
      <c r="C404" s="17">
        <v>2021316862</v>
      </c>
      <c r="D404" s="17">
        <v>210101007</v>
      </c>
      <c r="E404" s="17" t="s">
        <v>1809</v>
      </c>
      <c r="F404" s="17" t="e">
        <f>VLOOKUP(C404,'Fast Track '!B:C,2,FALSE)</f>
        <v>#N/A</v>
      </c>
      <c r="G404" s="17" t="s">
        <v>3707</v>
      </c>
      <c r="H404" s="17" t="s">
        <v>792</v>
      </c>
      <c r="I404" s="17" t="str">
        <f>VLOOKUP(C404,Sheet1!D:J,7,FALSE)</f>
        <v>8630390567</v>
      </c>
      <c r="J404" s="17" t="s">
        <v>15</v>
      </c>
      <c r="K404" s="37" t="s">
        <v>3645</v>
      </c>
      <c r="L404" t="s">
        <v>3657</v>
      </c>
    </row>
    <row r="405" spans="1:12">
      <c r="A405" s="17">
        <v>404</v>
      </c>
      <c r="B405" s="17" t="s">
        <v>789</v>
      </c>
      <c r="C405" s="17">
        <v>2021301933</v>
      </c>
      <c r="D405" s="17">
        <v>210101058</v>
      </c>
      <c r="E405" s="17" t="s">
        <v>1809</v>
      </c>
      <c r="F405" s="17" t="e">
        <f>VLOOKUP(C405,'Fast Track '!B:C,2,FALSE)</f>
        <v>#N/A</v>
      </c>
      <c r="G405" s="17" t="s">
        <v>3707</v>
      </c>
      <c r="H405" s="17" t="s">
        <v>790</v>
      </c>
      <c r="I405" s="17" t="str">
        <f>VLOOKUP(C405,Sheet1!D:J,7,FALSE)</f>
        <v>8899972039</v>
      </c>
      <c r="J405" s="17" t="s">
        <v>15</v>
      </c>
      <c r="K405" s="37" t="s">
        <v>3645</v>
      </c>
      <c r="L405" t="s">
        <v>3657</v>
      </c>
    </row>
    <row r="406" spans="1:12">
      <c r="A406" s="17">
        <v>405</v>
      </c>
      <c r="B406" s="17" t="s">
        <v>795</v>
      </c>
      <c r="C406" s="17">
        <v>2021373068</v>
      </c>
      <c r="D406" s="17">
        <v>210101077</v>
      </c>
      <c r="E406" s="17" t="s">
        <v>1809</v>
      </c>
      <c r="F406" s="17" t="e">
        <f>VLOOKUP(C406,'Fast Track '!B:C,2,FALSE)</f>
        <v>#N/A</v>
      </c>
      <c r="G406" s="17" t="s">
        <v>3707</v>
      </c>
      <c r="H406" s="17" t="s">
        <v>796</v>
      </c>
      <c r="I406" s="17" t="str">
        <f>VLOOKUP(C406,Sheet1!D:J,7,FALSE)</f>
        <v>9991288569</v>
      </c>
      <c r="J406" s="17" t="s">
        <v>15</v>
      </c>
      <c r="K406" s="37" t="s">
        <v>3645</v>
      </c>
      <c r="L406" t="s">
        <v>3657</v>
      </c>
    </row>
    <row r="407" spans="1:12">
      <c r="A407" s="17">
        <v>406</v>
      </c>
      <c r="B407" s="17" t="s">
        <v>797</v>
      </c>
      <c r="C407" s="17">
        <v>2021396844</v>
      </c>
      <c r="D407" s="17">
        <v>210101170</v>
      </c>
      <c r="E407" s="17" t="s">
        <v>1809</v>
      </c>
      <c r="F407" s="17" t="e">
        <f>VLOOKUP(C407,'Fast Track '!B:C,2,FALSE)</f>
        <v>#N/A</v>
      </c>
      <c r="G407" s="17" t="s">
        <v>3707</v>
      </c>
      <c r="H407" s="17" t="s">
        <v>798</v>
      </c>
      <c r="I407" s="17" t="str">
        <f>VLOOKUP(C407,Sheet1!D:J,7,FALSE)</f>
        <v>8630448878</v>
      </c>
      <c r="J407" s="17" t="s">
        <v>15</v>
      </c>
      <c r="K407" s="37" t="s">
        <v>3645</v>
      </c>
      <c r="L407" t="s">
        <v>3657</v>
      </c>
    </row>
    <row r="408" spans="1:12">
      <c r="A408" s="17">
        <v>407</v>
      </c>
      <c r="B408" s="17" t="s">
        <v>803</v>
      </c>
      <c r="C408" s="17">
        <v>2021447448</v>
      </c>
      <c r="D408" s="17">
        <v>210101223</v>
      </c>
      <c r="E408" s="17" t="s">
        <v>1809</v>
      </c>
      <c r="F408" s="17" t="e">
        <f>VLOOKUP(C408,'Fast Track '!B:C,2,FALSE)</f>
        <v>#N/A</v>
      </c>
      <c r="G408" s="17" t="s">
        <v>3707</v>
      </c>
      <c r="H408" s="17" t="s">
        <v>804</v>
      </c>
      <c r="I408" s="17" t="str">
        <f>VLOOKUP(C408,Sheet1!D:J,7,FALSE)</f>
        <v>8368539536</v>
      </c>
      <c r="J408" s="17" t="s">
        <v>15</v>
      </c>
      <c r="K408" s="37" t="s">
        <v>3645</v>
      </c>
      <c r="L408" t="s">
        <v>3657</v>
      </c>
    </row>
    <row r="409" spans="1:12">
      <c r="A409" s="17">
        <v>408</v>
      </c>
      <c r="B409" s="17" t="s">
        <v>799</v>
      </c>
      <c r="C409" s="17">
        <v>2021428834</v>
      </c>
      <c r="D409" s="17">
        <v>210101239</v>
      </c>
      <c r="E409" s="17" t="s">
        <v>1809</v>
      </c>
      <c r="F409" s="17" t="e">
        <f>VLOOKUP(C409,'Fast Track '!B:C,2,FALSE)</f>
        <v>#N/A</v>
      </c>
      <c r="G409" s="17" t="s">
        <v>3707</v>
      </c>
      <c r="H409" s="17" t="s">
        <v>800</v>
      </c>
      <c r="I409" s="17" t="str">
        <f>VLOOKUP(C409,Sheet1!D:J,7,FALSE)</f>
        <v>9012402604</v>
      </c>
      <c r="J409" s="17" t="s">
        <v>15</v>
      </c>
      <c r="K409" s="37" t="s">
        <v>3645</v>
      </c>
      <c r="L409" t="s">
        <v>3657</v>
      </c>
    </row>
    <row r="410" spans="1:12">
      <c r="A410" s="17">
        <v>409</v>
      </c>
      <c r="B410" s="17" t="s">
        <v>801</v>
      </c>
      <c r="C410" s="17">
        <v>2021446146</v>
      </c>
      <c r="D410" s="17">
        <v>210101241</v>
      </c>
      <c r="E410" s="17" t="s">
        <v>1809</v>
      </c>
      <c r="F410" s="17" t="e">
        <f>VLOOKUP(C410,'Fast Track '!B:C,2,FALSE)</f>
        <v>#N/A</v>
      </c>
      <c r="G410" s="17" t="s">
        <v>3707</v>
      </c>
      <c r="H410" s="17" t="s">
        <v>802</v>
      </c>
      <c r="I410" s="17" t="str">
        <f>VLOOKUP(C410,Sheet1!D:J,7,FALSE)</f>
        <v>8860341621</v>
      </c>
      <c r="J410" s="17" t="s">
        <v>15</v>
      </c>
      <c r="K410" s="37" t="s">
        <v>3645</v>
      </c>
      <c r="L410" t="s">
        <v>3657</v>
      </c>
    </row>
    <row r="411" spans="1:12">
      <c r="A411" s="17">
        <v>410</v>
      </c>
      <c r="B411" s="17" t="s">
        <v>805</v>
      </c>
      <c r="C411" s="17">
        <v>2021474998</v>
      </c>
      <c r="D411" s="17">
        <v>210101366</v>
      </c>
      <c r="E411" s="17" t="s">
        <v>1809</v>
      </c>
      <c r="F411" s="17" t="e">
        <f>VLOOKUP(C411,'Fast Track '!B:C,2,FALSE)</f>
        <v>#N/A</v>
      </c>
      <c r="G411" s="17" t="s">
        <v>3707</v>
      </c>
      <c r="H411" s="17" t="s">
        <v>806</v>
      </c>
      <c r="I411" s="17" t="str">
        <f>VLOOKUP(C411,Sheet1!D:J,7,FALSE)</f>
        <v>6204449635</v>
      </c>
      <c r="J411" s="17" t="s">
        <v>15</v>
      </c>
      <c r="K411" s="37" t="s">
        <v>3645</v>
      </c>
      <c r="L411" t="s">
        <v>3657</v>
      </c>
    </row>
    <row r="412" spans="1:12">
      <c r="A412" s="17">
        <v>411</v>
      </c>
      <c r="B412" s="17" t="s">
        <v>179</v>
      </c>
      <c r="C412" s="17">
        <v>2022303213</v>
      </c>
      <c r="D412" s="17">
        <v>2201010472</v>
      </c>
      <c r="E412" s="17" t="s">
        <v>1809</v>
      </c>
      <c r="F412" s="17" t="e">
        <f>VLOOKUP(C412,'Fast Track '!B:C,2,FALSE)</f>
        <v>#N/A</v>
      </c>
      <c r="G412" s="17" t="s">
        <v>3707</v>
      </c>
      <c r="H412" s="17" t="s">
        <v>180</v>
      </c>
      <c r="I412" s="17" t="str">
        <f>VLOOKUP(D412,Sheet1!E:K,6,FALSE)</f>
        <v>8972061400</v>
      </c>
      <c r="J412" s="17" t="s">
        <v>15</v>
      </c>
      <c r="K412" s="37" t="s">
        <v>3644</v>
      </c>
      <c r="L412" t="s">
        <v>3657</v>
      </c>
    </row>
    <row r="413" spans="1:12">
      <c r="A413" s="17">
        <v>412</v>
      </c>
      <c r="B413" s="17" t="s">
        <v>814</v>
      </c>
      <c r="C413" s="17">
        <v>2022005321</v>
      </c>
      <c r="D413" s="17">
        <v>2201010051</v>
      </c>
      <c r="E413" s="17" t="s">
        <v>1809</v>
      </c>
      <c r="F413" s="17" t="e">
        <f>VLOOKUP(C413,'Fast Track '!B:C,2,FALSE)</f>
        <v>#N/A</v>
      </c>
      <c r="G413" s="17" t="s">
        <v>3707</v>
      </c>
      <c r="H413" s="17" t="s">
        <v>815</v>
      </c>
      <c r="I413" s="17" t="str">
        <f>VLOOKUP(C413,Sheet1!D:J,7,FALSE)</f>
        <v>9625310230</v>
      </c>
      <c r="J413" s="17" t="s">
        <v>15</v>
      </c>
      <c r="K413" s="37" t="s">
        <v>3645</v>
      </c>
      <c r="L413" t="s">
        <v>3657</v>
      </c>
    </row>
    <row r="414" spans="1:12">
      <c r="A414" s="17">
        <v>413</v>
      </c>
      <c r="B414" s="17" t="s">
        <v>84</v>
      </c>
      <c r="C414" s="17">
        <v>2022473379</v>
      </c>
      <c r="D414" s="17">
        <v>2201010070</v>
      </c>
      <c r="E414" s="17" t="s">
        <v>1809</v>
      </c>
      <c r="F414" s="17" t="e">
        <f>VLOOKUP(C414,'Fast Track '!B:C,2,FALSE)</f>
        <v>#N/A</v>
      </c>
      <c r="G414" s="17" t="s">
        <v>3707</v>
      </c>
      <c r="H414" s="17" t="s">
        <v>85</v>
      </c>
      <c r="I414" s="17" t="str">
        <f>VLOOKUP(C414,Sheet1!D:J,7,FALSE)</f>
        <v>9031242786</v>
      </c>
      <c r="J414" s="17" t="s">
        <v>15</v>
      </c>
      <c r="K414" s="37" t="s">
        <v>3645</v>
      </c>
      <c r="L414" t="s">
        <v>3657</v>
      </c>
    </row>
    <row r="415" spans="1:12">
      <c r="A415" s="17">
        <v>414</v>
      </c>
      <c r="B415" s="17" t="s">
        <v>41</v>
      </c>
      <c r="C415" s="17">
        <v>2022006171</v>
      </c>
      <c r="D415" s="17">
        <v>2201010101</v>
      </c>
      <c r="E415" s="17" t="s">
        <v>1809</v>
      </c>
      <c r="F415" s="17" t="e">
        <f>VLOOKUP(C415,'Fast Track '!B:C,2,FALSE)</f>
        <v>#N/A</v>
      </c>
      <c r="G415" s="17" t="s">
        <v>3707</v>
      </c>
      <c r="H415" s="17" t="s">
        <v>42</v>
      </c>
      <c r="I415" s="17" t="str">
        <f>VLOOKUP(C415,Sheet1!D:J,7,FALSE)</f>
        <v>8368460852</v>
      </c>
      <c r="J415" s="17" t="s">
        <v>15</v>
      </c>
      <c r="K415" s="37" t="s">
        <v>3645</v>
      </c>
      <c r="L415" t="s">
        <v>3657</v>
      </c>
    </row>
    <row r="416" spans="1:12">
      <c r="A416" s="17">
        <v>415</v>
      </c>
      <c r="B416" s="17" t="s">
        <v>100</v>
      </c>
      <c r="C416" s="17">
        <v>2022502414</v>
      </c>
      <c r="D416" s="17">
        <v>2201010132</v>
      </c>
      <c r="E416" s="17" t="s">
        <v>1809</v>
      </c>
      <c r="F416" s="17" t="e">
        <f>VLOOKUP(C416,'Fast Track '!B:C,2,FALSE)</f>
        <v>#N/A</v>
      </c>
      <c r="G416" s="17" t="s">
        <v>3707</v>
      </c>
      <c r="H416" s="17" t="s">
        <v>101</v>
      </c>
      <c r="I416" s="17" t="str">
        <f>VLOOKUP(C416,Sheet1!D:J,7,FALSE)</f>
        <v>8850205691</v>
      </c>
      <c r="J416" s="17" t="s">
        <v>15</v>
      </c>
      <c r="K416" s="37" t="s">
        <v>3645</v>
      </c>
      <c r="L416" t="s">
        <v>3657</v>
      </c>
    </row>
    <row r="417" spans="1:12">
      <c r="A417" s="17">
        <v>416</v>
      </c>
      <c r="B417" s="17" t="s">
        <v>47</v>
      </c>
      <c r="C417" s="17">
        <v>2022329124</v>
      </c>
      <c r="D417" s="17">
        <v>2201010138</v>
      </c>
      <c r="E417" s="17" t="s">
        <v>1809</v>
      </c>
      <c r="F417" s="17" t="e">
        <f>VLOOKUP(C417,'Fast Track '!B:C,2,FALSE)</f>
        <v>#N/A</v>
      </c>
      <c r="G417" s="17" t="s">
        <v>3707</v>
      </c>
      <c r="H417" s="17" t="s">
        <v>48</v>
      </c>
      <c r="I417" s="17" t="str">
        <f>VLOOKUP(C417,Sheet1!D:J,7,FALSE)</f>
        <v>8755465044</v>
      </c>
      <c r="J417" s="17" t="s">
        <v>15</v>
      </c>
      <c r="K417" s="37" t="s">
        <v>3645</v>
      </c>
      <c r="L417" t="s">
        <v>3657</v>
      </c>
    </row>
    <row r="418" spans="1:12">
      <c r="A418" s="17">
        <v>417</v>
      </c>
      <c r="B418" s="17" t="s">
        <v>785</v>
      </c>
      <c r="C418" s="17">
        <v>2022557408</v>
      </c>
      <c r="D418" s="17">
        <v>2201010176</v>
      </c>
      <c r="E418" s="17" t="s">
        <v>1809</v>
      </c>
      <c r="F418" s="17" t="e">
        <f>VLOOKUP(C418,'Fast Track '!B:C,2,FALSE)</f>
        <v>#N/A</v>
      </c>
      <c r="G418" s="17" t="s">
        <v>3707</v>
      </c>
      <c r="H418" s="17" t="s">
        <v>786</v>
      </c>
      <c r="I418" s="17" t="str">
        <f>VLOOKUP(C418,Sheet1!D:J,7,FALSE)</f>
        <v>9999771597</v>
      </c>
      <c r="J418" s="17" t="s">
        <v>15</v>
      </c>
      <c r="K418" s="37" t="s">
        <v>3645</v>
      </c>
      <c r="L418" t="s">
        <v>3657</v>
      </c>
    </row>
    <row r="419" spans="1:12">
      <c r="A419" s="17">
        <v>418</v>
      </c>
      <c r="B419" s="17" t="s">
        <v>118</v>
      </c>
      <c r="C419" s="17">
        <v>2022535159</v>
      </c>
      <c r="D419" s="17">
        <v>2201010197</v>
      </c>
      <c r="E419" s="17" t="s">
        <v>1809</v>
      </c>
      <c r="F419" s="17" t="e">
        <f>VLOOKUP(C419,'Fast Track '!B:C,2,FALSE)</f>
        <v>#N/A</v>
      </c>
      <c r="G419" s="17" t="s">
        <v>3707</v>
      </c>
      <c r="H419" s="17" t="s">
        <v>119</v>
      </c>
      <c r="I419" s="17" t="str">
        <f>VLOOKUP(C419,Sheet1!D:J,7,FALSE)</f>
        <v>9812003005</v>
      </c>
      <c r="J419" s="17" t="s">
        <v>15</v>
      </c>
      <c r="K419" s="37" t="s">
        <v>3645</v>
      </c>
      <c r="L419" t="s">
        <v>3657</v>
      </c>
    </row>
    <row r="420" spans="1:12">
      <c r="A420" s="17">
        <v>419</v>
      </c>
      <c r="B420" s="17" t="s">
        <v>27</v>
      </c>
      <c r="C420" s="17">
        <v>2022003043</v>
      </c>
      <c r="D420" s="17">
        <v>2201010209</v>
      </c>
      <c r="E420" s="17" t="s">
        <v>1809</v>
      </c>
      <c r="F420" s="17" t="e">
        <f>VLOOKUP(C420,'Fast Track '!B:C,2,FALSE)</f>
        <v>#N/A</v>
      </c>
      <c r="G420" s="17" t="s">
        <v>3707</v>
      </c>
      <c r="H420" s="17" t="s">
        <v>28</v>
      </c>
      <c r="I420" s="17" t="str">
        <f>VLOOKUP(C420,Sheet1!D:J,7,FALSE)</f>
        <v>8630225086</v>
      </c>
      <c r="J420" s="17" t="s">
        <v>15</v>
      </c>
      <c r="K420" s="37" t="s">
        <v>3645</v>
      </c>
      <c r="L420" t="s">
        <v>3657</v>
      </c>
    </row>
    <row r="421" spans="1:12">
      <c r="A421" s="17">
        <v>420</v>
      </c>
      <c r="B421" s="17" t="s">
        <v>102</v>
      </c>
      <c r="C421" s="17">
        <v>2022505448</v>
      </c>
      <c r="D421" s="17">
        <v>2201010283</v>
      </c>
      <c r="E421" s="17" t="s">
        <v>1809</v>
      </c>
      <c r="F421" s="17" t="e">
        <f>VLOOKUP(C421,'Fast Track '!B:C,2,FALSE)</f>
        <v>#N/A</v>
      </c>
      <c r="G421" s="17" t="s">
        <v>3707</v>
      </c>
      <c r="H421" s="17" t="s">
        <v>103</v>
      </c>
      <c r="I421" s="17" t="str">
        <f>VLOOKUP(C421,Sheet1!D:J,7,FALSE)</f>
        <v>7017959380</v>
      </c>
      <c r="J421" s="17" t="s">
        <v>15</v>
      </c>
      <c r="K421" s="37" t="s">
        <v>3645</v>
      </c>
      <c r="L421" t="s">
        <v>3657</v>
      </c>
    </row>
    <row r="422" spans="1:12">
      <c r="A422" s="17">
        <v>421</v>
      </c>
      <c r="B422" s="17" t="s">
        <v>24</v>
      </c>
      <c r="C422" s="17">
        <v>2022002824</v>
      </c>
      <c r="D422" s="17">
        <v>2201010327</v>
      </c>
      <c r="E422" s="17" t="s">
        <v>1809</v>
      </c>
      <c r="F422" s="17" t="e">
        <f>VLOOKUP(C422,'Fast Track '!B:C,2,FALSE)</f>
        <v>#N/A</v>
      </c>
      <c r="G422" s="17" t="s">
        <v>3707</v>
      </c>
      <c r="H422" s="17" t="s">
        <v>25</v>
      </c>
      <c r="I422" s="17" t="str">
        <f>VLOOKUP(C422,Sheet1!D:J,7,FALSE)</f>
        <v>7011620274</v>
      </c>
      <c r="J422" s="17" t="s">
        <v>15</v>
      </c>
      <c r="K422" s="37" t="s">
        <v>3645</v>
      </c>
      <c r="L422" t="s">
        <v>3657</v>
      </c>
    </row>
    <row r="423" spans="1:12">
      <c r="A423" s="17">
        <v>422</v>
      </c>
      <c r="B423" s="17" t="s">
        <v>33</v>
      </c>
      <c r="C423" s="17">
        <v>2022004161</v>
      </c>
      <c r="D423" s="17">
        <v>2201010362</v>
      </c>
      <c r="E423" s="17" t="s">
        <v>1809</v>
      </c>
      <c r="F423" s="17" t="e">
        <f>VLOOKUP(C423,'Fast Track '!B:C,2,FALSE)</f>
        <v>#N/A</v>
      </c>
      <c r="G423" s="17" t="s">
        <v>3707</v>
      </c>
      <c r="H423" s="17" t="s">
        <v>34</v>
      </c>
      <c r="I423" s="17" t="str">
        <f>VLOOKUP(C423,Sheet1!D:J,7,FALSE)</f>
        <v>6396324650</v>
      </c>
      <c r="J423" s="17" t="s">
        <v>15</v>
      </c>
      <c r="K423" s="37" t="s">
        <v>3645</v>
      </c>
      <c r="L423" t="s">
        <v>3657</v>
      </c>
    </row>
    <row r="424" spans="1:12">
      <c r="A424" s="17">
        <v>423</v>
      </c>
      <c r="B424" s="17" t="s">
        <v>107</v>
      </c>
      <c r="C424" s="17">
        <v>2022506809</v>
      </c>
      <c r="D424" s="17">
        <v>2201010364</v>
      </c>
      <c r="E424" s="17" t="s">
        <v>1809</v>
      </c>
      <c r="F424" s="17" t="e">
        <f>VLOOKUP(C424,'Fast Track '!B:C,2,FALSE)</f>
        <v>#N/A</v>
      </c>
      <c r="G424" s="17" t="s">
        <v>3707</v>
      </c>
      <c r="H424" s="17" t="s">
        <v>108</v>
      </c>
      <c r="I424" s="17" t="str">
        <f>VLOOKUP(C424,Sheet1!D:J,7,FALSE)</f>
        <v>9667523633</v>
      </c>
      <c r="J424" s="17" t="s">
        <v>15</v>
      </c>
      <c r="K424" s="37" t="s">
        <v>3645</v>
      </c>
      <c r="L424" t="s">
        <v>3657</v>
      </c>
    </row>
    <row r="425" spans="1:12">
      <c r="A425" s="17">
        <v>424</v>
      </c>
      <c r="B425" s="17" t="s">
        <v>86</v>
      </c>
      <c r="C425" s="17">
        <v>2022482796</v>
      </c>
      <c r="D425" s="17">
        <v>2201010433</v>
      </c>
      <c r="E425" s="17" t="s">
        <v>1809</v>
      </c>
      <c r="F425" s="17" t="e">
        <f>VLOOKUP(C425,'Fast Track '!B:C,2,FALSE)</f>
        <v>#N/A</v>
      </c>
      <c r="G425" s="17" t="s">
        <v>3707</v>
      </c>
      <c r="H425" s="17" t="s">
        <v>87</v>
      </c>
      <c r="I425" s="17" t="str">
        <f>VLOOKUP(C425,Sheet1!D:J,7,FALSE)</f>
        <v>8126978333</v>
      </c>
      <c r="J425" s="17" t="s">
        <v>15</v>
      </c>
      <c r="K425" s="37" t="s">
        <v>3645</v>
      </c>
      <c r="L425" t="s">
        <v>3657</v>
      </c>
    </row>
    <row r="426" spans="1:12">
      <c r="A426" s="17">
        <v>425</v>
      </c>
      <c r="B426" s="17" t="s">
        <v>94</v>
      </c>
      <c r="C426" s="17">
        <v>2022495153</v>
      </c>
      <c r="D426" s="17">
        <v>2201010685</v>
      </c>
      <c r="E426" s="17" t="s">
        <v>1809</v>
      </c>
      <c r="F426" s="17" t="e">
        <f>VLOOKUP(C426,'Fast Track '!B:C,2,FALSE)</f>
        <v>#N/A</v>
      </c>
      <c r="G426" s="17" t="s">
        <v>3707</v>
      </c>
      <c r="H426" s="17" t="s">
        <v>95</v>
      </c>
      <c r="I426" s="17" t="str">
        <f>VLOOKUP(C426,Sheet1!D:J,7,FALSE)</f>
        <v>9260956206</v>
      </c>
      <c r="J426" s="17" t="s">
        <v>15</v>
      </c>
      <c r="K426" s="37" t="s">
        <v>3645</v>
      </c>
      <c r="L426" t="s">
        <v>3657</v>
      </c>
    </row>
    <row r="427" spans="1:12">
      <c r="A427" s="17">
        <v>426</v>
      </c>
      <c r="B427" s="17" t="s">
        <v>120</v>
      </c>
      <c r="C427" s="17">
        <v>2022543079</v>
      </c>
      <c r="D427" s="17">
        <v>2201010735</v>
      </c>
      <c r="E427" s="17" t="s">
        <v>1809</v>
      </c>
      <c r="F427" s="17" t="e">
        <f>VLOOKUP(C427,'Fast Track '!B:C,2,FALSE)</f>
        <v>#N/A</v>
      </c>
      <c r="G427" s="17" t="s">
        <v>3707</v>
      </c>
      <c r="H427" s="17" t="s">
        <v>121</v>
      </c>
      <c r="I427" s="17" t="str">
        <f>VLOOKUP(C427,Sheet1!D:J,7,FALSE)</f>
        <v>8287941372</v>
      </c>
      <c r="J427" s="17" t="s">
        <v>15</v>
      </c>
      <c r="K427" s="37" t="s">
        <v>3645</v>
      </c>
      <c r="L427" t="s">
        <v>3657</v>
      </c>
    </row>
    <row r="428" spans="1:12">
      <c r="A428" s="17">
        <v>427</v>
      </c>
      <c r="B428" s="17" t="s">
        <v>39</v>
      </c>
      <c r="C428" s="17">
        <v>2022005697</v>
      </c>
      <c r="D428" s="17">
        <v>2201010754</v>
      </c>
      <c r="E428" s="17" t="s">
        <v>1809</v>
      </c>
      <c r="F428" s="17" t="e">
        <f>VLOOKUP(C428,'Fast Track '!B:C,2,FALSE)</f>
        <v>#N/A</v>
      </c>
      <c r="G428" s="17" t="s">
        <v>3707</v>
      </c>
      <c r="H428" s="17" t="s">
        <v>40</v>
      </c>
      <c r="I428" s="17" t="str">
        <f>VLOOKUP(C428,Sheet1!D:J,7,FALSE)</f>
        <v>9867931067</v>
      </c>
      <c r="J428" s="17" t="s">
        <v>15</v>
      </c>
      <c r="K428" s="37" t="s">
        <v>3645</v>
      </c>
      <c r="L428" t="s">
        <v>3657</v>
      </c>
    </row>
    <row r="429" spans="1:12">
      <c r="A429" s="17">
        <v>428</v>
      </c>
      <c r="B429" s="17" t="s">
        <v>78</v>
      </c>
      <c r="C429" s="17">
        <v>2022439020</v>
      </c>
      <c r="D429" s="17">
        <v>2201010780</v>
      </c>
      <c r="E429" s="17" t="s">
        <v>1809</v>
      </c>
      <c r="F429" s="17" t="e">
        <f>VLOOKUP(C429,'Fast Track '!B:C,2,FALSE)</f>
        <v>#N/A</v>
      </c>
      <c r="G429" s="17" t="s">
        <v>3707</v>
      </c>
      <c r="H429" s="17" t="s">
        <v>79</v>
      </c>
      <c r="I429" s="17" t="str">
        <f>VLOOKUP(C429,Sheet1!D:J,7,FALSE)</f>
        <v>9971284298</v>
      </c>
      <c r="J429" s="17" t="s">
        <v>15</v>
      </c>
      <c r="K429" s="37" t="s">
        <v>3645</v>
      </c>
      <c r="L429" t="s">
        <v>3657</v>
      </c>
    </row>
    <row r="430" spans="1:12">
      <c r="A430" s="17">
        <v>429</v>
      </c>
      <c r="B430" s="17" t="s">
        <v>43</v>
      </c>
      <c r="C430" s="17">
        <v>2022007449</v>
      </c>
      <c r="D430" s="17">
        <v>2201010849</v>
      </c>
      <c r="E430" s="17" t="s">
        <v>1809</v>
      </c>
      <c r="F430" s="17" t="e">
        <f>VLOOKUP(C430,'Fast Track '!B:C,2,FALSE)</f>
        <v>#N/A</v>
      </c>
      <c r="G430" s="17" t="s">
        <v>3707</v>
      </c>
      <c r="H430" s="17" t="s">
        <v>44</v>
      </c>
      <c r="I430" s="17" t="str">
        <f>VLOOKUP(C430,Sheet1!D:J,7,FALSE)</f>
        <v>9366242126</v>
      </c>
      <c r="J430" s="17" t="s">
        <v>15</v>
      </c>
      <c r="K430" s="37" t="s">
        <v>3645</v>
      </c>
      <c r="L430" t="s">
        <v>3657</v>
      </c>
    </row>
    <row r="431" spans="1:12">
      <c r="A431" s="17">
        <v>430</v>
      </c>
      <c r="B431" s="17" t="s">
        <v>56</v>
      </c>
      <c r="C431" s="17">
        <v>2022369268</v>
      </c>
      <c r="D431" s="17">
        <v>2201010870</v>
      </c>
      <c r="E431" s="17" t="s">
        <v>1809</v>
      </c>
      <c r="F431" s="17" t="e">
        <f>VLOOKUP(C431,'Fast Track '!B:C,2,FALSE)</f>
        <v>#N/A</v>
      </c>
      <c r="G431" s="17" t="s">
        <v>3707</v>
      </c>
      <c r="H431" s="17" t="s">
        <v>57</v>
      </c>
      <c r="I431" s="17" t="str">
        <f>VLOOKUP(C431,Sheet1!D:J,7,FALSE)</f>
        <v>6005823801</v>
      </c>
      <c r="J431" s="17" t="s">
        <v>15</v>
      </c>
      <c r="K431" s="37" t="s">
        <v>3645</v>
      </c>
      <c r="L431" t="s">
        <v>3657</v>
      </c>
    </row>
    <row r="432" spans="1:12">
      <c r="A432" s="17">
        <v>431</v>
      </c>
      <c r="B432" s="17" t="s">
        <v>115</v>
      </c>
      <c r="C432" s="17">
        <v>2022528998</v>
      </c>
      <c r="D432" s="17">
        <v>2201010876</v>
      </c>
      <c r="E432" s="17" t="s">
        <v>1809</v>
      </c>
      <c r="F432" s="17" t="e">
        <f>VLOOKUP(C432,'Fast Track '!B:C,2,FALSE)</f>
        <v>#N/A</v>
      </c>
      <c r="G432" s="17" t="s">
        <v>3707</v>
      </c>
      <c r="H432" s="17" t="s">
        <v>116</v>
      </c>
      <c r="I432" s="17" t="str">
        <f>VLOOKUP(C432,Sheet1!D:J,7,FALSE)</f>
        <v>9142324099</v>
      </c>
      <c r="J432" s="17" t="s">
        <v>15</v>
      </c>
      <c r="K432" s="37" t="s">
        <v>3645</v>
      </c>
      <c r="L432" t="s">
        <v>3657</v>
      </c>
    </row>
    <row r="433" spans="1:12">
      <c r="A433" s="17">
        <v>432</v>
      </c>
      <c r="B433" s="17" t="s">
        <v>807</v>
      </c>
      <c r="C433" s="17">
        <v>2021482470</v>
      </c>
      <c r="D433" s="17">
        <v>210101376</v>
      </c>
      <c r="E433" s="17" t="s">
        <v>1809</v>
      </c>
      <c r="F433" s="17" t="e">
        <f>VLOOKUP(C433,'Fast Track '!B:C,2,FALSE)</f>
        <v>#N/A</v>
      </c>
      <c r="G433" s="17" t="s">
        <v>3707</v>
      </c>
      <c r="H433" s="17" t="s">
        <v>808</v>
      </c>
      <c r="I433" s="17" t="str">
        <f>VLOOKUP(C433,Sheet1!D:J,7,FALSE)</f>
        <v>6370261378</v>
      </c>
      <c r="J433" s="17" t="s">
        <v>15</v>
      </c>
      <c r="K433" s="37" t="s">
        <v>3644</v>
      </c>
      <c r="L433" t="s">
        <v>3657</v>
      </c>
    </row>
    <row r="434" spans="1:12">
      <c r="A434" s="17">
        <v>433</v>
      </c>
      <c r="B434" s="17" t="s">
        <v>227</v>
      </c>
      <c r="C434" s="17">
        <v>2022567112</v>
      </c>
      <c r="D434" s="17">
        <v>2201010071</v>
      </c>
      <c r="E434" s="17" t="s">
        <v>1809</v>
      </c>
      <c r="F434" s="17" t="e">
        <f>VLOOKUP(C434,'Fast Track '!B:C,2,FALSE)</f>
        <v>#N/A</v>
      </c>
      <c r="G434" s="17" t="s">
        <v>3707</v>
      </c>
      <c r="H434" s="17" t="s">
        <v>228</v>
      </c>
      <c r="I434" s="17" t="str">
        <f>VLOOKUP(C434,Sheet1!D:J,7,FALSE)</f>
        <v>9142316341</v>
      </c>
      <c r="J434" s="17" t="s">
        <v>15</v>
      </c>
      <c r="K434" s="37" t="s">
        <v>3644</v>
      </c>
      <c r="L434" t="s">
        <v>3657</v>
      </c>
    </row>
    <row r="435" spans="1:12">
      <c r="A435" s="17">
        <v>434</v>
      </c>
      <c r="B435" s="17" t="s">
        <v>150</v>
      </c>
      <c r="C435" s="17">
        <v>2022006152</v>
      </c>
      <c r="D435" s="17">
        <v>2201010075</v>
      </c>
      <c r="E435" s="17" t="s">
        <v>1809</v>
      </c>
      <c r="F435" s="17" t="e">
        <f>VLOOKUP(C435,'Fast Track '!B:C,2,FALSE)</f>
        <v>#N/A</v>
      </c>
      <c r="G435" s="17" t="s">
        <v>3707</v>
      </c>
      <c r="H435" s="17" t="s">
        <v>151</v>
      </c>
      <c r="I435" s="17" t="str">
        <f>VLOOKUP(C435,Sheet1!D:J,7,FALSE)</f>
        <v>9654088144</v>
      </c>
      <c r="J435" s="17" t="s">
        <v>15</v>
      </c>
      <c r="K435" s="37" t="s">
        <v>3644</v>
      </c>
      <c r="L435" t="s">
        <v>3657</v>
      </c>
    </row>
    <row r="436" spans="1:12">
      <c r="A436" s="17">
        <v>435</v>
      </c>
      <c r="B436" s="17" t="s">
        <v>160</v>
      </c>
      <c r="C436" s="17">
        <v>2022006654</v>
      </c>
      <c r="D436" s="17">
        <v>2201010088</v>
      </c>
      <c r="E436" s="17" t="s">
        <v>1809</v>
      </c>
      <c r="F436" s="17" t="e">
        <f>VLOOKUP(C436,'Fast Track '!B:C,2,FALSE)</f>
        <v>#N/A</v>
      </c>
      <c r="G436" s="17" t="s">
        <v>3707</v>
      </c>
      <c r="H436" s="17" t="s">
        <v>161</v>
      </c>
      <c r="I436" s="17" t="str">
        <f>VLOOKUP(C436,Sheet1!D:J,7,FALSE)</f>
        <v>9667127584</v>
      </c>
      <c r="J436" s="17" t="s">
        <v>15</v>
      </c>
      <c r="K436" s="37" t="s">
        <v>3644</v>
      </c>
      <c r="L436" t="s">
        <v>3657</v>
      </c>
    </row>
    <row r="437" spans="1:12">
      <c r="A437" s="17">
        <v>436</v>
      </c>
      <c r="B437" s="17" t="s">
        <v>154</v>
      </c>
      <c r="C437" s="17">
        <v>2022006318</v>
      </c>
      <c r="D437" s="17">
        <v>2201010126</v>
      </c>
      <c r="E437" s="17" t="s">
        <v>1809</v>
      </c>
      <c r="F437" s="17" t="e">
        <f>VLOOKUP(C437,'Fast Track '!B:C,2,FALSE)</f>
        <v>#N/A</v>
      </c>
      <c r="G437" s="17" t="s">
        <v>3707</v>
      </c>
      <c r="H437" s="17" t="s">
        <v>155</v>
      </c>
      <c r="I437" s="17" t="str">
        <f>VLOOKUP(C437,Sheet1!D:J,7,FALSE)</f>
        <v>9289882117</v>
      </c>
      <c r="J437" s="17" t="s">
        <v>15</v>
      </c>
      <c r="K437" s="37" t="s">
        <v>3644</v>
      </c>
      <c r="L437" t="s">
        <v>3657</v>
      </c>
    </row>
    <row r="438" spans="1:12">
      <c r="A438" s="17">
        <v>437</v>
      </c>
      <c r="B438" s="17" t="s">
        <v>618</v>
      </c>
      <c r="C438" s="17">
        <v>2022002822</v>
      </c>
      <c r="D438" s="17">
        <v>2201010272</v>
      </c>
      <c r="E438" s="17" t="s">
        <v>1809</v>
      </c>
      <c r="F438" s="17" t="e">
        <f>VLOOKUP(C438,'Fast Track '!B:C,2,FALSE)</f>
        <v>#N/A</v>
      </c>
      <c r="G438" s="17" t="s">
        <v>3707</v>
      </c>
      <c r="H438" s="17" t="s">
        <v>811</v>
      </c>
      <c r="I438" s="17" t="str">
        <f>VLOOKUP(C438,Sheet1!D:J,7,FALSE)</f>
        <v>6395061345</v>
      </c>
      <c r="J438" s="17" t="s">
        <v>15</v>
      </c>
      <c r="K438" s="37" t="s">
        <v>3644</v>
      </c>
      <c r="L438" t="s">
        <v>3657</v>
      </c>
    </row>
    <row r="439" spans="1:12">
      <c r="A439" s="17">
        <v>438</v>
      </c>
      <c r="B439" s="17" t="s">
        <v>241</v>
      </c>
      <c r="C439" s="17">
        <v>2022819221</v>
      </c>
      <c r="D439" s="17">
        <v>2201010307</v>
      </c>
      <c r="E439" s="17" t="s">
        <v>1809</v>
      </c>
      <c r="F439" s="17" t="e">
        <f>VLOOKUP(C439,'Fast Track '!B:C,2,FALSE)</f>
        <v>#N/A</v>
      </c>
      <c r="G439" s="17" t="s">
        <v>3707</v>
      </c>
      <c r="H439" s="17" t="s">
        <v>242</v>
      </c>
      <c r="I439" s="17" t="str">
        <f>VLOOKUP(C439,Sheet1!D:J,7,FALSE)</f>
        <v>91 7011069348</v>
      </c>
      <c r="J439" s="17" t="s">
        <v>15</v>
      </c>
      <c r="K439" s="37" t="s">
        <v>3644</v>
      </c>
      <c r="L439" t="s">
        <v>3657</v>
      </c>
    </row>
    <row r="440" spans="1:12">
      <c r="A440" s="17">
        <v>439</v>
      </c>
      <c r="B440" s="17" t="s">
        <v>253</v>
      </c>
      <c r="C440" s="17">
        <v>2022834589</v>
      </c>
      <c r="D440" s="17">
        <v>2201010444</v>
      </c>
      <c r="E440" s="17" t="s">
        <v>1809</v>
      </c>
      <c r="F440" s="17" t="e">
        <f>VLOOKUP(C440,'Fast Track '!B:C,2,FALSE)</f>
        <v>#N/A</v>
      </c>
      <c r="G440" s="17" t="s">
        <v>3707</v>
      </c>
      <c r="H440" s="17" t="s">
        <v>254</v>
      </c>
      <c r="I440" s="17" t="str">
        <f>VLOOKUP(C440,Sheet1!D:J,7,FALSE)</f>
        <v>977 9824256171</v>
      </c>
      <c r="J440" s="17" t="s">
        <v>15</v>
      </c>
      <c r="K440" s="37" t="s">
        <v>3644</v>
      </c>
      <c r="L440" t="s">
        <v>3657</v>
      </c>
    </row>
    <row r="441" spans="1:12">
      <c r="A441" s="17">
        <v>440</v>
      </c>
      <c r="B441" s="17" t="s">
        <v>193</v>
      </c>
      <c r="C441" s="17">
        <v>2022443535</v>
      </c>
      <c r="D441" s="17">
        <v>2201010451</v>
      </c>
      <c r="E441" s="17" t="s">
        <v>1809</v>
      </c>
      <c r="F441" s="17" t="e">
        <f>VLOOKUP(C441,'Fast Track '!B:C,2,FALSE)</f>
        <v>#N/A</v>
      </c>
      <c r="G441" s="17" t="s">
        <v>3707</v>
      </c>
      <c r="H441" s="17" t="s">
        <v>194</v>
      </c>
      <c r="I441" s="17" t="str">
        <f>VLOOKUP(C441,Sheet1!D:J,7,FALSE)</f>
        <v>9336394829</v>
      </c>
      <c r="J441" s="17" t="s">
        <v>15</v>
      </c>
      <c r="K441" s="37" t="s">
        <v>3644</v>
      </c>
      <c r="L441" t="s">
        <v>3657</v>
      </c>
    </row>
    <row r="442" spans="1:12">
      <c r="A442" s="17">
        <v>441</v>
      </c>
      <c r="B442" s="17" t="s">
        <v>209</v>
      </c>
      <c r="C442" s="17">
        <v>2022503208</v>
      </c>
      <c r="D442" s="17">
        <v>2201010453</v>
      </c>
      <c r="E442" s="17" t="s">
        <v>1809</v>
      </c>
      <c r="F442" s="17" t="e">
        <f>VLOOKUP(C442,'Fast Track '!B:C,2,FALSE)</f>
        <v>#N/A</v>
      </c>
      <c r="G442" s="17" t="s">
        <v>3707</v>
      </c>
      <c r="H442" s="17" t="s">
        <v>210</v>
      </c>
      <c r="I442" s="17" t="str">
        <f>VLOOKUP(C442,Sheet1!D:J,7,FALSE)</f>
        <v>8587023411</v>
      </c>
      <c r="J442" s="17" t="s">
        <v>15</v>
      </c>
      <c r="K442" s="37" t="s">
        <v>3644</v>
      </c>
      <c r="L442" t="s">
        <v>3657</v>
      </c>
    </row>
    <row r="443" spans="1:12">
      <c r="A443" s="17">
        <v>442</v>
      </c>
      <c r="B443" s="17" t="s">
        <v>145</v>
      </c>
      <c r="C443" s="17">
        <v>2022559563</v>
      </c>
      <c r="D443" s="17">
        <v>2201010495</v>
      </c>
      <c r="E443" s="17" t="s">
        <v>1809</v>
      </c>
      <c r="F443" s="17" t="e">
        <f>VLOOKUP(C443,'Fast Track '!B:C,2,FALSE)</f>
        <v>#N/A</v>
      </c>
      <c r="G443" s="17" t="s">
        <v>3707</v>
      </c>
      <c r="H443" s="17" t="s">
        <v>146</v>
      </c>
      <c r="I443" s="17" t="str">
        <f>VLOOKUP(C443,Sheet1!D:J,7,FALSE)</f>
        <v>9548745734</v>
      </c>
      <c r="J443" s="17" t="s">
        <v>15</v>
      </c>
      <c r="K443" s="37" t="s">
        <v>3644</v>
      </c>
      <c r="L443" t="s">
        <v>3657</v>
      </c>
    </row>
    <row r="444" spans="1:12">
      <c r="A444" s="17">
        <v>443</v>
      </c>
      <c r="B444" s="17" t="s">
        <v>181</v>
      </c>
      <c r="C444" s="17">
        <v>2022304804</v>
      </c>
      <c r="D444" s="17">
        <v>2201010534</v>
      </c>
      <c r="E444" s="17" t="s">
        <v>1809</v>
      </c>
      <c r="F444" s="17" t="e">
        <f>VLOOKUP(C444,'Fast Track '!B:C,2,FALSE)</f>
        <v>#N/A</v>
      </c>
      <c r="G444" s="17" t="s">
        <v>3707</v>
      </c>
      <c r="H444" s="17" t="s">
        <v>182</v>
      </c>
      <c r="I444" s="17" t="str">
        <f>VLOOKUP(C444,Sheet1!D:J,7,FALSE)</f>
        <v>9076913494</v>
      </c>
      <c r="J444" s="17" t="s">
        <v>15</v>
      </c>
      <c r="K444" s="37" t="s">
        <v>3644</v>
      </c>
      <c r="L444" t="s">
        <v>3657</v>
      </c>
    </row>
    <row r="445" spans="1:12">
      <c r="A445" s="17">
        <v>444</v>
      </c>
      <c r="B445" s="17" t="s">
        <v>156</v>
      </c>
      <c r="C445" s="17">
        <v>2022006437</v>
      </c>
      <c r="D445" s="17">
        <v>2201010536</v>
      </c>
      <c r="E445" s="17" t="s">
        <v>1809</v>
      </c>
      <c r="F445" s="17" t="e">
        <f>VLOOKUP(C445,'Fast Track '!B:C,2,FALSE)</f>
        <v>#N/A</v>
      </c>
      <c r="G445" s="17" t="s">
        <v>3707</v>
      </c>
      <c r="H445" s="17" t="s">
        <v>157</v>
      </c>
      <c r="I445" s="17" t="str">
        <f>VLOOKUP(C445,Sheet1!D:J,7,FALSE)</f>
        <v>8377044082</v>
      </c>
      <c r="J445" s="17" t="s">
        <v>15</v>
      </c>
      <c r="K445" s="37" t="s">
        <v>3644</v>
      </c>
      <c r="L445" t="s">
        <v>3657</v>
      </c>
    </row>
    <row r="446" spans="1:12">
      <c r="A446" s="17">
        <v>445</v>
      </c>
      <c r="B446" s="17" t="s">
        <v>205</v>
      </c>
      <c r="C446" s="17">
        <v>2022502123</v>
      </c>
      <c r="D446" s="17">
        <v>2201010541</v>
      </c>
      <c r="E446" s="17" t="s">
        <v>1809</v>
      </c>
      <c r="F446" s="17" t="e">
        <f>VLOOKUP(C446,'Fast Track '!B:C,2,FALSE)</f>
        <v>#N/A</v>
      </c>
      <c r="G446" s="17" t="s">
        <v>3707</v>
      </c>
      <c r="H446" s="17" t="s">
        <v>206</v>
      </c>
      <c r="I446" s="17" t="str">
        <f>VLOOKUP(C446,Sheet1!D:J,7,FALSE)</f>
        <v>7295035144</v>
      </c>
      <c r="J446" s="17" t="s">
        <v>15</v>
      </c>
      <c r="K446" s="37" t="s">
        <v>3644</v>
      </c>
      <c r="L446" t="s">
        <v>3657</v>
      </c>
    </row>
    <row r="447" spans="1:12">
      <c r="A447" s="17">
        <v>446</v>
      </c>
      <c r="B447" s="17" t="s">
        <v>215</v>
      </c>
      <c r="C447" s="17">
        <v>2022554897</v>
      </c>
      <c r="D447" s="17">
        <v>2201010562</v>
      </c>
      <c r="E447" s="17" t="s">
        <v>1809</v>
      </c>
      <c r="F447" s="17" t="e">
        <f>VLOOKUP(C447,'Fast Track '!B:C,2,FALSE)</f>
        <v>#N/A</v>
      </c>
      <c r="G447" s="17" t="s">
        <v>3707</v>
      </c>
      <c r="H447" s="17" t="s">
        <v>216</v>
      </c>
      <c r="I447" s="17" t="str">
        <f>VLOOKUP(C447,Sheet1!D:J,7,FALSE)</f>
        <v>9693985964</v>
      </c>
      <c r="J447" s="17" t="s">
        <v>15</v>
      </c>
      <c r="K447" s="37" t="s">
        <v>3644</v>
      </c>
      <c r="L447" t="s">
        <v>3657</v>
      </c>
    </row>
    <row r="448" spans="1:12">
      <c r="A448" s="17">
        <v>447</v>
      </c>
      <c r="B448" s="17" t="s">
        <v>133</v>
      </c>
      <c r="C448" s="17">
        <v>2022006859</v>
      </c>
      <c r="D448" s="17">
        <v>2201010563</v>
      </c>
      <c r="E448" s="17" t="s">
        <v>1809</v>
      </c>
      <c r="F448" s="17" t="e">
        <f>VLOOKUP(C448,'Fast Track '!B:C,2,FALSE)</f>
        <v>#N/A</v>
      </c>
      <c r="G448" s="17" t="s">
        <v>3707</v>
      </c>
      <c r="H448" s="17" t="s">
        <v>134</v>
      </c>
      <c r="I448" s="17" t="str">
        <f>VLOOKUP(C448,Sheet1!D:J,7,FALSE)</f>
        <v>9821056602</v>
      </c>
      <c r="J448" s="17" t="s">
        <v>15</v>
      </c>
      <c r="K448" s="37" t="s">
        <v>3644</v>
      </c>
      <c r="L448" t="s">
        <v>3657</v>
      </c>
    </row>
    <row r="449" spans="1:12">
      <c r="A449" s="17">
        <v>448</v>
      </c>
      <c r="B449" s="17" t="s">
        <v>183</v>
      </c>
      <c r="C449" s="17">
        <v>2022317952</v>
      </c>
      <c r="D449" s="17">
        <v>2201010587</v>
      </c>
      <c r="E449" s="17" t="s">
        <v>1809</v>
      </c>
      <c r="F449" s="17" t="e">
        <f>VLOOKUP(C449,'Fast Track '!B:C,2,FALSE)</f>
        <v>#N/A</v>
      </c>
      <c r="G449" s="17" t="s">
        <v>3707</v>
      </c>
      <c r="H449" s="17" t="s">
        <v>184</v>
      </c>
      <c r="I449" s="17" t="str">
        <f>VLOOKUP(C449,Sheet1!D:J,7,FALSE)</f>
        <v>9667869832</v>
      </c>
      <c r="J449" s="17" t="s">
        <v>15</v>
      </c>
      <c r="K449" s="37" t="s">
        <v>3644</v>
      </c>
      <c r="L449" t="s">
        <v>3657</v>
      </c>
    </row>
    <row r="450" spans="1:12">
      <c r="A450" s="17">
        <v>449</v>
      </c>
      <c r="B450" s="17" t="s">
        <v>199</v>
      </c>
      <c r="C450" s="17">
        <v>2022483390</v>
      </c>
      <c r="D450" s="17">
        <v>2201010595</v>
      </c>
      <c r="E450" s="17" t="s">
        <v>1809</v>
      </c>
      <c r="F450" s="17" t="e">
        <f>VLOOKUP(C450,'Fast Track '!B:C,2,FALSE)</f>
        <v>#N/A</v>
      </c>
      <c r="G450" s="17" t="s">
        <v>3707</v>
      </c>
      <c r="H450" s="17" t="s">
        <v>200</v>
      </c>
      <c r="I450" s="17" t="str">
        <f>VLOOKUP(C450,Sheet1!D:J,7,FALSE)</f>
        <v>7061826795</v>
      </c>
      <c r="J450" s="17" t="s">
        <v>15</v>
      </c>
      <c r="K450" s="37" t="s">
        <v>3644</v>
      </c>
      <c r="L450" t="s">
        <v>3657</v>
      </c>
    </row>
    <row r="451" spans="1:12">
      <c r="A451" s="17">
        <v>450</v>
      </c>
      <c r="B451" s="17" t="s">
        <v>221</v>
      </c>
      <c r="C451" s="17">
        <v>2022558819</v>
      </c>
      <c r="D451" s="17">
        <v>2201010621</v>
      </c>
      <c r="E451" s="17" t="s">
        <v>1809</v>
      </c>
      <c r="F451" s="17" t="e">
        <f>VLOOKUP(C451,'Fast Track '!B:C,2,FALSE)</f>
        <v>#N/A</v>
      </c>
      <c r="G451" s="17" t="s">
        <v>3707</v>
      </c>
      <c r="H451" s="17" t="s">
        <v>222</v>
      </c>
      <c r="I451" s="17" t="str">
        <f>VLOOKUP(C451,Sheet1!D:J,7,FALSE)</f>
        <v>8252799984</v>
      </c>
      <c r="J451" s="17" t="s">
        <v>15</v>
      </c>
      <c r="K451" s="37" t="s">
        <v>3644</v>
      </c>
      <c r="L451" t="s">
        <v>3657</v>
      </c>
    </row>
    <row r="452" spans="1:12">
      <c r="A452" s="17">
        <v>451</v>
      </c>
      <c r="B452" s="17" t="s">
        <v>243</v>
      </c>
      <c r="C452" s="17">
        <v>2022820996</v>
      </c>
      <c r="D452" s="17">
        <v>2201010647</v>
      </c>
      <c r="E452" s="17" t="s">
        <v>1809</v>
      </c>
      <c r="F452" s="17" t="e">
        <f>VLOOKUP(C452,'Fast Track '!B:C,2,FALSE)</f>
        <v>#N/A</v>
      </c>
      <c r="G452" s="17" t="s">
        <v>3707</v>
      </c>
      <c r="H452" s="17" t="s">
        <v>244</v>
      </c>
      <c r="I452" s="17" t="str">
        <f>VLOOKUP(C452,Sheet1!D:J,7,FALSE)</f>
        <v>8595197137</v>
      </c>
      <c r="J452" s="17" t="s">
        <v>15</v>
      </c>
      <c r="K452" s="37" t="s">
        <v>3644</v>
      </c>
      <c r="L452" t="s">
        <v>3657</v>
      </c>
    </row>
    <row r="453" spans="1:12">
      <c r="A453" s="17">
        <v>452</v>
      </c>
      <c r="B453" s="17" t="s">
        <v>259</v>
      </c>
      <c r="C453" s="17">
        <v>2022468330</v>
      </c>
      <c r="D453" s="17">
        <v>2201010670</v>
      </c>
      <c r="E453" s="17" t="s">
        <v>1809</v>
      </c>
      <c r="F453" s="17" t="e">
        <f>VLOOKUP(C453,'Fast Track '!B:C,2,FALSE)</f>
        <v>#N/A</v>
      </c>
      <c r="G453" s="17" t="s">
        <v>3707</v>
      </c>
      <c r="H453" s="17" t="s">
        <v>260</v>
      </c>
      <c r="I453" s="17" t="str">
        <f>VLOOKUP(C453,Sheet1!D:J,7,FALSE)</f>
        <v>7982564713</v>
      </c>
      <c r="J453" s="17" t="s">
        <v>15</v>
      </c>
      <c r="K453" s="37" t="s">
        <v>3644</v>
      </c>
      <c r="L453" t="s">
        <v>3657</v>
      </c>
    </row>
    <row r="454" spans="1:12">
      <c r="A454" s="17">
        <v>453</v>
      </c>
      <c r="B454" s="17" t="s">
        <v>168</v>
      </c>
      <c r="C454" s="17">
        <v>2022006890</v>
      </c>
      <c r="D454" s="17">
        <v>2201010686</v>
      </c>
      <c r="E454" s="17" t="s">
        <v>1809</v>
      </c>
      <c r="F454" s="17" t="e">
        <f>VLOOKUP(C454,'Fast Track '!B:C,2,FALSE)</f>
        <v>#N/A</v>
      </c>
      <c r="G454" s="17" t="s">
        <v>3707</v>
      </c>
      <c r="H454" s="59" t="s">
        <v>169</v>
      </c>
      <c r="I454" s="17" t="str">
        <f>VLOOKUP(C454,Sheet1!D:J,7,FALSE)</f>
        <v>7905342875</v>
      </c>
      <c r="J454" s="17" t="s">
        <v>15</v>
      </c>
      <c r="K454" s="37" t="s">
        <v>3644</v>
      </c>
      <c r="L454" t="s">
        <v>3657</v>
      </c>
    </row>
    <row r="455" spans="1:12">
      <c r="A455" s="17">
        <v>454</v>
      </c>
      <c r="B455" s="17" t="s">
        <v>223</v>
      </c>
      <c r="C455" s="17">
        <v>2022559432</v>
      </c>
      <c r="D455" s="17">
        <v>2201010689</v>
      </c>
      <c r="E455" s="17" t="s">
        <v>1809</v>
      </c>
      <c r="F455" s="17" t="e">
        <f>VLOOKUP(C455,'Fast Track '!B:C,2,FALSE)</f>
        <v>#N/A</v>
      </c>
      <c r="G455" s="17" t="s">
        <v>3707</v>
      </c>
      <c r="H455" s="59" t="s">
        <v>224</v>
      </c>
      <c r="I455" s="17" t="str">
        <f>VLOOKUP(C455,Sheet1!D:J,7,FALSE)</f>
        <v>6263994974</v>
      </c>
      <c r="J455" s="17" t="s">
        <v>15</v>
      </c>
      <c r="K455" s="37" t="s">
        <v>3644</v>
      </c>
      <c r="L455" t="s">
        <v>3657</v>
      </c>
    </row>
    <row r="456" spans="1:12">
      <c r="A456" s="17">
        <v>455</v>
      </c>
      <c r="B456" s="17" t="s">
        <v>187</v>
      </c>
      <c r="C456" s="17">
        <v>2022403475</v>
      </c>
      <c r="D456" s="17">
        <v>2201010726</v>
      </c>
      <c r="E456" s="17" t="s">
        <v>1809</v>
      </c>
      <c r="F456" s="17" t="e">
        <f>VLOOKUP(C456,'Fast Track '!B:C,2,FALSE)</f>
        <v>#N/A</v>
      </c>
      <c r="G456" s="17" t="s">
        <v>3707</v>
      </c>
      <c r="H456" s="17" t="s">
        <v>188</v>
      </c>
      <c r="I456" s="17" t="str">
        <f>VLOOKUP(C456,Sheet1!D:J,7,FALSE)</f>
        <v>8433363676</v>
      </c>
      <c r="J456" s="17" t="s">
        <v>15</v>
      </c>
      <c r="K456" s="37" t="s">
        <v>3644</v>
      </c>
      <c r="L456" t="s">
        <v>3657</v>
      </c>
    </row>
    <row r="457" spans="1:12">
      <c r="A457" s="17">
        <v>456</v>
      </c>
      <c r="B457" s="17" t="s">
        <v>147</v>
      </c>
      <c r="C457" s="17">
        <v>2022003841</v>
      </c>
      <c r="D457" s="17">
        <v>2201010798</v>
      </c>
      <c r="E457" s="17" t="s">
        <v>1809</v>
      </c>
      <c r="F457" s="17" t="e">
        <f>VLOOKUP(C457,'Fast Track '!B:C,2,FALSE)</f>
        <v>#N/A</v>
      </c>
      <c r="G457" s="17" t="s">
        <v>3707</v>
      </c>
      <c r="H457" s="17" t="s">
        <v>148</v>
      </c>
      <c r="I457" s="17" t="str">
        <f>VLOOKUP(C457,Sheet1!D:J,7,FALSE)</f>
        <v>9368863746</v>
      </c>
      <c r="J457" s="17" t="s">
        <v>15</v>
      </c>
      <c r="K457" s="37" t="s">
        <v>3644</v>
      </c>
      <c r="L457" t="s">
        <v>3657</v>
      </c>
    </row>
    <row r="458" spans="1:12">
      <c r="A458" s="17">
        <v>457</v>
      </c>
      <c r="B458" s="17" t="s">
        <v>170</v>
      </c>
      <c r="C458" s="17">
        <v>2022007179</v>
      </c>
      <c r="D458" s="17">
        <v>2201010836</v>
      </c>
      <c r="E458" s="17" t="s">
        <v>1809</v>
      </c>
      <c r="F458" s="17" t="e">
        <f>VLOOKUP(C458,'Fast Track '!B:C,2,FALSE)</f>
        <v>#N/A</v>
      </c>
      <c r="G458" s="17" t="s">
        <v>3707</v>
      </c>
      <c r="H458" s="17" t="s">
        <v>171</v>
      </c>
      <c r="I458" s="17" t="str">
        <f>VLOOKUP(C458,Sheet1!D:J,7,FALSE)</f>
        <v>8076487808</v>
      </c>
      <c r="J458" s="17" t="s">
        <v>15</v>
      </c>
      <c r="K458" s="37" t="s">
        <v>3644</v>
      </c>
      <c r="L458" t="s">
        <v>3657</v>
      </c>
    </row>
    <row r="459" spans="1:12">
      <c r="A459" s="17">
        <v>458</v>
      </c>
      <c r="B459" s="17" t="s">
        <v>177</v>
      </c>
      <c r="C459" s="17">
        <v>2022007635</v>
      </c>
      <c r="D459" s="17">
        <v>2201010854</v>
      </c>
      <c r="E459" s="17" t="s">
        <v>1809</v>
      </c>
      <c r="F459" s="17" t="e">
        <f>VLOOKUP(C459,'Fast Track '!B:C,2,FALSE)</f>
        <v>#N/A</v>
      </c>
      <c r="G459" s="17" t="s">
        <v>3707</v>
      </c>
      <c r="H459" s="17" t="s">
        <v>178</v>
      </c>
      <c r="I459" s="17">
        <f>VLOOKUP(C459,Sheet1!D:J,7,FALSE)</f>
        <v>0</v>
      </c>
      <c r="J459" s="17" t="s">
        <v>15</v>
      </c>
      <c r="K459" s="37" t="s">
        <v>3644</v>
      </c>
      <c r="L459" t="s">
        <v>3657</v>
      </c>
    </row>
    <row r="460" spans="1:12">
      <c r="A460" s="17">
        <v>459</v>
      </c>
      <c r="B460" s="17" t="s">
        <v>203</v>
      </c>
      <c r="C460" s="17">
        <v>2022485674</v>
      </c>
      <c r="D460" s="17">
        <v>2201010872</v>
      </c>
      <c r="E460" s="17" t="s">
        <v>1809</v>
      </c>
      <c r="F460" s="17" t="e">
        <f>VLOOKUP(C460,'Fast Track '!B:C,2,FALSE)</f>
        <v>#N/A</v>
      </c>
      <c r="G460" s="17" t="s">
        <v>3707</v>
      </c>
      <c r="H460" s="17" t="s">
        <v>204</v>
      </c>
      <c r="I460" s="17" t="str">
        <f>VLOOKUP(C460,Sheet1!D:J,7,FALSE)</f>
        <v>6204937729</v>
      </c>
      <c r="J460" s="17" t="s">
        <v>15</v>
      </c>
      <c r="K460" s="37" t="s">
        <v>3644</v>
      </c>
      <c r="L460" t="s">
        <v>3657</v>
      </c>
    </row>
    <row r="461" spans="1:12">
      <c r="A461" s="17">
        <v>460</v>
      </c>
      <c r="B461" s="17" t="s">
        <v>257</v>
      </c>
      <c r="C461" s="17">
        <v>2022593768</v>
      </c>
      <c r="D461" s="17">
        <v>2201010891</v>
      </c>
      <c r="E461" s="17" t="s">
        <v>1809</v>
      </c>
      <c r="F461" s="17" t="e">
        <f>VLOOKUP(C461,'Fast Track '!B:C,2,FALSE)</f>
        <v>#N/A</v>
      </c>
      <c r="G461" s="17" t="s">
        <v>3707</v>
      </c>
      <c r="H461" s="17" t="s">
        <v>258</v>
      </c>
      <c r="I461" s="17" t="str">
        <f>VLOOKUP(C461,Sheet1!D:J,7,FALSE)</f>
        <v>7207263026</v>
      </c>
      <c r="J461" s="17"/>
      <c r="K461" s="37" t="s">
        <v>3644</v>
      </c>
      <c r="L461" t="s">
        <v>3657</v>
      </c>
    </row>
    <row r="462" spans="1:12">
      <c r="A462" s="17">
        <v>461</v>
      </c>
      <c r="B462" s="17" t="s">
        <v>237</v>
      </c>
      <c r="C462" s="17">
        <v>2022624445</v>
      </c>
      <c r="D462" s="17">
        <v>2201010906</v>
      </c>
      <c r="E462" s="17" t="s">
        <v>1809</v>
      </c>
      <c r="F462" s="17" t="e">
        <f>VLOOKUP(C462,'Fast Track '!B:C,2,FALSE)</f>
        <v>#N/A</v>
      </c>
      <c r="G462" s="17" t="s">
        <v>3707</v>
      </c>
      <c r="H462" s="17" t="s">
        <v>238</v>
      </c>
      <c r="I462" s="17" t="str">
        <f>VLOOKUP(C462,Sheet1!D:J,7,FALSE)</f>
        <v>9572408902</v>
      </c>
      <c r="J462" s="17"/>
      <c r="K462" s="37" t="s">
        <v>3644</v>
      </c>
      <c r="L462" t="s">
        <v>3657</v>
      </c>
    </row>
    <row r="463" spans="1:12">
      <c r="A463" s="17">
        <v>462</v>
      </c>
      <c r="B463" s="17" t="s">
        <v>255</v>
      </c>
      <c r="C463" s="17">
        <v>2023521223</v>
      </c>
      <c r="D463" s="17">
        <v>2301017014</v>
      </c>
      <c r="E463" s="17" t="s">
        <v>1809</v>
      </c>
      <c r="F463" s="17" t="e">
        <f>VLOOKUP(C463,'Fast Track '!B:C,2,FALSE)</f>
        <v>#N/A</v>
      </c>
      <c r="G463" s="17" t="s">
        <v>3707</v>
      </c>
      <c r="H463" s="17" t="s">
        <v>256</v>
      </c>
      <c r="I463" s="17" t="str">
        <f>VLOOKUP(C463,Sheet1!D:J,7,FALSE)</f>
        <v>8126223351</v>
      </c>
      <c r="J463" s="17"/>
      <c r="K463" s="37" t="s">
        <v>3644</v>
      </c>
      <c r="L463" t="s">
        <v>3657</v>
      </c>
    </row>
    <row r="464" spans="1:12">
      <c r="A464" s="17">
        <v>463</v>
      </c>
      <c r="B464" s="58" t="s">
        <v>3693</v>
      </c>
      <c r="C464" s="58">
        <v>2019618451</v>
      </c>
      <c r="E464" s="17" t="s">
        <v>1809</v>
      </c>
      <c r="F464" s="17" t="e">
        <f>VLOOKUP(C464,'Fast Track '!B:C,2,FALSE)</f>
        <v>#N/A</v>
      </c>
      <c r="G464" s="17" t="s">
        <v>3707</v>
      </c>
      <c r="H464" s="62" t="s">
        <v>3694</v>
      </c>
      <c r="I464">
        <v>9752104147</v>
      </c>
      <c r="J464" s="33" t="s">
        <v>15</v>
      </c>
      <c r="K464" s="38" t="s">
        <v>3644</v>
      </c>
      <c r="L464" t="s">
        <v>3657</v>
      </c>
    </row>
    <row r="465" spans="1:12">
      <c r="A465" s="17">
        <v>464</v>
      </c>
      <c r="B465" s="17" t="s">
        <v>22</v>
      </c>
      <c r="C465" s="17">
        <v>2022002562</v>
      </c>
      <c r="D465" s="17">
        <v>2201010041</v>
      </c>
      <c r="E465" s="17" t="s">
        <v>1807</v>
      </c>
      <c r="F465" s="17" t="e">
        <f>VLOOKUP(C465,'Fast Track '!B:C,2,FALSE)</f>
        <v>#N/A</v>
      </c>
      <c r="G465" s="17" t="s">
        <v>3707</v>
      </c>
      <c r="H465" s="17" t="s">
        <v>23</v>
      </c>
      <c r="I465" s="17" t="str">
        <f>VLOOKUP(D465,Sheet1!E:K,6,FALSE)</f>
        <v>8434107666</v>
      </c>
      <c r="J465" s="17" t="s">
        <v>15</v>
      </c>
      <c r="K465" s="37" t="s">
        <v>3645</v>
      </c>
      <c r="L465" t="s">
        <v>3658</v>
      </c>
    </row>
    <row r="466" spans="1:12">
      <c r="A466" s="17">
        <v>465</v>
      </c>
      <c r="B466" s="17" t="s">
        <v>126</v>
      </c>
      <c r="C466" s="17">
        <v>2022439077</v>
      </c>
      <c r="D466" s="17">
        <v>2201010048</v>
      </c>
      <c r="E466" s="17" t="s">
        <v>1807</v>
      </c>
      <c r="F466" s="17" t="e">
        <f>VLOOKUP(C466,'Fast Track '!B:C,2,FALSE)</f>
        <v>#N/A</v>
      </c>
      <c r="G466" s="17" t="s">
        <v>3707</v>
      </c>
      <c r="H466" s="17" t="s">
        <v>127</v>
      </c>
      <c r="I466" s="17" t="str">
        <f>VLOOKUP(D466,Sheet1!E:K,6,FALSE)</f>
        <v>9693396195</v>
      </c>
      <c r="J466" s="17" t="s">
        <v>15</v>
      </c>
      <c r="K466" s="37" t="s">
        <v>3645</v>
      </c>
      <c r="L466" t="s">
        <v>3658</v>
      </c>
    </row>
    <row r="467" spans="1:12">
      <c r="A467" s="17">
        <v>466</v>
      </c>
      <c r="B467" s="17" t="s">
        <v>113</v>
      </c>
      <c r="C467" s="17">
        <v>2022526282</v>
      </c>
      <c r="D467" s="17">
        <v>2201010053</v>
      </c>
      <c r="E467" s="17" t="s">
        <v>1807</v>
      </c>
      <c r="F467" s="17" t="e">
        <f>VLOOKUP(C467,'Fast Track '!B:C,2,FALSE)</f>
        <v>#N/A</v>
      </c>
      <c r="G467" s="17" t="s">
        <v>3707</v>
      </c>
      <c r="H467" s="17" t="s">
        <v>114</v>
      </c>
      <c r="I467" s="17" t="str">
        <f>VLOOKUP(D467,Sheet1!E:K,6,FALSE)</f>
        <v>6393992008</v>
      </c>
      <c r="J467" s="17" t="s">
        <v>15</v>
      </c>
      <c r="K467" s="37" t="s">
        <v>3645</v>
      </c>
      <c r="L467" t="s">
        <v>3658</v>
      </c>
    </row>
    <row r="468" spans="1:12">
      <c r="A468" s="17">
        <v>467</v>
      </c>
      <c r="B468" s="17" t="s">
        <v>31</v>
      </c>
      <c r="C468" s="17">
        <v>2022003597</v>
      </c>
      <c r="D468" s="17">
        <v>2201010086</v>
      </c>
      <c r="E468" s="17" t="s">
        <v>1807</v>
      </c>
      <c r="F468" s="17" t="e">
        <f>VLOOKUP(C468,'Fast Track '!B:C,2,FALSE)</f>
        <v>#N/A</v>
      </c>
      <c r="G468" s="17" t="s">
        <v>3707</v>
      </c>
      <c r="H468" s="17" t="s">
        <v>32</v>
      </c>
      <c r="I468" s="17" t="str">
        <f>VLOOKUP(D468,Sheet1!E:K,6,FALSE)</f>
        <v>9411419825</v>
      </c>
      <c r="J468" s="17" t="s">
        <v>15</v>
      </c>
      <c r="K468" s="37" t="s">
        <v>3644</v>
      </c>
      <c r="L468" t="s">
        <v>3658</v>
      </c>
    </row>
    <row r="469" spans="1:12">
      <c r="A469" s="17">
        <v>468</v>
      </c>
      <c r="B469" s="17" t="s">
        <v>35</v>
      </c>
      <c r="C469" s="17">
        <v>2022004609</v>
      </c>
      <c r="D469" s="17">
        <v>2201010110</v>
      </c>
      <c r="E469" s="17" t="s">
        <v>1807</v>
      </c>
      <c r="F469" s="17" t="e">
        <f>VLOOKUP(C469,'Fast Track '!B:C,2,FALSE)</f>
        <v>#N/A</v>
      </c>
      <c r="G469" s="17" t="s">
        <v>3707</v>
      </c>
      <c r="H469" s="17" t="s">
        <v>36</v>
      </c>
      <c r="I469" s="17" t="str">
        <f>VLOOKUP(D469,Sheet1!E:K,6,FALSE)</f>
        <v>8851283033</v>
      </c>
      <c r="J469" s="17" t="s">
        <v>15</v>
      </c>
      <c r="K469" s="37" t="s">
        <v>3645</v>
      </c>
      <c r="L469" t="s">
        <v>3658</v>
      </c>
    </row>
    <row r="470" spans="1:12">
      <c r="A470" s="17">
        <v>469</v>
      </c>
      <c r="B470" s="17" t="s">
        <v>499</v>
      </c>
      <c r="C470" s="17">
        <v>2022541296</v>
      </c>
      <c r="D470" s="17">
        <v>2201010466</v>
      </c>
      <c r="E470" s="17" t="s">
        <v>1807</v>
      </c>
      <c r="F470" s="17" t="e">
        <f>VLOOKUP(C470,'Fast Track '!B:C,2,FALSE)</f>
        <v>#N/A</v>
      </c>
      <c r="G470" s="17" t="s">
        <v>3707</v>
      </c>
      <c r="H470" s="17" t="s">
        <v>500</v>
      </c>
      <c r="I470" s="17" t="str">
        <f>VLOOKUP(D470,Sheet1!E:K,6,FALSE)</f>
        <v>6367679744</v>
      </c>
      <c r="J470" s="17" t="s">
        <v>15</v>
      </c>
      <c r="K470" s="37" t="s">
        <v>3645</v>
      </c>
      <c r="L470" t="s">
        <v>3658</v>
      </c>
    </row>
    <row r="471" spans="1:12">
      <c r="A471" s="17">
        <v>470</v>
      </c>
      <c r="B471" s="17" t="s">
        <v>58</v>
      </c>
      <c r="C471" s="17">
        <v>2022386541</v>
      </c>
      <c r="D471" s="17">
        <v>2201010141</v>
      </c>
      <c r="E471" s="17" t="s">
        <v>1807</v>
      </c>
      <c r="F471" s="17" t="e">
        <f>VLOOKUP(C471,'Fast Track '!B:C,2,FALSE)</f>
        <v>#N/A</v>
      </c>
      <c r="G471" s="17" t="s">
        <v>3707</v>
      </c>
      <c r="H471" s="17" t="s">
        <v>59</v>
      </c>
      <c r="I471" s="17" t="str">
        <f>VLOOKUP(D471,Sheet1!E:K,6,FALSE)</f>
        <v>8737099769</v>
      </c>
      <c r="J471" s="17" t="s">
        <v>15</v>
      </c>
      <c r="K471" s="37" t="s">
        <v>3645</v>
      </c>
      <c r="L471" t="s">
        <v>3658</v>
      </c>
    </row>
    <row r="472" spans="1:12">
      <c r="A472" s="17">
        <v>471</v>
      </c>
      <c r="B472" s="17" t="s">
        <v>70</v>
      </c>
      <c r="C472" s="17">
        <v>2022429052</v>
      </c>
      <c r="D472" s="17">
        <v>2201010207</v>
      </c>
      <c r="E472" s="17" t="s">
        <v>1807</v>
      </c>
      <c r="F472" s="17" t="e">
        <f>VLOOKUP(C472,'Fast Track '!B:C,2,FALSE)</f>
        <v>#N/A</v>
      </c>
      <c r="G472" s="17" t="s">
        <v>3707</v>
      </c>
      <c r="H472" s="17" t="s">
        <v>71</v>
      </c>
      <c r="I472" s="17" t="str">
        <f>VLOOKUP(D472,Sheet1!E:K,6,FALSE)</f>
        <v>9151344811</v>
      </c>
      <c r="J472" s="17" t="s">
        <v>15</v>
      </c>
      <c r="K472" s="37" t="s">
        <v>3645</v>
      </c>
      <c r="L472" t="s">
        <v>3658</v>
      </c>
    </row>
    <row r="473" spans="1:12">
      <c r="A473" s="17">
        <v>472</v>
      </c>
      <c r="B473" s="17" t="s">
        <v>50</v>
      </c>
      <c r="C473" s="17">
        <v>2022330872</v>
      </c>
      <c r="D473" s="17">
        <v>2201010220</v>
      </c>
      <c r="E473" s="17" t="s">
        <v>1807</v>
      </c>
      <c r="F473" s="17" t="e">
        <f>VLOOKUP(C473,'Fast Track '!B:C,2,FALSE)</f>
        <v>#N/A</v>
      </c>
      <c r="G473" s="17" t="s">
        <v>3707</v>
      </c>
      <c r="H473" s="17" t="s">
        <v>51</v>
      </c>
      <c r="I473" s="17" t="str">
        <f>VLOOKUP(D473,Sheet1!E:K,6,FALSE)</f>
        <v>9583532701</v>
      </c>
      <c r="J473" s="17" t="s">
        <v>15</v>
      </c>
      <c r="K473" s="37" t="s">
        <v>3645</v>
      </c>
      <c r="L473" t="s">
        <v>3658</v>
      </c>
    </row>
    <row r="474" spans="1:12">
      <c r="A474" s="17">
        <v>473</v>
      </c>
      <c r="B474" s="17" t="s">
        <v>82</v>
      </c>
      <c r="C474" s="17">
        <v>2022470752</v>
      </c>
      <c r="D474" s="17">
        <v>2201010235</v>
      </c>
      <c r="E474" s="17" t="s">
        <v>1807</v>
      </c>
      <c r="F474" s="17" t="e">
        <f>VLOOKUP(C474,'Fast Track '!B:C,2,FALSE)</f>
        <v>#N/A</v>
      </c>
      <c r="G474" s="17" t="s">
        <v>3707</v>
      </c>
      <c r="H474" s="17" t="s">
        <v>83</v>
      </c>
      <c r="I474" s="17" t="str">
        <f>VLOOKUP(D474,Sheet1!E:K,6,FALSE)</f>
        <v>8076579399</v>
      </c>
      <c r="J474" s="17" t="s">
        <v>15</v>
      </c>
      <c r="K474" s="37" t="s">
        <v>3645</v>
      </c>
      <c r="L474" t="s">
        <v>3658</v>
      </c>
    </row>
    <row r="475" spans="1:12">
      <c r="A475" s="17">
        <v>474</v>
      </c>
      <c r="B475" s="17" t="s">
        <v>124</v>
      </c>
      <c r="C475" s="17">
        <v>2022811342</v>
      </c>
      <c r="D475" s="17">
        <v>2201010391</v>
      </c>
      <c r="E475" s="17" t="s">
        <v>1807</v>
      </c>
      <c r="F475" s="17" t="e">
        <f>VLOOKUP(C475,'Fast Track '!B:C,2,FALSE)</f>
        <v>#N/A</v>
      </c>
      <c r="G475" s="17" t="s">
        <v>3707</v>
      </c>
      <c r="H475" s="17" t="s">
        <v>125</v>
      </c>
      <c r="I475" s="17" t="str">
        <f>VLOOKUP(D475,Sheet1!E:K,6,FALSE)</f>
        <v>+91 9873842259</v>
      </c>
      <c r="J475" s="17" t="s">
        <v>15</v>
      </c>
      <c r="K475" s="37" t="s">
        <v>3645</v>
      </c>
      <c r="L475" t="s">
        <v>3658</v>
      </c>
    </row>
    <row r="476" spans="1:12">
      <c r="A476" s="17">
        <v>475</v>
      </c>
      <c r="B476" s="17" t="s">
        <v>98</v>
      </c>
      <c r="C476" s="17">
        <v>2022499099</v>
      </c>
      <c r="D476" s="17">
        <v>2201010392</v>
      </c>
      <c r="E476" s="17" t="s">
        <v>1807</v>
      </c>
      <c r="F476" s="17" t="e">
        <f>VLOOKUP(C476,'Fast Track '!B:C,2,FALSE)</f>
        <v>#N/A</v>
      </c>
      <c r="G476" s="17" t="s">
        <v>3707</v>
      </c>
      <c r="H476" s="17" t="s">
        <v>99</v>
      </c>
      <c r="I476" s="17" t="str">
        <f>VLOOKUP(D476,Sheet1!E:K,6,FALSE)</f>
        <v>9523464177</v>
      </c>
      <c r="J476" s="17" t="s">
        <v>15</v>
      </c>
      <c r="K476" s="37" t="s">
        <v>3645</v>
      </c>
      <c r="L476" t="s">
        <v>3658</v>
      </c>
    </row>
    <row r="477" spans="1:12">
      <c r="A477" s="17">
        <v>476</v>
      </c>
      <c r="B477" s="17" t="s">
        <v>64</v>
      </c>
      <c r="C477" s="17">
        <v>2022400915</v>
      </c>
      <c r="D477" s="17">
        <v>2201010431</v>
      </c>
      <c r="E477" s="17" t="s">
        <v>1807</v>
      </c>
      <c r="F477" s="17" t="e">
        <f>VLOOKUP(C477,'Fast Track '!B:C,2,FALSE)</f>
        <v>#N/A</v>
      </c>
      <c r="G477" s="17" t="s">
        <v>3707</v>
      </c>
      <c r="H477" s="17" t="s">
        <v>65</v>
      </c>
      <c r="I477" s="17" t="str">
        <f>VLOOKUP(D477,Sheet1!E:K,6,FALSE)</f>
        <v>7378077197</v>
      </c>
      <c r="J477" s="17" t="s">
        <v>15</v>
      </c>
      <c r="K477" s="37" t="s">
        <v>3645</v>
      </c>
      <c r="L477" t="s">
        <v>3658</v>
      </c>
    </row>
    <row r="478" spans="1:12">
      <c r="A478" s="17">
        <v>477</v>
      </c>
      <c r="B478" s="17" t="s">
        <v>92</v>
      </c>
      <c r="C478" s="17">
        <v>2022492019</v>
      </c>
      <c r="D478" s="17">
        <v>2201010540</v>
      </c>
      <c r="E478" s="17" t="s">
        <v>1807</v>
      </c>
      <c r="F478" s="17" t="e">
        <f>VLOOKUP(C478,'Fast Track '!B:C,2,FALSE)</f>
        <v>#N/A</v>
      </c>
      <c r="G478" s="17" t="s">
        <v>3707</v>
      </c>
      <c r="H478" s="17" t="s">
        <v>93</v>
      </c>
      <c r="I478" s="17" t="str">
        <f>VLOOKUP(D478,Sheet1!E:K,6,FALSE)</f>
        <v>8882668278</v>
      </c>
      <c r="J478" s="17" t="s">
        <v>15</v>
      </c>
      <c r="K478" s="37" t="s">
        <v>3644</v>
      </c>
      <c r="L478" t="s">
        <v>3658</v>
      </c>
    </row>
    <row r="479" spans="1:12">
      <c r="A479" s="17">
        <v>478</v>
      </c>
      <c r="B479" s="17" t="s">
        <v>111</v>
      </c>
      <c r="C479" s="17">
        <v>2022523416</v>
      </c>
      <c r="D479" s="17">
        <v>2201010550</v>
      </c>
      <c r="E479" s="17" t="s">
        <v>1807</v>
      </c>
      <c r="F479" s="17" t="e">
        <f>VLOOKUP(C479,'Fast Track '!B:C,2,FALSE)</f>
        <v>#N/A</v>
      </c>
      <c r="G479" s="17" t="s">
        <v>3707</v>
      </c>
      <c r="H479" s="17" t="s">
        <v>112</v>
      </c>
      <c r="I479" s="17" t="str">
        <f>VLOOKUP(D479,Sheet1!E:K,6,FALSE)</f>
        <v>8252824437</v>
      </c>
      <c r="J479" s="17" t="s">
        <v>15</v>
      </c>
      <c r="K479" s="37" t="s">
        <v>3645</v>
      </c>
      <c r="L479" t="s">
        <v>3658</v>
      </c>
    </row>
    <row r="480" spans="1:12">
      <c r="A480" s="17">
        <v>479</v>
      </c>
      <c r="B480" s="17" t="s">
        <v>90</v>
      </c>
      <c r="C480" s="17">
        <v>2022487397</v>
      </c>
      <c r="D480" s="17">
        <v>2201010665</v>
      </c>
      <c r="E480" s="17" t="s">
        <v>1807</v>
      </c>
      <c r="F480" s="17" t="e">
        <f>VLOOKUP(C480,'Fast Track '!B:C,2,FALSE)</f>
        <v>#N/A</v>
      </c>
      <c r="G480" s="17" t="s">
        <v>3707</v>
      </c>
      <c r="H480" s="17" t="s">
        <v>91</v>
      </c>
      <c r="I480" s="17" t="str">
        <f>VLOOKUP(D480,Sheet1!E:K,6,FALSE)</f>
        <v>7619898558</v>
      </c>
      <c r="J480" s="17" t="s">
        <v>15</v>
      </c>
      <c r="K480" s="37" t="s">
        <v>3645</v>
      </c>
      <c r="L480" t="s">
        <v>3658</v>
      </c>
    </row>
    <row r="481" spans="1:12">
      <c r="A481" s="17">
        <v>480</v>
      </c>
      <c r="B481" s="17" t="s">
        <v>54</v>
      </c>
      <c r="C481" s="17">
        <v>2022360071</v>
      </c>
      <c r="D481" s="17">
        <v>2201010737</v>
      </c>
      <c r="E481" s="17" t="s">
        <v>1807</v>
      </c>
      <c r="F481" s="17" t="e">
        <f>VLOOKUP(C481,'Fast Track '!B:C,2,FALSE)</f>
        <v>#N/A</v>
      </c>
      <c r="G481" s="17" t="s">
        <v>3707</v>
      </c>
      <c r="H481" s="17" t="s">
        <v>55</v>
      </c>
      <c r="I481" s="17" t="str">
        <f>VLOOKUP(D481,Sheet1!E:K,6,FALSE)</f>
        <v>8510981104</v>
      </c>
      <c r="J481" s="17" t="s">
        <v>15</v>
      </c>
      <c r="K481" s="37" t="s">
        <v>3645</v>
      </c>
      <c r="L481" t="s">
        <v>3658</v>
      </c>
    </row>
    <row r="482" spans="1:12">
      <c r="A482" s="17">
        <v>481</v>
      </c>
      <c r="B482" s="17" t="s">
        <v>422</v>
      </c>
      <c r="C482" s="17">
        <v>2022346624</v>
      </c>
      <c r="D482" s="17">
        <v>2201010537</v>
      </c>
      <c r="E482" s="17" t="s">
        <v>1807</v>
      </c>
      <c r="F482" s="17" t="e">
        <f>VLOOKUP(C482,'Fast Track '!B:C,2,FALSE)</f>
        <v>#N/A</v>
      </c>
      <c r="G482" s="17" t="s">
        <v>3707</v>
      </c>
      <c r="H482" s="17" t="s">
        <v>423</v>
      </c>
      <c r="I482" s="17" t="str">
        <f>VLOOKUP(D482,Sheet1!E:K,6,FALSE)</f>
        <v>7007466990</v>
      </c>
      <c r="J482" s="17" t="s">
        <v>15</v>
      </c>
      <c r="K482" s="37" t="s">
        <v>3645</v>
      </c>
      <c r="L482" t="s">
        <v>3658</v>
      </c>
    </row>
    <row r="483" spans="1:12">
      <c r="A483" s="17">
        <v>482</v>
      </c>
      <c r="B483" s="17" t="s">
        <v>72</v>
      </c>
      <c r="C483" s="17">
        <v>2022433386</v>
      </c>
      <c r="D483" s="17">
        <v>2201010825</v>
      </c>
      <c r="E483" s="17" t="s">
        <v>1807</v>
      </c>
      <c r="F483" s="17" t="e">
        <f>VLOOKUP(C483,'Fast Track '!B:C,2,FALSE)</f>
        <v>#N/A</v>
      </c>
      <c r="G483" s="17" t="s">
        <v>3707</v>
      </c>
      <c r="H483" s="17" t="s">
        <v>73</v>
      </c>
      <c r="I483" s="17" t="str">
        <f>VLOOKUP(D483,Sheet1!E:K,6,FALSE)</f>
        <v>9054021639</v>
      </c>
      <c r="J483" s="17" t="s">
        <v>15</v>
      </c>
      <c r="K483" s="37" t="s">
        <v>3645</v>
      </c>
      <c r="L483" t="s">
        <v>3658</v>
      </c>
    </row>
    <row r="484" spans="1:12">
      <c r="A484" s="17">
        <v>483</v>
      </c>
      <c r="B484" s="17" t="s">
        <v>45</v>
      </c>
      <c r="C484" s="17">
        <v>2022007676</v>
      </c>
      <c r="D484" s="17">
        <v>2201010856</v>
      </c>
      <c r="E484" s="17" t="s">
        <v>1807</v>
      </c>
      <c r="F484" s="17" t="e">
        <f>VLOOKUP(C484,'Fast Track '!B:C,2,FALSE)</f>
        <v>#N/A</v>
      </c>
      <c r="G484" s="17" t="s">
        <v>3707</v>
      </c>
      <c r="H484" s="17" t="s">
        <v>46</v>
      </c>
      <c r="I484" s="17" t="str">
        <f>VLOOKUP(D484,Sheet1!E:K,6,FALSE)</f>
        <v>7827143813</v>
      </c>
      <c r="J484" s="17" t="s">
        <v>15</v>
      </c>
      <c r="K484" s="37" t="s">
        <v>3644</v>
      </c>
      <c r="L484" t="s">
        <v>3658</v>
      </c>
    </row>
    <row r="485" spans="1:12">
      <c r="A485" s="17">
        <v>484</v>
      </c>
      <c r="B485" s="17" t="s">
        <v>122</v>
      </c>
      <c r="C485" s="17">
        <v>2022591296</v>
      </c>
      <c r="D485" s="17">
        <v>2201010887</v>
      </c>
      <c r="E485" s="17" t="s">
        <v>1807</v>
      </c>
      <c r="F485" s="17" t="e">
        <f>VLOOKUP(C485,'Fast Track '!B:C,2,FALSE)</f>
        <v>#N/A</v>
      </c>
      <c r="G485" s="17" t="s">
        <v>3707</v>
      </c>
      <c r="H485" s="17" t="s">
        <v>123</v>
      </c>
      <c r="I485" s="17" t="str">
        <f>VLOOKUP(D485,Sheet1!E:K,6,FALSE)</f>
        <v>9398191226</v>
      </c>
      <c r="J485" s="17" t="s">
        <v>15</v>
      </c>
      <c r="K485" s="37" t="s">
        <v>3645</v>
      </c>
      <c r="L485" t="s">
        <v>3658</v>
      </c>
    </row>
    <row r="486" spans="1:12">
      <c r="A486" s="17">
        <v>485</v>
      </c>
      <c r="B486" s="17" t="s">
        <v>141</v>
      </c>
      <c r="C486" s="17">
        <v>2022539291</v>
      </c>
      <c r="D486" s="17">
        <v>2201010030</v>
      </c>
      <c r="E486" s="17" t="s">
        <v>1807</v>
      </c>
      <c r="F486" s="17" t="e">
        <f>VLOOKUP(C486,'Fast Track '!B:C,2,FALSE)</f>
        <v>#N/A</v>
      </c>
      <c r="G486" s="17" t="s">
        <v>3707</v>
      </c>
      <c r="H486" s="17" t="s">
        <v>142</v>
      </c>
      <c r="I486" s="17" t="str">
        <f>VLOOKUP(D486,Sheet1!E:K,6,FALSE)</f>
        <v>9310107899</v>
      </c>
      <c r="J486" s="17" t="s">
        <v>15</v>
      </c>
      <c r="K486" s="37" t="s">
        <v>3645</v>
      </c>
      <c r="L486" t="s">
        <v>3658</v>
      </c>
    </row>
    <row r="487" spans="1:12">
      <c r="A487" s="17">
        <v>486</v>
      </c>
      <c r="B487" s="17" t="s">
        <v>211</v>
      </c>
      <c r="C487" s="17">
        <v>2022508626</v>
      </c>
      <c r="D487" s="17">
        <v>2201010032</v>
      </c>
      <c r="E487" s="17" t="s">
        <v>1807</v>
      </c>
      <c r="F487" s="17" t="e">
        <f>VLOOKUP(C487,'Fast Track '!B:C,2,FALSE)</f>
        <v>#N/A</v>
      </c>
      <c r="G487" s="17" t="s">
        <v>3707</v>
      </c>
      <c r="H487" s="17" t="s">
        <v>212</v>
      </c>
      <c r="I487" s="17" t="str">
        <f>VLOOKUP(D487,Sheet1!E:K,6,FALSE)</f>
        <v>8734821969</v>
      </c>
      <c r="J487" s="17" t="s">
        <v>15</v>
      </c>
      <c r="K487" s="37" t="s">
        <v>3645</v>
      </c>
      <c r="L487" t="s">
        <v>3658</v>
      </c>
    </row>
    <row r="488" spans="1:12">
      <c r="A488" s="17">
        <v>487</v>
      </c>
      <c r="B488" s="17" t="s">
        <v>219</v>
      </c>
      <c r="C488" s="17">
        <v>2022558776</v>
      </c>
      <c r="D488" s="17">
        <v>2201010050</v>
      </c>
      <c r="E488" s="17" t="s">
        <v>1807</v>
      </c>
      <c r="F488" s="17" t="e">
        <f>VLOOKUP(C488,'Fast Track '!B:C,2,FALSE)</f>
        <v>#N/A</v>
      </c>
      <c r="G488" s="17" t="s">
        <v>3707</v>
      </c>
      <c r="H488" s="17" t="s">
        <v>220</v>
      </c>
      <c r="I488" s="17" t="str">
        <f>VLOOKUP(D488,Sheet1!E:K,6,FALSE)</f>
        <v>7455836193</v>
      </c>
      <c r="J488" s="17" t="s">
        <v>15</v>
      </c>
      <c r="K488" s="37" t="s">
        <v>3645</v>
      </c>
      <c r="L488" t="s">
        <v>3658</v>
      </c>
    </row>
    <row r="489" spans="1:12">
      <c r="A489" s="17">
        <v>488</v>
      </c>
      <c r="B489" s="17" t="s">
        <v>197</v>
      </c>
      <c r="C489" s="17">
        <v>2022476104</v>
      </c>
      <c r="D489" s="17">
        <v>2201010058</v>
      </c>
      <c r="E489" s="17" t="s">
        <v>1807</v>
      </c>
      <c r="F489" s="17" t="e">
        <f>VLOOKUP(C489,'Fast Track '!B:C,2,FALSE)</f>
        <v>#N/A</v>
      </c>
      <c r="G489" s="17" t="s">
        <v>3707</v>
      </c>
      <c r="H489" s="17" t="s">
        <v>198</v>
      </c>
      <c r="I489" s="17" t="str">
        <f>VLOOKUP(D489,Sheet1!E:K,6,FALSE)</f>
        <v>9162384894</v>
      </c>
      <c r="J489" s="17" t="s">
        <v>15</v>
      </c>
      <c r="K489" s="37" t="s">
        <v>3645</v>
      </c>
      <c r="L489" t="s">
        <v>3658</v>
      </c>
    </row>
    <row r="490" spans="1:12">
      <c r="A490" s="17">
        <v>489</v>
      </c>
      <c r="B490" s="17" t="s">
        <v>122</v>
      </c>
      <c r="C490" s="17">
        <v>2022511918</v>
      </c>
      <c r="D490" s="17">
        <v>2201010090</v>
      </c>
      <c r="E490" s="17" t="s">
        <v>1807</v>
      </c>
      <c r="F490" s="17" t="e">
        <f>VLOOKUP(C490,'Fast Track '!B:C,2,FALSE)</f>
        <v>#N/A</v>
      </c>
      <c r="G490" s="17" t="s">
        <v>3707</v>
      </c>
      <c r="H490" s="17" t="s">
        <v>140</v>
      </c>
      <c r="I490" s="17" t="str">
        <f>VLOOKUP(D490,Sheet1!E:K,6,FALSE)</f>
        <v>8881122192</v>
      </c>
      <c r="J490" s="17" t="s">
        <v>15</v>
      </c>
      <c r="K490" s="37" t="s">
        <v>3644</v>
      </c>
      <c r="L490" t="s">
        <v>3658</v>
      </c>
    </row>
    <row r="491" spans="1:12">
      <c r="A491" s="17">
        <v>490</v>
      </c>
      <c r="B491" s="17" t="s">
        <v>189</v>
      </c>
      <c r="C491" s="17">
        <v>2022407716</v>
      </c>
      <c r="D491" s="17">
        <v>2201010097</v>
      </c>
      <c r="E491" s="17" t="s">
        <v>1807</v>
      </c>
      <c r="F491" s="17" t="e">
        <f>VLOOKUP(C491,'Fast Track '!B:C,2,FALSE)</f>
        <v>#N/A</v>
      </c>
      <c r="G491" s="17" t="s">
        <v>3707</v>
      </c>
      <c r="H491" s="17" t="s">
        <v>190</v>
      </c>
      <c r="I491" s="17" t="str">
        <f>VLOOKUP(D491,Sheet1!E:K,6,FALSE)</f>
        <v>7903369953</v>
      </c>
      <c r="J491" s="17" t="s">
        <v>15</v>
      </c>
      <c r="K491" s="37" t="s">
        <v>3645</v>
      </c>
      <c r="L491" t="s">
        <v>3658</v>
      </c>
    </row>
    <row r="492" spans="1:12">
      <c r="A492" s="17">
        <v>491</v>
      </c>
      <c r="B492" s="17" t="s">
        <v>469</v>
      </c>
      <c r="C492" s="17">
        <v>2022501361</v>
      </c>
      <c r="D492" s="17">
        <v>2201010601</v>
      </c>
      <c r="E492" s="17" t="s">
        <v>1807</v>
      </c>
      <c r="F492" s="17" t="e">
        <f>VLOOKUP(C492,'Fast Track '!B:C,2,FALSE)</f>
        <v>#N/A</v>
      </c>
      <c r="G492" s="17" t="s">
        <v>3707</v>
      </c>
      <c r="H492" s="17" t="s">
        <v>470</v>
      </c>
      <c r="I492" s="17" t="str">
        <f>VLOOKUP(D492,Sheet1!E:K,6,FALSE)</f>
        <v>8809669347</v>
      </c>
      <c r="J492" s="17" t="s">
        <v>15</v>
      </c>
      <c r="K492" s="37" t="s">
        <v>3645</v>
      </c>
      <c r="L492" t="s">
        <v>3658</v>
      </c>
    </row>
    <row r="493" spans="1:12">
      <c r="A493" s="17">
        <v>492</v>
      </c>
      <c r="B493" s="17" t="s">
        <v>201</v>
      </c>
      <c r="C493" s="17">
        <v>2022484200</v>
      </c>
      <c r="D493" s="17">
        <v>2201010156</v>
      </c>
      <c r="E493" s="17" t="s">
        <v>1807</v>
      </c>
      <c r="F493" s="17" t="e">
        <f>VLOOKUP(C493,'Fast Track '!B:C,2,FALSE)</f>
        <v>#N/A</v>
      </c>
      <c r="G493" s="17" t="s">
        <v>3707</v>
      </c>
      <c r="H493" s="17" t="s">
        <v>202</v>
      </c>
      <c r="I493" s="17" t="str">
        <f>VLOOKUP(D493,Sheet1!E:K,6,FALSE)</f>
        <v>8588846755</v>
      </c>
      <c r="J493" s="17" t="s">
        <v>15</v>
      </c>
      <c r="K493" s="37" t="s">
        <v>3645</v>
      </c>
      <c r="L493" t="s">
        <v>3658</v>
      </c>
    </row>
    <row r="494" spans="1:12">
      <c r="A494" s="17">
        <v>493</v>
      </c>
      <c r="B494" s="17" t="s">
        <v>137</v>
      </c>
      <c r="C494" s="17">
        <v>2022506998</v>
      </c>
      <c r="D494" s="17">
        <v>2201010247</v>
      </c>
      <c r="E494" s="17" t="s">
        <v>1807</v>
      </c>
      <c r="F494" s="17" t="e">
        <f>VLOOKUP(C494,'Fast Track '!B:C,2,FALSE)</f>
        <v>#N/A</v>
      </c>
      <c r="G494" s="17" t="s">
        <v>3707</v>
      </c>
      <c r="H494" s="17" t="s">
        <v>138</v>
      </c>
      <c r="I494" s="17" t="str">
        <f>VLOOKUP(D494,Sheet1!E:K,6,FALSE)</f>
        <v>8126368250</v>
      </c>
      <c r="J494" s="17" t="s">
        <v>15</v>
      </c>
      <c r="K494" s="37" t="s">
        <v>3645</v>
      </c>
      <c r="L494" t="s">
        <v>3658</v>
      </c>
    </row>
    <row r="495" spans="1:12">
      <c r="A495" s="17">
        <v>494</v>
      </c>
      <c r="B495" s="17" t="s">
        <v>152</v>
      </c>
      <c r="C495" s="17">
        <v>2022006162</v>
      </c>
      <c r="D495" s="17">
        <v>2201010279</v>
      </c>
      <c r="E495" s="17" t="s">
        <v>1807</v>
      </c>
      <c r="F495" s="17" t="e">
        <f>VLOOKUP(C495,'Fast Track '!B:C,2,FALSE)</f>
        <v>#N/A</v>
      </c>
      <c r="G495" s="17" t="s">
        <v>3707</v>
      </c>
      <c r="H495" s="17" t="s">
        <v>153</v>
      </c>
      <c r="I495" s="17" t="str">
        <f>VLOOKUP(D495,Sheet1!E:K,6,FALSE)</f>
        <v>7249903144</v>
      </c>
      <c r="J495" s="17" t="s">
        <v>15</v>
      </c>
      <c r="K495" s="37" t="s">
        <v>3645</v>
      </c>
      <c r="L495" t="s">
        <v>3658</v>
      </c>
    </row>
    <row r="496" spans="1:12">
      <c r="A496" s="17">
        <v>495</v>
      </c>
      <c r="B496" s="17" t="s">
        <v>229</v>
      </c>
      <c r="C496" s="17">
        <v>2022570019</v>
      </c>
      <c r="D496" s="17">
        <v>2201010293</v>
      </c>
      <c r="E496" s="17" t="s">
        <v>1807</v>
      </c>
      <c r="F496" s="17" t="e">
        <f>VLOOKUP(C496,'Fast Track '!B:C,2,FALSE)</f>
        <v>#N/A</v>
      </c>
      <c r="G496" s="17" t="s">
        <v>3707</v>
      </c>
      <c r="H496" s="17" t="s">
        <v>230</v>
      </c>
      <c r="I496" s="17" t="str">
        <f>VLOOKUP(D496,Sheet1!E:K,6,FALSE)</f>
        <v>7454817315</v>
      </c>
      <c r="J496" s="17" t="s">
        <v>15</v>
      </c>
      <c r="K496" s="37" t="s">
        <v>3644</v>
      </c>
      <c r="L496" t="s">
        <v>3658</v>
      </c>
    </row>
    <row r="497" spans="1:12">
      <c r="A497" s="17">
        <v>496</v>
      </c>
      <c r="B497" s="17" t="s">
        <v>233</v>
      </c>
      <c r="C497" s="17">
        <v>2022582150</v>
      </c>
      <c r="D497" s="17">
        <v>2201010304</v>
      </c>
      <c r="E497" s="17" t="s">
        <v>1807</v>
      </c>
      <c r="F497" s="17" t="e">
        <f>VLOOKUP(C497,'Fast Track '!B:C,2,FALSE)</f>
        <v>#N/A</v>
      </c>
      <c r="G497" s="17" t="s">
        <v>3707</v>
      </c>
      <c r="H497" s="17" t="s">
        <v>234</v>
      </c>
      <c r="I497" s="17" t="str">
        <f>VLOOKUP(D497,Sheet1!E:K,6,FALSE)</f>
        <v>9588522558</v>
      </c>
      <c r="J497" s="17" t="s">
        <v>15</v>
      </c>
      <c r="K497" s="37" t="s">
        <v>3644</v>
      </c>
      <c r="L497" t="s">
        <v>3658</v>
      </c>
    </row>
    <row r="498" spans="1:12">
      <c r="A498" s="17">
        <v>497</v>
      </c>
      <c r="B498" s="17" t="s">
        <v>185</v>
      </c>
      <c r="C498" s="17">
        <v>2022359778</v>
      </c>
      <c r="D498" s="17">
        <v>2201010340</v>
      </c>
      <c r="E498" s="17" t="s">
        <v>1807</v>
      </c>
      <c r="F498" s="17" t="e">
        <f>VLOOKUP(C498,'Fast Track '!B:C,2,FALSE)</f>
        <v>#N/A</v>
      </c>
      <c r="G498" s="17" t="s">
        <v>3707</v>
      </c>
      <c r="H498" s="17" t="s">
        <v>186</v>
      </c>
      <c r="I498" s="17" t="str">
        <f>VLOOKUP(D498,Sheet1!E:K,6,FALSE)</f>
        <v>7701935118</v>
      </c>
      <c r="J498" s="17" t="s">
        <v>15</v>
      </c>
      <c r="K498" s="37" t="s">
        <v>3644</v>
      </c>
      <c r="L498" t="s">
        <v>3658</v>
      </c>
    </row>
    <row r="499" spans="1:12">
      <c r="A499" s="17">
        <v>498</v>
      </c>
      <c r="B499" s="17" t="s">
        <v>158</v>
      </c>
      <c r="C499" s="17">
        <v>2022006582</v>
      </c>
      <c r="D499" s="17">
        <v>2201010354</v>
      </c>
      <c r="E499" s="17" t="s">
        <v>1807</v>
      </c>
      <c r="F499" s="17" t="e">
        <f>VLOOKUP(C499,'Fast Track '!B:C,2,FALSE)</f>
        <v>#N/A</v>
      </c>
      <c r="G499" s="17" t="s">
        <v>3707</v>
      </c>
      <c r="H499" s="17" t="s">
        <v>159</v>
      </c>
      <c r="I499" s="17" t="str">
        <f>VLOOKUP(D499,Sheet1!E:K,6,FALSE)</f>
        <v>7568023948</v>
      </c>
      <c r="J499" s="17" t="s">
        <v>15</v>
      </c>
      <c r="K499" s="37" t="s">
        <v>3644</v>
      </c>
      <c r="L499" t="s">
        <v>3658</v>
      </c>
    </row>
    <row r="500" spans="1:12">
      <c r="A500" s="17">
        <v>499</v>
      </c>
      <c r="B500" s="17" t="s">
        <v>247</v>
      </c>
      <c r="C500" s="17">
        <v>2022831935</v>
      </c>
      <c r="D500" s="17">
        <v>2201010404</v>
      </c>
      <c r="E500" s="17" t="s">
        <v>1807</v>
      </c>
      <c r="F500" s="17" t="e">
        <f>VLOOKUP(C500,'Fast Track '!B:C,2,FALSE)</f>
        <v>#N/A</v>
      </c>
      <c r="G500" s="17" t="s">
        <v>3707</v>
      </c>
      <c r="H500" s="17" t="s">
        <v>248</v>
      </c>
      <c r="I500" s="17" t="str">
        <f>VLOOKUP(D500,Sheet1!E:K,6,FALSE)</f>
        <v>91 8293135088</v>
      </c>
      <c r="J500" s="17" t="s">
        <v>15</v>
      </c>
      <c r="K500" s="37" t="s">
        <v>3644</v>
      </c>
      <c r="L500" t="s">
        <v>3658</v>
      </c>
    </row>
    <row r="501" spans="1:12">
      <c r="A501" s="17">
        <v>500</v>
      </c>
      <c r="B501" s="17" t="s">
        <v>448</v>
      </c>
      <c r="C501" s="17">
        <v>2022452725</v>
      </c>
      <c r="D501" s="17">
        <v>2201010603</v>
      </c>
      <c r="E501" s="17" t="s">
        <v>1807</v>
      </c>
      <c r="F501" s="17" t="e">
        <f>VLOOKUP(C501,'Fast Track '!B:C,2,FALSE)</f>
        <v>#N/A</v>
      </c>
      <c r="G501" s="17" t="s">
        <v>3707</v>
      </c>
      <c r="H501" s="17" t="s">
        <v>449</v>
      </c>
      <c r="I501" s="17" t="str">
        <f>VLOOKUP(D501,Sheet1!E:K,6,FALSE)</f>
        <v>9627722971</v>
      </c>
      <c r="J501" s="17" t="s">
        <v>15</v>
      </c>
      <c r="K501" s="37" t="s">
        <v>3644</v>
      </c>
      <c r="L501" t="s">
        <v>3658</v>
      </c>
    </row>
    <row r="502" spans="1:12">
      <c r="A502" s="17">
        <v>501</v>
      </c>
      <c r="B502" s="17" t="s">
        <v>164</v>
      </c>
      <c r="C502" s="17">
        <v>2022006799</v>
      </c>
      <c r="D502" s="17">
        <v>2201010456</v>
      </c>
      <c r="E502" s="17" t="s">
        <v>1807</v>
      </c>
      <c r="F502" s="17" t="e">
        <f>VLOOKUP(C502,'Fast Track '!B:C,2,FALSE)</f>
        <v>#N/A</v>
      </c>
      <c r="G502" s="17" t="s">
        <v>3707</v>
      </c>
      <c r="H502" s="17" t="s">
        <v>165</v>
      </c>
      <c r="I502" s="17" t="str">
        <f>VLOOKUP(D502,Sheet1!E:K,6,FALSE)</f>
        <v>7033787816</v>
      </c>
      <c r="J502" s="17" t="s">
        <v>15</v>
      </c>
      <c r="K502" s="37" t="s">
        <v>3644</v>
      </c>
      <c r="L502" t="s">
        <v>3658</v>
      </c>
    </row>
    <row r="503" spans="1:12">
      <c r="A503" s="17">
        <v>502</v>
      </c>
      <c r="B503" s="17" t="s">
        <v>143</v>
      </c>
      <c r="C503" s="17">
        <v>2022559558</v>
      </c>
      <c r="D503" s="17">
        <v>2201010530</v>
      </c>
      <c r="E503" s="17" t="s">
        <v>1807</v>
      </c>
      <c r="F503" s="17" t="e">
        <f>VLOOKUP(C503,'Fast Track '!B:C,2,FALSE)</f>
        <v>#N/A</v>
      </c>
      <c r="G503" s="17" t="s">
        <v>3707</v>
      </c>
      <c r="H503" s="17" t="s">
        <v>144</v>
      </c>
      <c r="I503" s="17" t="str">
        <f>VLOOKUP(D503,Sheet1!E:K,6,FALSE)</f>
        <v>6396950928</v>
      </c>
      <c r="J503" s="17" t="s">
        <v>15</v>
      </c>
      <c r="K503" s="37" t="s">
        <v>3644</v>
      </c>
      <c r="L503" t="s">
        <v>3658</v>
      </c>
    </row>
    <row r="504" spans="1:12">
      <c r="A504" s="17">
        <v>503</v>
      </c>
      <c r="B504" s="17" t="s">
        <v>195</v>
      </c>
      <c r="C504" s="17">
        <v>2022446209</v>
      </c>
      <c r="D504" s="17">
        <v>2201010565</v>
      </c>
      <c r="E504" s="17" t="s">
        <v>1807</v>
      </c>
      <c r="F504" s="17" t="e">
        <f>VLOOKUP(C504,'Fast Track '!B:C,2,FALSE)</f>
        <v>#N/A</v>
      </c>
      <c r="G504" s="17" t="s">
        <v>3707</v>
      </c>
      <c r="H504" s="17" t="s">
        <v>196</v>
      </c>
      <c r="I504" s="17" t="str">
        <f>VLOOKUP(D504,Sheet1!E:K,6,FALSE)</f>
        <v>7906944241</v>
      </c>
      <c r="J504" s="17" t="s">
        <v>15</v>
      </c>
      <c r="K504" s="37" t="s">
        <v>3644</v>
      </c>
      <c r="L504" t="s">
        <v>3658</v>
      </c>
    </row>
    <row r="505" spans="1:12">
      <c r="A505" s="17">
        <v>504</v>
      </c>
      <c r="B505" s="17" t="s">
        <v>245</v>
      </c>
      <c r="C505" s="17">
        <v>2022829568</v>
      </c>
      <c r="D505" s="17">
        <v>2201010568</v>
      </c>
      <c r="E505" s="17" t="s">
        <v>1807</v>
      </c>
      <c r="F505" s="17" t="e">
        <f>VLOOKUP(C505,'Fast Track '!B:C,2,FALSE)</f>
        <v>#N/A</v>
      </c>
      <c r="G505" s="17" t="s">
        <v>3707</v>
      </c>
      <c r="H505" s="17" t="s">
        <v>246</v>
      </c>
      <c r="I505" s="17" t="str">
        <f>VLOOKUP(D505,Sheet1!E:K,6,FALSE)</f>
        <v>9812872299</v>
      </c>
      <c r="J505" s="17" t="s">
        <v>15</v>
      </c>
      <c r="K505" s="37" t="s">
        <v>3644</v>
      </c>
      <c r="L505" t="s">
        <v>3658</v>
      </c>
    </row>
    <row r="506" spans="1:12">
      <c r="A506" s="17">
        <v>505</v>
      </c>
      <c r="B506" s="17" t="s">
        <v>239</v>
      </c>
      <c r="C506" s="17">
        <v>2022818891</v>
      </c>
      <c r="D506" s="17">
        <v>2201010617</v>
      </c>
      <c r="E506" s="17" t="s">
        <v>1807</v>
      </c>
      <c r="F506" s="17" t="e">
        <f>VLOOKUP(C506,'Fast Track '!B:C,2,FALSE)</f>
        <v>#N/A</v>
      </c>
      <c r="G506" s="17" t="s">
        <v>3707</v>
      </c>
      <c r="H506" s="17" t="s">
        <v>240</v>
      </c>
      <c r="I506" s="17" t="str">
        <f>VLOOKUP(D506,Sheet1!E:K,6,FALSE)</f>
        <v>9335394969</v>
      </c>
      <c r="J506" s="17" t="s">
        <v>15</v>
      </c>
      <c r="K506" s="37" t="s">
        <v>3644</v>
      </c>
      <c r="L506" t="s">
        <v>3658</v>
      </c>
    </row>
    <row r="507" spans="1:12">
      <c r="A507" s="17">
        <v>506</v>
      </c>
      <c r="B507" s="17" t="s">
        <v>207</v>
      </c>
      <c r="C507" s="17">
        <v>2022502747</v>
      </c>
      <c r="D507" s="17">
        <v>2201010642</v>
      </c>
      <c r="E507" s="17" t="s">
        <v>1807</v>
      </c>
      <c r="F507" s="17" t="e">
        <f>VLOOKUP(C507,'Fast Track '!B:C,2,FALSE)</f>
        <v>#N/A</v>
      </c>
      <c r="G507" s="17" t="s">
        <v>3707</v>
      </c>
      <c r="H507" s="17" t="s">
        <v>208</v>
      </c>
      <c r="I507" s="17" t="str">
        <f>VLOOKUP(D507,Sheet1!E:K,6,FALSE)</f>
        <v>8881431450</v>
      </c>
      <c r="J507" s="17" t="s">
        <v>15</v>
      </c>
      <c r="K507" s="37" t="s">
        <v>3644</v>
      </c>
      <c r="L507" t="s">
        <v>3658</v>
      </c>
    </row>
    <row r="508" spans="1:12">
      <c r="A508" s="17">
        <v>507</v>
      </c>
      <c r="B508" s="17" t="s">
        <v>162</v>
      </c>
      <c r="C508" s="17">
        <v>2022006694</v>
      </c>
      <c r="D508" s="17">
        <v>2201010660</v>
      </c>
      <c r="E508" s="17" t="s">
        <v>1807</v>
      </c>
      <c r="F508" s="17" t="e">
        <f>VLOOKUP(C508,'Fast Track '!B:C,2,FALSE)</f>
        <v>#N/A</v>
      </c>
      <c r="G508" s="17" t="s">
        <v>3707</v>
      </c>
      <c r="H508" s="17" t="s">
        <v>163</v>
      </c>
      <c r="I508" s="17" t="str">
        <f>VLOOKUP(D508,Sheet1!E:K,6,FALSE)</f>
        <v>8081669849</v>
      </c>
      <c r="J508" s="17" t="s">
        <v>15</v>
      </c>
      <c r="K508" s="37" t="s">
        <v>3644</v>
      </c>
      <c r="L508" t="s">
        <v>3658</v>
      </c>
    </row>
    <row r="509" spans="1:12">
      <c r="A509" s="17">
        <v>508</v>
      </c>
      <c r="B509" s="17" t="s">
        <v>166</v>
      </c>
      <c r="C509" s="17">
        <v>2022006868</v>
      </c>
      <c r="D509" s="17">
        <v>2201010673</v>
      </c>
      <c r="E509" s="17" t="s">
        <v>1807</v>
      </c>
      <c r="F509" s="17" t="e">
        <f>VLOOKUP(C465,'Fast Track '!B:C,2,FALSE)</f>
        <v>#N/A</v>
      </c>
      <c r="G509" s="17" t="s">
        <v>3707</v>
      </c>
      <c r="H509" s="17" t="s">
        <v>167</v>
      </c>
      <c r="I509" s="17" t="str">
        <f>VLOOKUP(D509,Sheet1!E:K,6,FALSE)</f>
        <v>7644822120</v>
      </c>
      <c r="J509" s="17" t="s">
        <v>15</v>
      </c>
      <c r="K509" s="37" t="s">
        <v>3644</v>
      </c>
      <c r="L509" t="s">
        <v>3658</v>
      </c>
    </row>
    <row r="510" spans="1:12">
      <c r="A510" s="17">
        <v>509</v>
      </c>
      <c r="B510" s="17" t="s">
        <v>135</v>
      </c>
      <c r="C510" s="17">
        <v>2022338616</v>
      </c>
      <c r="D510" s="17">
        <v>2201010695</v>
      </c>
      <c r="E510" s="17" t="s">
        <v>1807</v>
      </c>
      <c r="F510" s="17"/>
      <c r="G510" s="17" t="s">
        <v>3707</v>
      </c>
      <c r="H510" s="17" t="s">
        <v>136</v>
      </c>
      <c r="I510" s="17" t="str">
        <f>VLOOKUP(D510,Sheet1!E:K,6,FALSE)</f>
        <v>7827186921</v>
      </c>
      <c r="J510" s="17" t="s">
        <v>15</v>
      </c>
      <c r="K510" s="37" t="s">
        <v>3644</v>
      </c>
      <c r="L510" t="s">
        <v>3658</v>
      </c>
    </row>
    <row r="511" spans="1:12">
      <c r="A511" s="17">
        <v>510</v>
      </c>
      <c r="B511" s="17" t="s">
        <v>213</v>
      </c>
      <c r="C511" s="17">
        <v>2022508695</v>
      </c>
      <c r="D511" s="17">
        <v>2201010720</v>
      </c>
      <c r="E511" s="17" t="s">
        <v>1807</v>
      </c>
      <c r="F511" s="17"/>
      <c r="G511" s="17" t="s">
        <v>3707</v>
      </c>
      <c r="H511" s="17" t="s">
        <v>214</v>
      </c>
      <c r="I511" s="17" t="str">
        <f>VLOOKUP(D511,Sheet1!E:K,6,FALSE)</f>
        <v>9548741286</v>
      </c>
      <c r="J511" s="17" t="s">
        <v>15</v>
      </c>
      <c r="K511" s="37" t="s">
        <v>3644</v>
      </c>
      <c r="L511" t="s">
        <v>3658</v>
      </c>
    </row>
    <row r="512" spans="1:12">
      <c r="A512" s="17">
        <v>511</v>
      </c>
      <c r="B512" s="17" t="s">
        <v>430</v>
      </c>
      <c r="C512" s="17">
        <v>2022404783</v>
      </c>
      <c r="D512" s="17">
        <v>2201010679</v>
      </c>
      <c r="E512" s="17" t="s">
        <v>1807</v>
      </c>
      <c r="F512" s="17"/>
      <c r="G512" s="17" t="s">
        <v>3707</v>
      </c>
      <c r="H512" s="17" t="s">
        <v>431</v>
      </c>
      <c r="I512" s="17" t="str">
        <f>VLOOKUP(D512,Sheet1!E:K,6,FALSE)</f>
        <v>8979566862</v>
      </c>
      <c r="J512" s="17" t="s">
        <v>15</v>
      </c>
      <c r="K512" s="37" t="s">
        <v>3644</v>
      </c>
      <c r="L512" t="s">
        <v>3658</v>
      </c>
    </row>
    <row r="513" spans="1:12">
      <c r="A513" s="17">
        <v>512</v>
      </c>
      <c r="B513" s="17" t="s">
        <v>172</v>
      </c>
      <c r="C513" s="17">
        <v>2022007342</v>
      </c>
      <c r="D513" s="17">
        <v>2201010845</v>
      </c>
      <c r="E513" s="17" t="s">
        <v>1807</v>
      </c>
      <c r="F513" s="17"/>
      <c r="G513" s="17" t="s">
        <v>3707</v>
      </c>
      <c r="H513" s="17" t="s">
        <v>173</v>
      </c>
      <c r="I513" s="17" t="str">
        <f>VLOOKUP(D513,Sheet1!E:K,6,FALSE)</f>
        <v>9149220680</v>
      </c>
      <c r="J513" s="17" t="s">
        <v>15</v>
      </c>
      <c r="K513" s="37" t="s">
        <v>3644</v>
      </c>
      <c r="L513" t="s">
        <v>3658</v>
      </c>
    </row>
    <row r="514" spans="1:12">
      <c r="A514" s="17">
        <v>513</v>
      </c>
      <c r="B514" s="17" t="s">
        <v>175</v>
      </c>
      <c r="C514" s="17">
        <v>2022007381</v>
      </c>
      <c r="D514" s="17">
        <v>2201010846</v>
      </c>
      <c r="E514" s="17" t="s">
        <v>1807</v>
      </c>
      <c r="F514" s="17"/>
      <c r="G514" s="17" t="s">
        <v>3707</v>
      </c>
      <c r="H514" s="17" t="s">
        <v>176</v>
      </c>
      <c r="I514" s="17" t="str">
        <f>VLOOKUP(D514,Sheet1!E:K,6,FALSE)</f>
        <v>7759816393</v>
      </c>
      <c r="J514" s="17" t="s">
        <v>15</v>
      </c>
      <c r="K514" s="37" t="s">
        <v>3644</v>
      </c>
      <c r="L514" t="s">
        <v>3658</v>
      </c>
    </row>
    <row r="515" spans="1:12">
      <c r="A515" s="17">
        <v>514</v>
      </c>
      <c r="B515" s="17" t="s">
        <v>217</v>
      </c>
      <c r="C515" s="17">
        <v>2022558410</v>
      </c>
      <c r="D515" s="17">
        <v>2201010882</v>
      </c>
      <c r="E515" s="17" t="s">
        <v>1807</v>
      </c>
      <c r="F515" s="17"/>
      <c r="G515" s="17" t="s">
        <v>3707</v>
      </c>
      <c r="H515" s="17" t="s">
        <v>218</v>
      </c>
      <c r="I515" s="17" t="str">
        <f>VLOOKUP(D515,Sheet1!E:K,6,FALSE)</f>
        <v>7033913503</v>
      </c>
      <c r="J515" s="17" t="s">
        <v>15</v>
      </c>
      <c r="K515" s="37" t="s">
        <v>3644</v>
      </c>
      <c r="L515" t="s">
        <v>3658</v>
      </c>
    </row>
    <row r="516" spans="1:12">
      <c r="A516" s="17">
        <v>515</v>
      </c>
      <c r="B516" s="17" t="s">
        <v>235</v>
      </c>
      <c r="C516" s="17">
        <v>2022621767</v>
      </c>
      <c r="D516" s="17">
        <v>2201010905</v>
      </c>
      <c r="E516" s="17" t="s">
        <v>1807</v>
      </c>
      <c r="F516" s="17"/>
      <c r="G516" s="17" t="s">
        <v>3707</v>
      </c>
      <c r="H516" s="17" t="s">
        <v>236</v>
      </c>
      <c r="I516" s="17" t="str">
        <f>VLOOKUP(D516,Sheet1!E:K,6,FALSE)</f>
        <v>9479557386</v>
      </c>
      <c r="J516" s="17" t="s">
        <v>15</v>
      </c>
      <c r="K516" s="37" t="s">
        <v>3644</v>
      </c>
      <c r="L516" t="s">
        <v>3658</v>
      </c>
    </row>
    <row r="517" spans="1:12">
      <c r="A517" s="17">
        <v>516</v>
      </c>
      <c r="B517" s="17" t="s">
        <v>88</v>
      </c>
      <c r="C517" s="17">
        <v>2022484684</v>
      </c>
      <c r="D517" s="17">
        <v>2201010056</v>
      </c>
      <c r="E517" s="17" t="s">
        <v>1807</v>
      </c>
      <c r="F517" s="17"/>
      <c r="G517" s="17" t="s">
        <v>3707</v>
      </c>
      <c r="H517" s="17" t="s">
        <v>89</v>
      </c>
      <c r="I517" s="17" t="str">
        <f>VLOOKUP(D517,Sheet1!E:K,6,FALSE)</f>
        <v>7840080567</v>
      </c>
      <c r="J517" s="17" t="s">
        <v>15</v>
      </c>
      <c r="K517" s="37" t="s">
        <v>3644</v>
      </c>
      <c r="L517" t="s">
        <v>3658</v>
      </c>
    </row>
    <row r="518" spans="1:12">
      <c r="A518" s="17">
        <v>517</v>
      </c>
      <c r="B518" s="17" t="s">
        <v>74</v>
      </c>
      <c r="C518" s="17">
        <v>2022434676</v>
      </c>
      <c r="D518" s="17">
        <v>2201010091</v>
      </c>
      <c r="E518" s="17" t="s">
        <v>1807</v>
      </c>
      <c r="F518" s="17"/>
      <c r="G518" s="17" t="s">
        <v>3707</v>
      </c>
      <c r="H518" s="17" t="s">
        <v>75</v>
      </c>
      <c r="I518" s="17" t="str">
        <f>VLOOKUP(D518,Sheet1!E:K,6,FALSE)</f>
        <v>9835339700</v>
      </c>
      <c r="J518" s="17" t="s">
        <v>15</v>
      </c>
      <c r="K518" s="37" t="s">
        <v>3644</v>
      </c>
      <c r="L518" t="s">
        <v>3658</v>
      </c>
    </row>
    <row r="519" spans="1:12">
      <c r="A519" s="17">
        <v>518</v>
      </c>
      <c r="B519" s="17" t="s">
        <v>105</v>
      </c>
      <c r="C519" s="17">
        <v>2022506408</v>
      </c>
      <c r="D519" s="17">
        <v>2201010430</v>
      </c>
      <c r="E519" s="17" t="s">
        <v>1807</v>
      </c>
      <c r="F519" s="17"/>
      <c r="G519" s="17" t="s">
        <v>3707</v>
      </c>
      <c r="H519" s="17" t="s">
        <v>106</v>
      </c>
      <c r="I519" s="17" t="str">
        <f>VLOOKUP(D519,Sheet1!E:K,6,FALSE)</f>
        <v>9905593696</v>
      </c>
      <c r="J519" s="17" t="s">
        <v>15</v>
      </c>
      <c r="K519" s="37" t="s">
        <v>3644</v>
      </c>
      <c r="L519" t="s">
        <v>3658</v>
      </c>
    </row>
    <row r="520" spans="1:12">
      <c r="A520" s="17">
        <v>519</v>
      </c>
      <c r="B520" s="17" t="s">
        <v>29</v>
      </c>
      <c r="C520" s="17">
        <v>2022003474</v>
      </c>
      <c r="D520" s="17">
        <v>2201010499</v>
      </c>
      <c r="E520" s="17" t="s">
        <v>1807</v>
      </c>
      <c r="F520" s="17"/>
      <c r="G520" s="17" t="s">
        <v>3707</v>
      </c>
      <c r="H520" s="17" t="s">
        <v>30</v>
      </c>
      <c r="I520" s="17" t="str">
        <f>VLOOKUP(D520,Sheet1!E:K,6,FALSE)</f>
        <v>6397729725</v>
      </c>
      <c r="J520" s="17" t="s">
        <v>15</v>
      </c>
      <c r="K520" s="37" t="s">
        <v>3644</v>
      </c>
      <c r="L520" t="s">
        <v>3658</v>
      </c>
    </row>
    <row r="521" spans="1:12">
      <c r="A521" s="17">
        <v>520</v>
      </c>
      <c r="B521" s="17" t="s">
        <v>52</v>
      </c>
      <c r="C521" s="17">
        <v>2022344698</v>
      </c>
      <c r="D521" s="17">
        <v>2201010539</v>
      </c>
      <c r="E521" s="17" t="s">
        <v>1807</v>
      </c>
      <c r="F521" s="17"/>
      <c r="G521" s="17" t="s">
        <v>3707</v>
      </c>
      <c r="H521" s="17" t="s">
        <v>53</v>
      </c>
      <c r="I521" s="17" t="str">
        <f>VLOOKUP(D521,Sheet1!E:K,6,FALSE)</f>
        <v>9693330760</v>
      </c>
      <c r="J521" s="17" t="s">
        <v>15</v>
      </c>
      <c r="K521" s="37" t="s">
        <v>3644</v>
      </c>
      <c r="L521" t="s">
        <v>3658</v>
      </c>
    </row>
    <row r="522" spans="1:12">
      <c r="A522" s="17">
        <v>521</v>
      </c>
      <c r="B522" s="17" t="s">
        <v>12</v>
      </c>
      <c r="C522" s="17">
        <v>2022000799</v>
      </c>
      <c r="D522" s="17">
        <v>2201010619</v>
      </c>
      <c r="E522" s="17" t="s">
        <v>1807</v>
      </c>
      <c r="F522" s="17"/>
      <c r="G522" s="17" t="s">
        <v>3707</v>
      </c>
      <c r="H522" s="17" t="s">
        <v>14</v>
      </c>
      <c r="I522" s="17">
        <f>VLOOKUP(D522,Sheet1!E:K,6,FALSE)</f>
        <v>0</v>
      </c>
      <c r="J522" s="17" t="s">
        <v>15</v>
      </c>
      <c r="K522" s="37" t="s">
        <v>3644</v>
      </c>
      <c r="L522" t="s">
        <v>3658</v>
      </c>
    </row>
    <row r="523" spans="1:12">
      <c r="A523" s="17">
        <v>522</v>
      </c>
      <c r="B523" s="17" t="s">
        <v>19</v>
      </c>
      <c r="C523" s="17">
        <v>2022001198</v>
      </c>
      <c r="D523" s="17">
        <v>2201010620</v>
      </c>
      <c r="E523" s="17" t="s">
        <v>1807</v>
      </c>
      <c r="F523" s="17"/>
      <c r="G523" s="17" t="s">
        <v>3707</v>
      </c>
      <c r="H523" s="17" t="s">
        <v>20</v>
      </c>
      <c r="I523" s="17" t="str">
        <f>VLOOKUP(D523,Sheet1!E:K,6,FALSE)</f>
        <v>960445800</v>
      </c>
      <c r="J523" s="17" t="s">
        <v>15</v>
      </c>
      <c r="K523" s="37" t="s">
        <v>3644</v>
      </c>
      <c r="L523" t="s">
        <v>3658</v>
      </c>
    </row>
    <row r="524" spans="1:12">
      <c r="A524" s="17">
        <v>523</v>
      </c>
      <c r="B524" s="17" t="s">
        <v>66</v>
      </c>
      <c r="C524" s="17">
        <v>2022408033</v>
      </c>
      <c r="D524" s="17">
        <v>2201010723</v>
      </c>
      <c r="E524" s="17" t="s">
        <v>1807</v>
      </c>
      <c r="F524" s="17"/>
      <c r="G524" s="17" t="s">
        <v>3707</v>
      </c>
      <c r="H524" s="17" t="s">
        <v>67</v>
      </c>
      <c r="I524" s="17" t="str">
        <f>VLOOKUP(D524,Sheet1!E:K,6,FALSE)</f>
        <v>9958635595</v>
      </c>
      <c r="J524" s="17"/>
      <c r="K524" s="37" t="s">
        <v>3644</v>
      </c>
      <c r="L524" t="s">
        <v>3658</v>
      </c>
    </row>
    <row r="525" spans="1:12">
      <c r="A525" s="17">
        <v>524</v>
      </c>
      <c r="B525" s="17" t="s">
        <v>96</v>
      </c>
      <c r="C525" s="17">
        <v>2022498602</v>
      </c>
      <c r="D525" s="17">
        <v>2201010724</v>
      </c>
      <c r="E525" s="17" t="s">
        <v>1807</v>
      </c>
      <c r="F525" s="17"/>
      <c r="G525" s="17" t="s">
        <v>3707</v>
      </c>
      <c r="H525" s="17" t="s">
        <v>97</v>
      </c>
      <c r="I525" s="17" t="str">
        <f>VLOOKUP(D525,Sheet1!E:K,6,FALSE)</f>
        <v>9838391937</v>
      </c>
      <c r="J525" s="17"/>
      <c r="K525" s="37" t="s">
        <v>3644</v>
      </c>
      <c r="L525" t="s">
        <v>3658</v>
      </c>
    </row>
    <row r="526" spans="1:12">
      <c r="A526" s="17">
        <v>525</v>
      </c>
      <c r="B526" s="17" t="s">
        <v>60</v>
      </c>
      <c r="C526" s="17">
        <v>2022393356</v>
      </c>
      <c r="D526" s="17">
        <v>2201010771</v>
      </c>
      <c r="E526" s="17" t="s">
        <v>1807</v>
      </c>
      <c r="F526" s="17"/>
      <c r="G526" s="17" t="s">
        <v>3707</v>
      </c>
      <c r="H526" s="17" t="s">
        <v>61</v>
      </c>
      <c r="I526" s="17" t="str">
        <f>VLOOKUP(D526,Sheet1!E:K,6,FALSE)</f>
        <v>8810607038</v>
      </c>
      <c r="J526" s="17"/>
      <c r="K526" s="37" t="s">
        <v>3644</v>
      </c>
      <c r="L526" t="s">
        <v>3658</v>
      </c>
    </row>
    <row r="527" spans="1:12">
      <c r="A527" s="17">
        <v>526</v>
      </c>
      <c r="B527" s="6" t="s">
        <v>1134</v>
      </c>
      <c r="C527" s="7">
        <v>2022003160</v>
      </c>
      <c r="D527" s="7">
        <v>2201010002</v>
      </c>
      <c r="E527" s="7" t="s">
        <v>1811</v>
      </c>
      <c r="F527" s="7" t="str">
        <f>VLOOKUP(C527,'Fast Track '!B:C,2,FALSE)</f>
        <v xml:space="preserve">Fasttrack </v>
      </c>
      <c r="G527" s="7"/>
      <c r="H527" s="6" t="s">
        <v>1135</v>
      </c>
      <c r="I527" s="6" t="s">
        <v>2846</v>
      </c>
      <c r="J527" s="35" t="s">
        <v>532</v>
      </c>
      <c r="K527" s="37" t="s">
        <v>3645</v>
      </c>
      <c r="L527" t="s">
        <v>3663</v>
      </c>
    </row>
    <row r="528" spans="1:12">
      <c r="A528" s="17">
        <v>527</v>
      </c>
      <c r="B528" s="6" t="s">
        <v>1258</v>
      </c>
      <c r="C528" s="7">
        <v>2022434098</v>
      </c>
      <c r="D528" s="7">
        <v>2201010727</v>
      </c>
      <c r="E528" s="7" t="s">
        <v>1811</v>
      </c>
      <c r="F528" s="7" t="str">
        <f>VLOOKUP(C528,'Fast Track '!B:C,2,FALSE)</f>
        <v xml:space="preserve">Fasttrack </v>
      </c>
      <c r="G528" s="7"/>
      <c r="H528" s="6" t="s">
        <v>1259</v>
      </c>
      <c r="I528" s="6" t="s">
        <v>3174</v>
      </c>
      <c r="J528" s="35" t="s">
        <v>532</v>
      </c>
      <c r="K528" s="37" t="s">
        <v>3645</v>
      </c>
      <c r="L528" t="s">
        <v>3663</v>
      </c>
    </row>
    <row r="529" spans="1:12">
      <c r="A529" s="17">
        <v>528</v>
      </c>
      <c r="B529" s="6" t="s">
        <v>844</v>
      </c>
      <c r="C529" s="7">
        <v>2022361106</v>
      </c>
      <c r="D529" s="7">
        <v>2201010482</v>
      </c>
      <c r="E529" s="7" t="s">
        <v>1811</v>
      </c>
      <c r="F529" s="7" t="str">
        <f>VLOOKUP(C529,'Fast Track '!B:C,2,FALSE)</f>
        <v xml:space="preserve">Fasttrack </v>
      </c>
      <c r="G529" s="7"/>
      <c r="H529" s="6" t="s">
        <v>845</v>
      </c>
      <c r="I529" s="6" t="s">
        <v>3282</v>
      </c>
      <c r="J529" s="35" t="s">
        <v>532</v>
      </c>
      <c r="K529" s="37" t="s">
        <v>3645</v>
      </c>
      <c r="L529" t="s">
        <v>3663</v>
      </c>
    </row>
    <row r="530" spans="1:12">
      <c r="A530" s="17">
        <v>529</v>
      </c>
      <c r="B530" s="6" t="s">
        <v>858</v>
      </c>
      <c r="C530" s="7">
        <v>2022427832</v>
      </c>
      <c r="D530" s="7">
        <v>2201010809</v>
      </c>
      <c r="E530" s="7" t="s">
        <v>1811</v>
      </c>
      <c r="F530" s="7" t="str">
        <f>VLOOKUP(C530,'Fast Track '!B:C,2,FALSE)</f>
        <v xml:space="preserve">Fasttrack </v>
      </c>
      <c r="G530" s="7"/>
      <c r="H530" s="6" t="s">
        <v>859</v>
      </c>
      <c r="I530" s="6" t="s">
        <v>3312</v>
      </c>
      <c r="J530" s="35" t="s">
        <v>532</v>
      </c>
      <c r="K530" s="37" t="s">
        <v>3645</v>
      </c>
      <c r="L530" t="s">
        <v>3663</v>
      </c>
    </row>
    <row r="531" spans="1:12">
      <c r="A531" s="17">
        <v>530</v>
      </c>
      <c r="B531" s="6" t="s">
        <v>1560</v>
      </c>
      <c r="C531" s="7">
        <v>2022503936</v>
      </c>
      <c r="D531" s="7">
        <v>2201010368</v>
      </c>
      <c r="E531" s="7" t="s">
        <v>1811</v>
      </c>
      <c r="F531" s="7" t="str">
        <f>VLOOKUP(C531,'Fast Track '!B:C,2,FALSE)</f>
        <v xml:space="preserve">Fasttrack </v>
      </c>
      <c r="G531" s="7"/>
      <c r="H531" s="6" t="s">
        <v>1561</v>
      </c>
      <c r="I531" s="6" t="s">
        <v>3402</v>
      </c>
      <c r="J531" s="35" t="s">
        <v>532</v>
      </c>
      <c r="K531" s="37" t="s">
        <v>3645</v>
      </c>
      <c r="L531" t="s">
        <v>3663</v>
      </c>
    </row>
    <row r="532" spans="1:12">
      <c r="A532" s="17">
        <v>531</v>
      </c>
      <c r="B532" s="6" t="s">
        <v>1566</v>
      </c>
      <c r="C532" s="7">
        <v>2022507071</v>
      </c>
      <c r="D532" s="7">
        <v>2201010461</v>
      </c>
      <c r="E532" s="7" t="s">
        <v>1811</v>
      </c>
      <c r="F532" s="7" t="str">
        <f>VLOOKUP(C532,'Fast Track '!B:C,2,FALSE)</f>
        <v xml:space="preserve">Fasttrack </v>
      </c>
      <c r="G532" s="7"/>
      <c r="H532" s="6" t="s">
        <v>1567</v>
      </c>
      <c r="I532" s="6" t="s">
        <v>3406</v>
      </c>
      <c r="J532" s="35" t="s">
        <v>532</v>
      </c>
      <c r="K532" s="37" t="s">
        <v>3645</v>
      </c>
      <c r="L532" t="s">
        <v>3663</v>
      </c>
    </row>
    <row r="533" spans="1:12">
      <c r="A533" s="17">
        <v>532</v>
      </c>
      <c r="B533" s="6" t="s">
        <v>1189</v>
      </c>
      <c r="C533" s="7">
        <v>2022445444</v>
      </c>
      <c r="D533" s="7">
        <v>2201010028</v>
      </c>
      <c r="E533" s="7" t="s">
        <v>1811</v>
      </c>
      <c r="F533" s="7" t="e">
        <f>VLOOKUP(C533,'Fast Track '!B:C,2,FALSE)</f>
        <v>#N/A</v>
      </c>
      <c r="G533" s="7" t="s">
        <v>3707</v>
      </c>
      <c r="H533" s="6" t="s">
        <v>1190</v>
      </c>
      <c r="I533" s="6" t="s">
        <v>2858</v>
      </c>
      <c r="J533" s="35" t="s">
        <v>532</v>
      </c>
      <c r="K533" s="37" t="s">
        <v>3645</v>
      </c>
      <c r="L533" t="s">
        <v>3663</v>
      </c>
    </row>
    <row r="534" spans="1:12">
      <c r="A534" s="17">
        <v>533</v>
      </c>
      <c r="B534" s="6" t="s">
        <v>1209</v>
      </c>
      <c r="C534" s="7">
        <v>2022489115</v>
      </c>
      <c r="D534" s="7">
        <v>2201010036</v>
      </c>
      <c r="E534" s="7" t="s">
        <v>1811</v>
      </c>
      <c r="F534" s="7" t="e">
        <f>VLOOKUP(C534,'Fast Track '!B:C,2,FALSE)</f>
        <v>#N/A</v>
      </c>
      <c r="G534" s="7" t="s">
        <v>3707</v>
      </c>
      <c r="H534" s="6" t="s">
        <v>1210</v>
      </c>
      <c r="I534" s="6" t="s">
        <v>2860</v>
      </c>
      <c r="J534" s="35" t="s">
        <v>532</v>
      </c>
      <c r="K534" s="37" t="s">
        <v>3645</v>
      </c>
      <c r="L534" t="s">
        <v>3663</v>
      </c>
    </row>
    <row r="535" spans="1:12">
      <c r="A535" s="17">
        <v>534</v>
      </c>
      <c r="B535" s="6" t="s">
        <v>1130</v>
      </c>
      <c r="C535" s="7">
        <v>2022002243</v>
      </c>
      <c r="D535" s="7">
        <v>2201010462</v>
      </c>
      <c r="E535" s="7" t="s">
        <v>1811</v>
      </c>
      <c r="F535" s="7" t="str">
        <f>VLOOKUP(C535,'Fast Track '!B:C,2,FALSE)</f>
        <v xml:space="preserve">Fasttrack </v>
      </c>
      <c r="G535" s="7"/>
      <c r="H535" s="6" t="s">
        <v>1131</v>
      </c>
      <c r="I535" s="6" t="s">
        <v>2918</v>
      </c>
      <c r="J535" s="35" t="s">
        <v>532</v>
      </c>
      <c r="K535" s="37" t="s">
        <v>3645</v>
      </c>
      <c r="L535" t="s">
        <v>3663</v>
      </c>
    </row>
    <row r="536" spans="1:12">
      <c r="A536" s="17">
        <v>535</v>
      </c>
      <c r="B536" s="6" t="s">
        <v>1132</v>
      </c>
      <c r="C536" s="7">
        <v>2022002974</v>
      </c>
      <c r="D536" s="7">
        <v>2201010074</v>
      </c>
      <c r="E536" s="7" t="s">
        <v>1811</v>
      </c>
      <c r="F536" s="7" t="e">
        <f>VLOOKUP(C536,'Fast Track '!B:C,2,FALSE)</f>
        <v>#N/A</v>
      </c>
      <c r="G536" s="7" t="s">
        <v>3707</v>
      </c>
      <c r="H536" s="6" t="s">
        <v>1133</v>
      </c>
      <c r="I536" s="6" t="s">
        <v>2864</v>
      </c>
      <c r="J536" s="35" t="s">
        <v>532</v>
      </c>
      <c r="K536" s="37" t="s">
        <v>3645</v>
      </c>
      <c r="L536" t="s">
        <v>3663</v>
      </c>
    </row>
    <row r="537" spans="1:12">
      <c r="A537" s="17">
        <v>536</v>
      </c>
      <c r="B537" s="6" t="s">
        <v>1177</v>
      </c>
      <c r="C537" s="7">
        <v>2022405043</v>
      </c>
      <c r="D537" s="7">
        <v>2201010112</v>
      </c>
      <c r="E537" s="7" t="s">
        <v>1811</v>
      </c>
      <c r="F537" s="7" t="e">
        <f>VLOOKUP(C537,'Fast Track '!B:C,2,FALSE)</f>
        <v>#N/A</v>
      </c>
      <c r="G537" s="7" t="s">
        <v>3707</v>
      </c>
      <c r="H537" s="6" t="s">
        <v>1178</v>
      </c>
      <c r="I537" s="6" t="s">
        <v>2866</v>
      </c>
      <c r="J537" s="35" t="s">
        <v>532</v>
      </c>
      <c r="K537" s="37" t="s">
        <v>3645</v>
      </c>
      <c r="L537" t="s">
        <v>3663</v>
      </c>
    </row>
    <row r="538" spans="1:12">
      <c r="A538" s="17">
        <v>537</v>
      </c>
      <c r="B538" s="6" t="s">
        <v>1191</v>
      </c>
      <c r="C538" s="7">
        <v>2022445607</v>
      </c>
      <c r="D538" s="7">
        <v>2201010136</v>
      </c>
      <c r="E538" s="7" t="s">
        <v>1811</v>
      </c>
      <c r="F538" s="7" t="e">
        <f>VLOOKUP(C538,'Fast Track '!B:C,2,FALSE)</f>
        <v>#N/A</v>
      </c>
      <c r="G538" s="7" t="s">
        <v>3707</v>
      </c>
      <c r="H538" s="6" t="s">
        <v>1192</v>
      </c>
      <c r="I538" s="6" t="s">
        <v>2868</v>
      </c>
      <c r="J538" s="35" t="s">
        <v>532</v>
      </c>
      <c r="K538" s="37" t="s">
        <v>3645</v>
      </c>
      <c r="L538" t="s">
        <v>3663</v>
      </c>
    </row>
    <row r="539" spans="1:12">
      <c r="A539" s="17">
        <v>538</v>
      </c>
      <c r="B539" s="6" t="s">
        <v>1144</v>
      </c>
      <c r="C539" s="7">
        <v>2022005224</v>
      </c>
      <c r="D539" s="7">
        <v>2201010158</v>
      </c>
      <c r="E539" s="7" t="s">
        <v>1811</v>
      </c>
      <c r="F539" s="7" t="e">
        <f>VLOOKUP(C539,'Fast Track '!B:C,2,FALSE)</f>
        <v>#N/A</v>
      </c>
      <c r="G539" s="7" t="s">
        <v>3707</v>
      </c>
      <c r="H539" s="6" t="s">
        <v>1145</v>
      </c>
      <c r="I539" s="6" t="s">
        <v>2870</v>
      </c>
      <c r="J539" s="35" t="s">
        <v>532</v>
      </c>
      <c r="K539" s="37" t="s">
        <v>3645</v>
      </c>
      <c r="L539" t="s">
        <v>3663</v>
      </c>
    </row>
    <row r="540" spans="1:12">
      <c r="A540" s="17">
        <v>539</v>
      </c>
      <c r="B540" s="6" t="s">
        <v>1243</v>
      </c>
      <c r="C540" s="7">
        <v>2022002716</v>
      </c>
      <c r="D540" s="7">
        <v>2201010165</v>
      </c>
      <c r="E540" s="7" t="s">
        <v>1811</v>
      </c>
      <c r="F540" s="7" t="e">
        <f>VLOOKUP(C540,'Fast Track '!B:C,2,FALSE)</f>
        <v>#N/A</v>
      </c>
      <c r="G540" s="7" t="s">
        <v>3707</v>
      </c>
      <c r="H540" s="6" t="s">
        <v>1244</v>
      </c>
      <c r="I540" s="6" t="s">
        <v>2872</v>
      </c>
      <c r="J540" s="35" t="s">
        <v>532</v>
      </c>
      <c r="K540" s="37" t="s">
        <v>3645</v>
      </c>
      <c r="L540" t="s">
        <v>3663</v>
      </c>
    </row>
    <row r="541" spans="1:12">
      <c r="A541" s="17">
        <v>540</v>
      </c>
      <c r="B541" s="6" t="s">
        <v>1156</v>
      </c>
      <c r="C541" s="7">
        <v>2022305160</v>
      </c>
      <c r="D541" s="7">
        <v>2201010168</v>
      </c>
      <c r="E541" s="7" t="s">
        <v>1811</v>
      </c>
      <c r="F541" s="7" t="e">
        <f>VLOOKUP(C541,'Fast Track '!B:C,2,FALSE)</f>
        <v>#N/A</v>
      </c>
      <c r="G541" s="7" t="s">
        <v>3707</v>
      </c>
      <c r="H541" s="6" t="s">
        <v>1157</v>
      </c>
      <c r="I541" s="6" t="s">
        <v>2874</v>
      </c>
      <c r="J541" s="35" t="s">
        <v>532</v>
      </c>
      <c r="K541" s="37" t="s">
        <v>3645</v>
      </c>
      <c r="L541" t="s">
        <v>3663</v>
      </c>
    </row>
    <row r="542" spans="1:12">
      <c r="A542" s="17">
        <v>541</v>
      </c>
      <c r="B542" s="6" t="s">
        <v>1179</v>
      </c>
      <c r="C542" s="7">
        <v>2022408489</v>
      </c>
      <c r="D542" s="7">
        <v>2201010180</v>
      </c>
      <c r="E542" s="7" t="s">
        <v>1811</v>
      </c>
      <c r="F542" s="7" t="e">
        <f>VLOOKUP(C542,'Fast Track '!B:C,2,FALSE)</f>
        <v>#N/A</v>
      </c>
      <c r="G542" s="7" t="s">
        <v>3707</v>
      </c>
      <c r="H542" s="6" t="s">
        <v>1180</v>
      </c>
      <c r="I542" s="6" t="s">
        <v>2876</v>
      </c>
      <c r="J542" s="35" t="s">
        <v>532</v>
      </c>
      <c r="K542" s="37" t="s">
        <v>3645</v>
      </c>
      <c r="L542" t="s">
        <v>3663</v>
      </c>
    </row>
    <row r="543" spans="1:12">
      <c r="A543" s="17">
        <v>542</v>
      </c>
      <c r="B543" s="6" t="s">
        <v>1171</v>
      </c>
      <c r="C543" s="7">
        <v>2022360947</v>
      </c>
      <c r="D543" s="7">
        <v>2201010200</v>
      </c>
      <c r="E543" s="7" t="s">
        <v>1811</v>
      </c>
      <c r="F543" s="7" t="e">
        <f>VLOOKUP(C543,'Fast Track '!B:C,2,FALSE)</f>
        <v>#N/A</v>
      </c>
      <c r="G543" s="7" t="s">
        <v>3707</v>
      </c>
      <c r="H543" s="6" t="s">
        <v>1172</v>
      </c>
      <c r="I543" s="6" t="s">
        <v>2878</v>
      </c>
      <c r="J543" s="35" t="s">
        <v>532</v>
      </c>
      <c r="K543" s="37" t="s">
        <v>3645</v>
      </c>
      <c r="L543" t="s">
        <v>3663</v>
      </c>
    </row>
    <row r="544" spans="1:12">
      <c r="A544" s="17">
        <v>543</v>
      </c>
      <c r="B544" s="6" t="s">
        <v>1223</v>
      </c>
      <c r="C544" s="7">
        <v>2022520080</v>
      </c>
      <c r="D544" s="7">
        <v>2201010206</v>
      </c>
      <c r="E544" s="7" t="s">
        <v>1811</v>
      </c>
      <c r="F544" s="7" t="str">
        <f>VLOOKUP(C544,'Fast Track '!B:C,2,FALSE)</f>
        <v xml:space="preserve">Fasttrack </v>
      </c>
      <c r="G544" s="7"/>
      <c r="H544" s="6" t="s">
        <v>1224</v>
      </c>
      <c r="I544" s="6" t="s">
        <v>2880</v>
      </c>
      <c r="J544" s="35" t="s">
        <v>532</v>
      </c>
      <c r="K544" s="37" t="s">
        <v>3645</v>
      </c>
      <c r="L544" t="s">
        <v>3663</v>
      </c>
    </row>
    <row r="545" spans="1:12">
      <c r="A545" s="17">
        <v>544</v>
      </c>
      <c r="B545" s="6" t="s">
        <v>1207</v>
      </c>
      <c r="C545" s="7">
        <v>2022487026</v>
      </c>
      <c r="D545" s="7">
        <v>2201010216</v>
      </c>
      <c r="E545" s="7" t="s">
        <v>1811</v>
      </c>
      <c r="F545" s="7" t="e">
        <f>VLOOKUP(C545,'Fast Track '!B:C,2,FALSE)</f>
        <v>#N/A</v>
      </c>
      <c r="G545" s="7" t="s">
        <v>3707</v>
      </c>
      <c r="H545" s="6" t="s">
        <v>1208</v>
      </c>
      <c r="I545" s="6" t="s">
        <v>2882</v>
      </c>
      <c r="J545" s="35" t="s">
        <v>532</v>
      </c>
      <c r="K545" s="37" t="s">
        <v>3645</v>
      </c>
      <c r="L545" t="s">
        <v>3663</v>
      </c>
    </row>
    <row r="546" spans="1:12">
      <c r="A546" s="17">
        <v>545</v>
      </c>
      <c r="B546" s="6" t="s">
        <v>1165</v>
      </c>
      <c r="C546" s="7">
        <v>2022345074</v>
      </c>
      <c r="D546" s="7">
        <v>2201010223</v>
      </c>
      <c r="E546" s="7" t="s">
        <v>1811</v>
      </c>
      <c r="F546" s="7" t="e">
        <f>VLOOKUP(C546,'Fast Track '!B:C,2,FALSE)</f>
        <v>#N/A</v>
      </c>
      <c r="G546" s="7" t="s">
        <v>3707</v>
      </c>
      <c r="H546" s="6" t="s">
        <v>1166</v>
      </c>
      <c r="I546" s="6" t="s">
        <v>2884</v>
      </c>
      <c r="J546" s="35" t="s">
        <v>532</v>
      </c>
      <c r="K546" s="37" t="s">
        <v>3645</v>
      </c>
      <c r="L546" t="s">
        <v>3663</v>
      </c>
    </row>
    <row r="547" spans="1:12">
      <c r="A547" s="17">
        <v>546</v>
      </c>
      <c r="B547" s="6" t="s">
        <v>1148</v>
      </c>
      <c r="C547" s="7">
        <v>2022005900</v>
      </c>
      <c r="D547" s="7">
        <v>2201010265</v>
      </c>
      <c r="E547" s="7" t="s">
        <v>1811</v>
      </c>
      <c r="F547" s="7" t="e">
        <f>VLOOKUP(C547,'Fast Track '!B:C,2,FALSE)</f>
        <v>#N/A</v>
      </c>
      <c r="G547" s="7" t="s">
        <v>3707</v>
      </c>
      <c r="H547" s="6" t="s">
        <v>1149</v>
      </c>
      <c r="I547" s="6" t="s">
        <v>2886</v>
      </c>
      <c r="J547" s="35" t="s">
        <v>532</v>
      </c>
      <c r="K547" s="37" t="s">
        <v>3645</v>
      </c>
      <c r="L547" t="s">
        <v>3663</v>
      </c>
    </row>
    <row r="548" spans="1:12">
      <c r="A548" s="17">
        <v>547</v>
      </c>
      <c r="B548" s="6" t="s">
        <v>1140</v>
      </c>
      <c r="C548" s="7">
        <v>2022004383</v>
      </c>
      <c r="D548" s="7">
        <v>2201010277</v>
      </c>
      <c r="E548" s="7" t="s">
        <v>1811</v>
      </c>
      <c r="F548" s="7" t="e">
        <f>VLOOKUP(C548,'Fast Track '!B:C,2,FALSE)</f>
        <v>#N/A</v>
      </c>
      <c r="G548" s="7" t="s">
        <v>3707</v>
      </c>
      <c r="H548" s="6" t="s">
        <v>1141</v>
      </c>
      <c r="I548" s="6" t="s">
        <v>2888</v>
      </c>
      <c r="J548" s="35" t="s">
        <v>532</v>
      </c>
      <c r="K548" s="37" t="s">
        <v>3645</v>
      </c>
      <c r="L548" t="s">
        <v>3663</v>
      </c>
    </row>
    <row r="549" spans="1:12">
      <c r="A549" s="17">
        <v>548</v>
      </c>
      <c r="B549" s="6" t="s">
        <v>1201</v>
      </c>
      <c r="C549" s="7">
        <v>2022477650</v>
      </c>
      <c r="D549" s="7">
        <v>2201010287</v>
      </c>
      <c r="E549" s="7" t="s">
        <v>1811</v>
      </c>
      <c r="F549" s="7" t="e">
        <f>VLOOKUP(C549,'Fast Track '!B:C,2,FALSE)</f>
        <v>#N/A</v>
      </c>
      <c r="G549" s="7" t="s">
        <v>3707</v>
      </c>
      <c r="H549" s="6" t="s">
        <v>1202</v>
      </c>
      <c r="I549" s="6" t="s">
        <v>2890</v>
      </c>
      <c r="J549" s="35" t="s">
        <v>532</v>
      </c>
      <c r="K549" s="37" t="s">
        <v>3645</v>
      </c>
      <c r="L549" t="s">
        <v>3663</v>
      </c>
    </row>
    <row r="550" spans="1:12">
      <c r="A550" s="17">
        <v>549</v>
      </c>
      <c r="B550" s="6" t="s">
        <v>1195</v>
      </c>
      <c r="C550" s="7">
        <v>2022451567</v>
      </c>
      <c r="D550" s="7">
        <v>2201010291</v>
      </c>
      <c r="E550" s="7" t="s">
        <v>1811</v>
      </c>
      <c r="F550" s="7" t="e">
        <f>VLOOKUP(C550,'Fast Track '!B:C,2,FALSE)</f>
        <v>#N/A</v>
      </c>
      <c r="G550" s="7" t="s">
        <v>3707</v>
      </c>
      <c r="H550" s="6" t="s">
        <v>1196</v>
      </c>
      <c r="I550" s="6" t="s">
        <v>2892</v>
      </c>
      <c r="J550" s="35" t="s">
        <v>532</v>
      </c>
      <c r="K550" s="37" t="s">
        <v>3645</v>
      </c>
      <c r="L550" t="s">
        <v>3663</v>
      </c>
    </row>
    <row r="551" spans="1:12">
      <c r="A551" s="17">
        <v>550</v>
      </c>
      <c r="B551" s="6" t="s">
        <v>1136</v>
      </c>
      <c r="C551" s="7">
        <v>2022003541</v>
      </c>
      <c r="D551" s="7">
        <v>2201010309</v>
      </c>
      <c r="E551" s="7" t="s">
        <v>1811</v>
      </c>
      <c r="F551" s="7" t="e">
        <f>VLOOKUP(C551,'Fast Track '!B:C,2,FALSE)</f>
        <v>#N/A</v>
      </c>
      <c r="G551" s="7" t="s">
        <v>3707</v>
      </c>
      <c r="H551" s="6" t="s">
        <v>1137</v>
      </c>
      <c r="I551" s="6" t="s">
        <v>2894</v>
      </c>
      <c r="J551" s="35" t="s">
        <v>532</v>
      </c>
      <c r="K551" s="37" t="s">
        <v>3645</v>
      </c>
      <c r="L551" t="s">
        <v>3663</v>
      </c>
    </row>
    <row r="552" spans="1:12">
      <c r="A552" s="17">
        <v>551</v>
      </c>
      <c r="B552" s="6" t="s">
        <v>1215</v>
      </c>
      <c r="C552" s="7">
        <v>2022501831</v>
      </c>
      <c r="D552" s="7">
        <v>2201010320</v>
      </c>
      <c r="E552" s="7" t="s">
        <v>1811</v>
      </c>
      <c r="F552" s="7" t="e">
        <f>VLOOKUP(C552,'Fast Track '!B:C,2,FALSE)</f>
        <v>#N/A</v>
      </c>
      <c r="G552" s="7" t="s">
        <v>3707</v>
      </c>
      <c r="H552" s="6" t="s">
        <v>1216</v>
      </c>
      <c r="I552" s="6" t="s">
        <v>2898</v>
      </c>
      <c r="J552" s="35" t="s">
        <v>532</v>
      </c>
      <c r="K552" s="37" t="s">
        <v>3645</v>
      </c>
      <c r="L552" t="s">
        <v>3663</v>
      </c>
    </row>
    <row r="553" spans="1:12">
      <c r="A553" s="17">
        <v>552</v>
      </c>
      <c r="B553" s="6" t="s">
        <v>1152</v>
      </c>
      <c r="C553" s="7">
        <v>2022006436</v>
      </c>
      <c r="D553" s="7">
        <v>2201010338</v>
      </c>
      <c r="E553" s="7" t="s">
        <v>1811</v>
      </c>
      <c r="F553" s="7" t="e">
        <f>VLOOKUP(C553,'Fast Track '!B:C,2,FALSE)</f>
        <v>#N/A</v>
      </c>
      <c r="G553" s="7" t="s">
        <v>3707</v>
      </c>
      <c r="H553" s="6" t="s">
        <v>1153</v>
      </c>
      <c r="I553" s="6" t="s">
        <v>2902</v>
      </c>
      <c r="J553" s="35" t="s">
        <v>532</v>
      </c>
      <c r="K553" s="37" t="s">
        <v>3645</v>
      </c>
      <c r="L553" t="s">
        <v>3663</v>
      </c>
    </row>
    <row r="554" spans="1:12">
      <c r="A554" s="17">
        <v>553</v>
      </c>
      <c r="B554" s="6" t="s">
        <v>1247</v>
      </c>
      <c r="C554" s="7">
        <v>2022502804</v>
      </c>
      <c r="D554" s="7">
        <v>2201010342</v>
      </c>
      <c r="E554" s="7" t="s">
        <v>1811</v>
      </c>
      <c r="F554" s="7" t="e">
        <f>VLOOKUP(C554,'Fast Track '!B:C,2,FALSE)</f>
        <v>#N/A</v>
      </c>
      <c r="G554" s="7" t="s">
        <v>3707</v>
      </c>
      <c r="H554" s="6" t="s">
        <v>1248</v>
      </c>
      <c r="I554" s="6" t="s">
        <v>2906</v>
      </c>
      <c r="J554" s="35" t="s">
        <v>532</v>
      </c>
      <c r="K554" s="37" t="s">
        <v>3645</v>
      </c>
      <c r="L554" t="s">
        <v>3663</v>
      </c>
    </row>
    <row r="555" spans="1:12">
      <c r="A555" s="17">
        <v>554</v>
      </c>
      <c r="B555" s="6" t="s">
        <v>1229</v>
      </c>
      <c r="C555" s="7">
        <v>2022544917</v>
      </c>
      <c r="D555" s="7">
        <v>2201010582</v>
      </c>
      <c r="E555" s="7" t="s">
        <v>1811</v>
      </c>
      <c r="F555" s="7" t="str">
        <f>VLOOKUP(C555,'Fast Track '!B:C,2,FALSE)</f>
        <v xml:space="preserve">Fasttrack </v>
      </c>
      <c r="G555" s="7"/>
      <c r="H555" s="6" t="s">
        <v>1230</v>
      </c>
      <c r="I555" s="6" t="s">
        <v>2924</v>
      </c>
      <c r="J555" s="35" t="s">
        <v>532</v>
      </c>
      <c r="K555" s="37" t="s">
        <v>3645</v>
      </c>
      <c r="L555" t="s">
        <v>3663</v>
      </c>
    </row>
    <row r="556" spans="1:12">
      <c r="A556" s="17">
        <v>555</v>
      </c>
      <c r="B556" s="6" t="s">
        <v>1183</v>
      </c>
      <c r="C556" s="7">
        <v>2022420368</v>
      </c>
      <c r="D556" s="7">
        <v>2201010423</v>
      </c>
      <c r="E556" s="7" t="s">
        <v>1811</v>
      </c>
      <c r="F556" s="7" t="e">
        <f>VLOOKUP(C556,'Fast Track '!B:C,2,FALSE)</f>
        <v>#N/A</v>
      </c>
      <c r="G556" s="7" t="s">
        <v>3707</v>
      </c>
      <c r="H556" s="6" t="s">
        <v>1184</v>
      </c>
      <c r="I556" s="6" t="s">
        <v>2912</v>
      </c>
      <c r="J556" s="35" t="s">
        <v>532</v>
      </c>
      <c r="K556" s="37" t="s">
        <v>3644</v>
      </c>
      <c r="L556" t="s">
        <v>3663</v>
      </c>
    </row>
    <row r="557" spans="1:12">
      <c r="A557" s="17">
        <v>556</v>
      </c>
      <c r="B557" s="6" t="s">
        <v>1241</v>
      </c>
      <c r="C557" s="7">
        <v>2022834880</v>
      </c>
      <c r="D557" s="7">
        <v>2201010440</v>
      </c>
      <c r="E557" s="7" t="s">
        <v>1811</v>
      </c>
      <c r="F557" s="7" t="e">
        <f>VLOOKUP(C557,'Fast Track '!B:C,2,FALSE)</f>
        <v>#N/A</v>
      </c>
      <c r="G557" s="7" t="s">
        <v>3707</v>
      </c>
      <c r="H557" s="6" t="s">
        <v>1242</v>
      </c>
      <c r="I557" s="6" t="s">
        <v>2914</v>
      </c>
      <c r="J557" s="35" t="s">
        <v>532</v>
      </c>
      <c r="K557" s="37" t="s">
        <v>3644</v>
      </c>
      <c r="L557" t="s">
        <v>3663</v>
      </c>
    </row>
    <row r="558" spans="1:12">
      <c r="A558" s="17">
        <v>557</v>
      </c>
      <c r="B558" s="6" t="s">
        <v>1219</v>
      </c>
      <c r="C558" s="7">
        <v>2022511920</v>
      </c>
      <c r="D558" s="7">
        <v>2201010446</v>
      </c>
      <c r="E558" s="7" t="s">
        <v>1811</v>
      </c>
      <c r="F558" s="7" t="e">
        <f>VLOOKUP(C558,'Fast Track '!B:C,2,FALSE)</f>
        <v>#N/A</v>
      </c>
      <c r="G558" s="7" t="s">
        <v>3707</v>
      </c>
      <c r="H558" s="6" t="s">
        <v>1220</v>
      </c>
      <c r="I558" s="6" t="s">
        <v>2916</v>
      </c>
      <c r="J558" s="35" t="s">
        <v>532</v>
      </c>
      <c r="K558" s="37" t="s">
        <v>3644</v>
      </c>
      <c r="L558" t="s">
        <v>3663</v>
      </c>
    </row>
    <row r="559" spans="1:12">
      <c r="A559" s="17">
        <v>558</v>
      </c>
      <c r="B559" s="6" t="s">
        <v>1175</v>
      </c>
      <c r="C559" s="7">
        <v>2022404434</v>
      </c>
      <c r="D559" s="7">
        <v>2201010486</v>
      </c>
      <c r="E559" s="7" t="s">
        <v>1811</v>
      </c>
      <c r="F559" s="7" t="e">
        <f>VLOOKUP(C559,'Fast Track '!B:C,2,FALSE)</f>
        <v>#N/A</v>
      </c>
      <c r="G559" s="7" t="s">
        <v>3707</v>
      </c>
      <c r="H559" s="6" t="s">
        <v>1176</v>
      </c>
      <c r="I559" s="6" t="s">
        <v>2920</v>
      </c>
      <c r="J559" s="35" t="s">
        <v>532</v>
      </c>
      <c r="K559" s="37" t="s">
        <v>3644</v>
      </c>
      <c r="L559" t="s">
        <v>3663</v>
      </c>
    </row>
    <row r="560" spans="1:12">
      <c r="A560" s="17">
        <v>559</v>
      </c>
      <c r="B560" s="6" t="s">
        <v>1211</v>
      </c>
      <c r="C560" s="7">
        <v>2022494330</v>
      </c>
      <c r="D560" s="7">
        <v>2201010492</v>
      </c>
      <c r="E560" s="7" t="s">
        <v>1811</v>
      </c>
      <c r="F560" s="7" t="e">
        <f>VLOOKUP(C560,'Fast Track '!B:C,2,FALSE)</f>
        <v>#N/A</v>
      </c>
      <c r="G560" s="7" t="s">
        <v>3707</v>
      </c>
      <c r="H560" s="6" t="s">
        <v>1212</v>
      </c>
      <c r="I560" s="6" t="s">
        <v>2922</v>
      </c>
      <c r="J560" s="35" t="s">
        <v>532</v>
      </c>
      <c r="K560" s="37" t="s">
        <v>3644</v>
      </c>
      <c r="L560" t="s">
        <v>3663</v>
      </c>
    </row>
    <row r="561" spans="1:12">
      <c r="A561" s="17">
        <v>560</v>
      </c>
      <c r="B561" s="6" t="s">
        <v>1217</v>
      </c>
      <c r="C561" s="7">
        <v>2022507803</v>
      </c>
      <c r="D561" s="7">
        <v>2201010590</v>
      </c>
      <c r="E561" s="7" t="s">
        <v>1811</v>
      </c>
      <c r="F561" s="7" t="e">
        <f>VLOOKUP(C561,'Fast Track '!B:C,2,FALSE)</f>
        <v>#N/A</v>
      </c>
      <c r="G561" s="7" t="s">
        <v>3707</v>
      </c>
      <c r="H561" s="6" t="s">
        <v>1218</v>
      </c>
      <c r="I561" s="6" t="s">
        <v>2926</v>
      </c>
      <c r="J561" s="35" t="s">
        <v>532</v>
      </c>
      <c r="K561" s="37" t="s">
        <v>3644</v>
      </c>
      <c r="L561" t="s">
        <v>3663</v>
      </c>
    </row>
    <row r="562" spans="1:12">
      <c r="A562" s="17">
        <v>561</v>
      </c>
      <c r="B562" s="6" t="s">
        <v>1253</v>
      </c>
      <c r="C562" s="7">
        <v>2022004067</v>
      </c>
      <c r="D562" s="7">
        <v>2201010624</v>
      </c>
      <c r="E562" s="7" t="s">
        <v>1811</v>
      </c>
      <c r="F562" s="7" t="e">
        <f>VLOOKUP(C562,'Fast Track '!B:C,2,FALSE)</f>
        <v>#N/A</v>
      </c>
      <c r="G562" s="7" t="s">
        <v>3707</v>
      </c>
      <c r="H562" s="6" t="s">
        <v>1254</v>
      </c>
      <c r="I562" s="6" t="s">
        <v>2928</v>
      </c>
      <c r="J562" s="35" t="s">
        <v>532</v>
      </c>
      <c r="K562" s="37" t="s">
        <v>3644</v>
      </c>
      <c r="L562" t="s">
        <v>3663</v>
      </c>
    </row>
    <row r="563" spans="1:12">
      <c r="A563" s="17">
        <v>562</v>
      </c>
      <c r="B563" s="6" t="s">
        <v>1251</v>
      </c>
      <c r="C563" s="7">
        <v>2022003455</v>
      </c>
      <c r="D563" s="7">
        <v>2201010625</v>
      </c>
      <c r="E563" s="7" t="s">
        <v>1811</v>
      </c>
      <c r="F563" s="7" t="e">
        <f>VLOOKUP(C563,'Fast Track '!B:C,2,FALSE)</f>
        <v>#N/A</v>
      </c>
      <c r="G563" s="7" t="s">
        <v>3707</v>
      </c>
      <c r="H563" s="6" t="s">
        <v>1252</v>
      </c>
      <c r="I563" s="6" t="s">
        <v>2930</v>
      </c>
      <c r="J563" s="35" t="s">
        <v>532</v>
      </c>
      <c r="K563" s="37" t="s">
        <v>3644</v>
      </c>
      <c r="L563" t="s">
        <v>3663</v>
      </c>
    </row>
    <row r="564" spans="1:12">
      <c r="A564" s="17">
        <v>563</v>
      </c>
      <c r="B564" s="6" t="s">
        <v>1193</v>
      </c>
      <c r="C564" s="7">
        <v>2022446086</v>
      </c>
      <c r="D564" s="7">
        <v>2201010657</v>
      </c>
      <c r="E564" s="7" t="s">
        <v>1811</v>
      </c>
      <c r="F564" s="7" t="e">
        <f>VLOOKUP(C564,'Fast Track '!B:C,2,FALSE)</f>
        <v>#N/A</v>
      </c>
      <c r="G564" s="7" t="s">
        <v>3707</v>
      </c>
      <c r="H564" s="6" t="s">
        <v>1194</v>
      </c>
      <c r="I564" s="6" t="s">
        <v>2932</v>
      </c>
      <c r="J564" s="35" t="s">
        <v>532</v>
      </c>
      <c r="K564" s="37" t="s">
        <v>3644</v>
      </c>
      <c r="L564" t="s">
        <v>3663</v>
      </c>
    </row>
    <row r="565" spans="1:12">
      <c r="A565" s="17">
        <v>564</v>
      </c>
      <c r="B565" s="6" t="s">
        <v>1173</v>
      </c>
      <c r="C565" s="7">
        <v>2022396848</v>
      </c>
      <c r="D565" s="7">
        <v>2201010678</v>
      </c>
      <c r="E565" s="7" t="s">
        <v>1811</v>
      </c>
      <c r="F565" s="7" t="e">
        <f>VLOOKUP(C565,'Fast Track '!B:C,2,FALSE)</f>
        <v>#N/A</v>
      </c>
      <c r="G565" s="7" t="s">
        <v>3707</v>
      </c>
      <c r="H565" s="6" t="s">
        <v>1174</v>
      </c>
      <c r="I565" s="6" t="s">
        <v>2938</v>
      </c>
      <c r="J565" s="35" t="s">
        <v>532</v>
      </c>
      <c r="K565" s="37" t="s">
        <v>3644</v>
      </c>
      <c r="L565" t="s">
        <v>3663</v>
      </c>
    </row>
    <row r="566" spans="1:12">
      <c r="A566" s="17">
        <v>565</v>
      </c>
      <c r="B566" s="6" t="s">
        <v>1187</v>
      </c>
      <c r="C566" s="7">
        <v>2022445249</v>
      </c>
      <c r="D566" s="7">
        <v>2201010690</v>
      </c>
      <c r="E566" s="7" t="s">
        <v>1811</v>
      </c>
      <c r="F566" s="7" t="e">
        <f>VLOOKUP(C566,'Fast Track '!B:C,2,FALSE)</f>
        <v>#N/A</v>
      </c>
      <c r="G566" s="7" t="s">
        <v>3707</v>
      </c>
      <c r="H566" s="6" t="s">
        <v>1188</v>
      </c>
      <c r="I566" s="6" t="s">
        <v>2940</v>
      </c>
      <c r="J566" s="35" t="s">
        <v>532</v>
      </c>
      <c r="K566" s="37" t="s">
        <v>3644</v>
      </c>
      <c r="L566" t="s">
        <v>3663</v>
      </c>
    </row>
    <row r="567" spans="1:12">
      <c r="A567" s="17">
        <v>566</v>
      </c>
      <c r="B567" s="6" t="s">
        <v>1142</v>
      </c>
      <c r="C567" s="7">
        <v>2022005125</v>
      </c>
      <c r="D567" s="7">
        <v>2201010748</v>
      </c>
      <c r="E567" s="7" t="s">
        <v>1811</v>
      </c>
      <c r="F567" s="7" t="e">
        <f>VLOOKUP(C567,'Fast Track '!B:C,2,FALSE)</f>
        <v>#N/A</v>
      </c>
      <c r="G567" s="7" t="s">
        <v>3707</v>
      </c>
      <c r="H567" s="6" t="s">
        <v>1143</v>
      </c>
      <c r="I567" s="6" t="s">
        <v>2944</v>
      </c>
      <c r="J567" s="35" t="s">
        <v>532</v>
      </c>
      <c r="K567" s="37" t="s">
        <v>3644</v>
      </c>
      <c r="L567" t="s">
        <v>3663</v>
      </c>
    </row>
    <row r="568" spans="1:12">
      <c r="A568" s="17">
        <v>567</v>
      </c>
      <c r="B568" s="6" t="s">
        <v>1181</v>
      </c>
      <c r="C568" s="7">
        <v>2022413409</v>
      </c>
      <c r="D568" s="7">
        <v>2201010760</v>
      </c>
      <c r="E568" s="7" t="s">
        <v>1811</v>
      </c>
      <c r="F568" s="7" t="e">
        <f>VLOOKUP(C568,'Fast Track '!B:C,2,FALSE)</f>
        <v>#N/A</v>
      </c>
      <c r="G568" s="7" t="s">
        <v>3707</v>
      </c>
      <c r="H568" s="6" t="s">
        <v>1182</v>
      </c>
      <c r="I568" s="6" t="s">
        <v>2946</v>
      </c>
      <c r="J568" s="35" t="s">
        <v>532</v>
      </c>
      <c r="K568" s="37" t="s">
        <v>3644</v>
      </c>
      <c r="L568" t="s">
        <v>3663</v>
      </c>
    </row>
    <row r="569" spans="1:12">
      <c r="A569" s="17">
        <v>568</v>
      </c>
      <c r="B569" s="6" t="s">
        <v>1169</v>
      </c>
      <c r="C569" s="7">
        <v>2022354885</v>
      </c>
      <c r="D569" s="7">
        <v>2201010772</v>
      </c>
      <c r="E569" s="7" t="s">
        <v>1811</v>
      </c>
      <c r="F569" s="7" t="e">
        <f>VLOOKUP(C569,'Fast Track '!B:C,2,FALSE)</f>
        <v>#N/A</v>
      </c>
      <c r="G569" s="7" t="s">
        <v>3707</v>
      </c>
      <c r="H569" s="6" t="s">
        <v>1170</v>
      </c>
      <c r="I569" s="6" t="s">
        <v>2948</v>
      </c>
      <c r="J569" s="35" t="s">
        <v>532</v>
      </c>
      <c r="K569" s="37" t="s">
        <v>3644</v>
      </c>
      <c r="L569" t="s">
        <v>3663</v>
      </c>
    </row>
    <row r="570" spans="1:12">
      <c r="A570" s="17">
        <v>569</v>
      </c>
      <c r="B570" s="6" t="s">
        <v>1138</v>
      </c>
      <c r="C570" s="7">
        <v>2022003792</v>
      </c>
      <c r="D570" s="7">
        <v>2201010777</v>
      </c>
      <c r="E570" s="7" t="s">
        <v>1811</v>
      </c>
      <c r="F570" s="7" t="e">
        <f>VLOOKUP(C570,'Fast Track '!B:C,2,FALSE)</f>
        <v>#N/A</v>
      </c>
      <c r="G570" s="7" t="s">
        <v>3707</v>
      </c>
      <c r="H570" s="6" t="s">
        <v>1139</v>
      </c>
      <c r="I570" s="6" t="s">
        <v>2952</v>
      </c>
      <c r="J570" s="35" t="s">
        <v>532</v>
      </c>
      <c r="K570" s="37" t="s">
        <v>3644</v>
      </c>
      <c r="L570" t="s">
        <v>3663</v>
      </c>
    </row>
    <row r="571" spans="1:12">
      <c r="A571" s="17">
        <v>570</v>
      </c>
      <c r="B571" s="6" t="s">
        <v>1213</v>
      </c>
      <c r="C571" s="7">
        <v>2022498647</v>
      </c>
      <c r="D571" s="7">
        <v>2201010789</v>
      </c>
      <c r="E571" s="7" t="s">
        <v>1811</v>
      </c>
      <c r="F571" s="7" t="e">
        <f>VLOOKUP(C571,'Fast Track '!B:C,2,FALSE)</f>
        <v>#N/A</v>
      </c>
      <c r="G571" s="7" t="s">
        <v>3707</v>
      </c>
      <c r="H571" s="6" t="s">
        <v>1214</v>
      </c>
      <c r="I571" s="6" t="s">
        <v>2954</v>
      </c>
      <c r="J571" s="35" t="s">
        <v>532</v>
      </c>
      <c r="K571" s="37" t="s">
        <v>3644</v>
      </c>
      <c r="L571" t="s">
        <v>3663</v>
      </c>
    </row>
    <row r="572" spans="1:12">
      <c r="A572" s="17">
        <v>571</v>
      </c>
      <c r="B572" s="6" t="s">
        <v>1225</v>
      </c>
      <c r="C572" s="7">
        <v>2022521262</v>
      </c>
      <c r="D572" s="7">
        <v>2201010792</v>
      </c>
      <c r="E572" s="7" t="s">
        <v>1811</v>
      </c>
      <c r="F572" s="7" t="e">
        <f>VLOOKUP(C572,'Fast Track '!B:C,2,FALSE)</f>
        <v>#N/A</v>
      </c>
      <c r="G572" s="7" t="s">
        <v>3707</v>
      </c>
      <c r="H572" s="6" t="s">
        <v>1226</v>
      </c>
      <c r="I572" s="6" t="s">
        <v>2956</v>
      </c>
      <c r="J572" s="35" t="s">
        <v>532</v>
      </c>
      <c r="K572" s="37" t="s">
        <v>3644</v>
      </c>
      <c r="L572" t="s">
        <v>3663</v>
      </c>
    </row>
    <row r="573" spans="1:12">
      <c r="A573" s="17">
        <v>572</v>
      </c>
      <c r="B573" s="6" t="s">
        <v>465</v>
      </c>
      <c r="C573" s="7">
        <v>2022339160</v>
      </c>
      <c r="D573" s="7">
        <v>2201010808</v>
      </c>
      <c r="E573" s="7" t="s">
        <v>1811</v>
      </c>
      <c r="F573" s="7" t="e">
        <f>VLOOKUP(C573,'Fast Track '!B:C,2,FALSE)</f>
        <v>#N/A</v>
      </c>
      <c r="G573" s="7" t="s">
        <v>3707</v>
      </c>
      <c r="H573" s="6" t="s">
        <v>1164</v>
      </c>
      <c r="I573" s="6" t="s">
        <v>2958</v>
      </c>
      <c r="J573" s="35" t="s">
        <v>532</v>
      </c>
      <c r="K573" s="37" t="s">
        <v>3644</v>
      </c>
      <c r="L573" t="s">
        <v>3663</v>
      </c>
    </row>
    <row r="574" spans="1:12">
      <c r="A574" s="17">
        <v>573</v>
      </c>
      <c r="B574" s="6" t="s">
        <v>1154</v>
      </c>
      <c r="C574" s="7">
        <v>2022007267</v>
      </c>
      <c r="D574" s="7">
        <v>2201010838</v>
      </c>
      <c r="E574" s="7" t="s">
        <v>1811</v>
      </c>
      <c r="F574" s="7" t="e">
        <f>VLOOKUP(C574,'Fast Track '!B:C,2,FALSE)</f>
        <v>#N/A</v>
      </c>
      <c r="G574" s="7" t="s">
        <v>3707</v>
      </c>
      <c r="H574" s="6" t="s">
        <v>1155</v>
      </c>
      <c r="I574" s="6" t="s">
        <v>2960</v>
      </c>
      <c r="J574" s="35" t="s">
        <v>532</v>
      </c>
      <c r="K574" s="37" t="s">
        <v>3644</v>
      </c>
      <c r="L574" t="s">
        <v>3663</v>
      </c>
    </row>
    <row r="575" spans="1:12">
      <c r="A575" s="17">
        <v>574</v>
      </c>
      <c r="B575" s="6" t="s">
        <v>1237</v>
      </c>
      <c r="C575" s="7">
        <v>2022620180</v>
      </c>
      <c r="D575" s="7">
        <v>2201010904</v>
      </c>
      <c r="E575" s="7" t="s">
        <v>1811</v>
      </c>
      <c r="F575" s="7" t="e">
        <f>VLOOKUP(C575,'Fast Track '!B:C,2,FALSE)</f>
        <v>#N/A</v>
      </c>
      <c r="G575" s="7" t="s">
        <v>3707</v>
      </c>
      <c r="H575" s="6" t="s">
        <v>1238</v>
      </c>
      <c r="I575" s="6" t="s">
        <v>2962</v>
      </c>
      <c r="J575" s="35" t="s">
        <v>532</v>
      </c>
      <c r="K575" s="37" t="s">
        <v>3644</v>
      </c>
      <c r="L575" t="s">
        <v>3663</v>
      </c>
    </row>
    <row r="576" spans="1:12">
      <c r="A576" s="17">
        <v>575</v>
      </c>
      <c r="B576" s="6" t="s">
        <v>1203</v>
      </c>
      <c r="C576" s="7">
        <v>2022479218</v>
      </c>
      <c r="D576" s="7">
        <v>2201010929</v>
      </c>
      <c r="E576" s="7" t="s">
        <v>1811</v>
      </c>
      <c r="F576" s="7" t="e">
        <f>VLOOKUP(C576,'Fast Track '!B:C,2,FALSE)</f>
        <v>#N/A</v>
      </c>
      <c r="G576" s="7" t="s">
        <v>3707</v>
      </c>
      <c r="H576" s="6" t="s">
        <v>1204</v>
      </c>
      <c r="I576" s="6" t="s">
        <v>2964</v>
      </c>
      <c r="J576" s="35" t="s">
        <v>532</v>
      </c>
      <c r="K576" s="37" t="s">
        <v>3644</v>
      </c>
      <c r="L576" t="s">
        <v>3663</v>
      </c>
    </row>
    <row r="577" spans="1:12">
      <c r="A577" s="17">
        <v>576</v>
      </c>
      <c r="B577" s="6" t="s">
        <v>1231</v>
      </c>
      <c r="C577" s="7">
        <v>2022600192</v>
      </c>
      <c r="D577" s="7">
        <v>2201010933</v>
      </c>
      <c r="E577" s="7" t="s">
        <v>1811</v>
      </c>
      <c r="F577" s="7" t="e">
        <f>VLOOKUP(C577,'Fast Track '!B:C,2,FALSE)</f>
        <v>#N/A</v>
      </c>
      <c r="G577" s="7" t="s">
        <v>3707</v>
      </c>
      <c r="H577" s="6" t="s">
        <v>1232</v>
      </c>
      <c r="I577" s="6" t="s">
        <v>2966</v>
      </c>
      <c r="J577" s="35" t="s">
        <v>532</v>
      </c>
      <c r="K577" s="37" t="s">
        <v>3644</v>
      </c>
      <c r="L577" t="s">
        <v>3663</v>
      </c>
    </row>
    <row r="578" spans="1:12">
      <c r="A578" s="17">
        <v>577</v>
      </c>
      <c r="B578" s="6" t="s">
        <v>1233</v>
      </c>
      <c r="C578" s="7">
        <v>2022601761</v>
      </c>
      <c r="D578" s="7">
        <v>2201010934</v>
      </c>
      <c r="E578" s="7" t="s">
        <v>1811</v>
      </c>
      <c r="F578" s="7" t="e">
        <f>VLOOKUP(C578,'Fast Track '!B:C,2,FALSE)</f>
        <v>#N/A</v>
      </c>
      <c r="G578" s="7" t="s">
        <v>3707</v>
      </c>
      <c r="H578" s="6" t="s">
        <v>1234</v>
      </c>
      <c r="I578" s="6" t="s">
        <v>2968</v>
      </c>
      <c r="J578" s="35" t="s">
        <v>532</v>
      </c>
      <c r="K578" s="37" t="s">
        <v>3644</v>
      </c>
      <c r="L578" t="s">
        <v>3663</v>
      </c>
    </row>
    <row r="579" spans="1:12">
      <c r="A579" s="17">
        <v>578</v>
      </c>
      <c r="B579" s="6" t="s">
        <v>1235</v>
      </c>
      <c r="C579" s="7">
        <v>2022610396</v>
      </c>
      <c r="D579" s="7">
        <v>2201010937</v>
      </c>
      <c r="E579" s="7" t="s">
        <v>1811</v>
      </c>
      <c r="F579" s="7" t="e">
        <f>VLOOKUP(C579,'Fast Track '!B:C,2,FALSE)</f>
        <v>#N/A</v>
      </c>
      <c r="G579" s="7" t="s">
        <v>3707</v>
      </c>
      <c r="H579" s="6" t="s">
        <v>1236</v>
      </c>
      <c r="I579" s="6" t="s">
        <v>2970</v>
      </c>
      <c r="J579" s="35" t="s">
        <v>532</v>
      </c>
      <c r="K579" s="37" t="s">
        <v>3644</v>
      </c>
      <c r="L579" t="s">
        <v>3663</v>
      </c>
    </row>
    <row r="580" spans="1:12">
      <c r="A580" s="17">
        <v>579</v>
      </c>
      <c r="B580" s="6" t="s">
        <v>1239</v>
      </c>
      <c r="C580" s="7">
        <v>2022623133</v>
      </c>
      <c r="D580" s="7">
        <v>2201010939</v>
      </c>
      <c r="E580" s="7" t="s">
        <v>1811</v>
      </c>
      <c r="F580" s="7" t="e">
        <f>VLOOKUP(C580,'Fast Track '!B:C,2,FALSE)</f>
        <v>#N/A</v>
      </c>
      <c r="G580" s="7" t="s">
        <v>3707</v>
      </c>
      <c r="H580" s="6" t="s">
        <v>1240</v>
      </c>
      <c r="I580" s="6" t="s">
        <v>2972</v>
      </c>
      <c r="J580" s="35" t="s">
        <v>532</v>
      </c>
      <c r="K580" s="37" t="s">
        <v>3644</v>
      </c>
      <c r="L580" t="s">
        <v>3663</v>
      </c>
    </row>
    <row r="581" spans="1:12">
      <c r="A581" s="17">
        <v>580</v>
      </c>
      <c r="B581" s="54" t="s">
        <v>1370</v>
      </c>
      <c r="C581" s="55">
        <v>2022513156</v>
      </c>
      <c r="D581" s="55">
        <v>2201010699</v>
      </c>
      <c r="E581" s="7" t="s">
        <v>1811</v>
      </c>
      <c r="F581" s="7" t="e">
        <f>VLOOKUP(C581,'Fast Track '!B:C,2,FALSE)</f>
        <v>#N/A</v>
      </c>
      <c r="G581" s="7" t="s">
        <v>3707</v>
      </c>
      <c r="H581" s="54" t="s">
        <v>1371</v>
      </c>
      <c r="I581" s="54" t="s">
        <v>3226</v>
      </c>
      <c r="J581" s="54" t="s">
        <v>1372</v>
      </c>
      <c r="K581" s="60" t="s">
        <v>3645</v>
      </c>
      <c r="L581" t="s">
        <v>3663</v>
      </c>
    </row>
    <row r="582" spans="1:12">
      <c r="A582" s="17">
        <v>581</v>
      </c>
      <c r="B582" s="54" t="s">
        <v>1468</v>
      </c>
      <c r="C582" s="55">
        <v>2022476818</v>
      </c>
      <c r="D582" s="55">
        <v>2201010171</v>
      </c>
      <c r="E582" s="7" t="s">
        <v>1811</v>
      </c>
      <c r="F582" s="7" t="e">
        <f>VLOOKUP(C582,'Fast Track '!B:C,2,FALSE)</f>
        <v>#N/A</v>
      </c>
      <c r="G582" s="7" t="s">
        <v>3707</v>
      </c>
      <c r="H582" s="54" t="s">
        <v>1469</v>
      </c>
      <c r="I582" s="54" t="s">
        <v>3342</v>
      </c>
      <c r="J582" s="54" t="s">
        <v>1372</v>
      </c>
      <c r="K582" s="60" t="s">
        <v>3645</v>
      </c>
      <c r="L582" t="s">
        <v>3663</v>
      </c>
    </row>
    <row r="583" spans="1:12">
      <c r="A583" s="17">
        <v>582</v>
      </c>
      <c r="B583" s="54" t="s">
        <v>1464</v>
      </c>
      <c r="C583" s="55">
        <v>2022431320</v>
      </c>
      <c r="D583" s="55">
        <v>2201010259</v>
      </c>
      <c r="E583" s="7" t="s">
        <v>1811</v>
      </c>
      <c r="F583" s="7" t="e">
        <f>VLOOKUP(C583,'Fast Track '!B:C,2,FALSE)</f>
        <v>#N/A</v>
      </c>
      <c r="G583" s="7" t="s">
        <v>3707</v>
      </c>
      <c r="H583" s="54" t="s">
        <v>1465</v>
      </c>
      <c r="I583" s="54" t="s">
        <v>3344</v>
      </c>
      <c r="J583" s="54" t="s">
        <v>1372</v>
      </c>
      <c r="K583" s="60" t="s">
        <v>3645</v>
      </c>
      <c r="L583" t="s">
        <v>3663</v>
      </c>
    </row>
    <row r="584" spans="1:12">
      <c r="A584" s="17">
        <v>583</v>
      </c>
      <c r="B584" s="54" t="s">
        <v>1421</v>
      </c>
      <c r="C584" s="55">
        <v>2022006750</v>
      </c>
      <c r="D584" s="55">
        <v>2201010282</v>
      </c>
      <c r="E584" s="7" t="s">
        <v>1811</v>
      </c>
      <c r="F584" s="7" t="str">
        <f>VLOOKUP(C584,'Fast Track '!B:C,2,FALSE)</f>
        <v xml:space="preserve">Fasttrack </v>
      </c>
      <c r="G584" s="7"/>
      <c r="H584" s="54" t="s">
        <v>1422</v>
      </c>
      <c r="I584" s="54" t="s">
        <v>3346</v>
      </c>
      <c r="J584" s="54" t="s">
        <v>1372</v>
      </c>
      <c r="K584" s="60" t="s">
        <v>3645</v>
      </c>
      <c r="L584" t="s">
        <v>3663</v>
      </c>
    </row>
    <row r="585" spans="1:12">
      <c r="A585" s="17">
        <v>584</v>
      </c>
      <c r="B585" s="54" t="s">
        <v>1409</v>
      </c>
      <c r="C585" s="55">
        <v>2022006106</v>
      </c>
      <c r="D585" s="55">
        <v>2201010704</v>
      </c>
      <c r="E585" s="7" t="s">
        <v>1811</v>
      </c>
      <c r="F585" s="7" t="e">
        <f>VLOOKUP(C585,'Fast Track '!B:C,2,FALSE)</f>
        <v>#N/A</v>
      </c>
      <c r="G585" s="7" t="s">
        <v>3707</v>
      </c>
      <c r="H585" s="54" t="s">
        <v>1410</v>
      </c>
      <c r="I585" s="54" t="s">
        <v>3348</v>
      </c>
      <c r="J585" s="54" t="s">
        <v>1372</v>
      </c>
      <c r="K585" s="60" t="s">
        <v>3645</v>
      </c>
      <c r="L585" t="s">
        <v>3663</v>
      </c>
    </row>
    <row r="586" spans="1:12">
      <c r="A586" s="17">
        <v>585</v>
      </c>
      <c r="B586" s="54" t="s">
        <v>1397</v>
      </c>
      <c r="C586" s="55">
        <v>2022003592</v>
      </c>
      <c r="D586" s="55">
        <v>2201010722</v>
      </c>
      <c r="E586" s="7" t="s">
        <v>1811</v>
      </c>
      <c r="F586" s="7" t="e">
        <f>VLOOKUP(C586,'Fast Track '!B:C,2,FALSE)</f>
        <v>#N/A</v>
      </c>
      <c r="G586" s="7" t="s">
        <v>3707</v>
      </c>
      <c r="H586" s="54" t="s">
        <v>1398</v>
      </c>
      <c r="I586" s="54" t="s">
        <v>3350</v>
      </c>
      <c r="J586" s="54" t="s">
        <v>1372</v>
      </c>
      <c r="K586" s="60" t="s">
        <v>3645</v>
      </c>
      <c r="L586" t="s">
        <v>3663</v>
      </c>
    </row>
    <row r="587" spans="1:12">
      <c r="A587" s="17">
        <v>586</v>
      </c>
      <c r="B587" s="54" t="s">
        <v>1484</v>
      </c>
      <c r="C587" s="55">
        <v>2022579523</v>
      </c>
      <c r="D587" s="55">
        <v>2201010979</v>
      </c>
      <c r="E587" s="7" t="s">
        <v>1811</v>
      </c>
      <c r="F587" s="7" t="str">
        <f>VLOOKUP(C587,'Fast Track '!B:C,2,FALSE)</f>
        <v xml:space="preserve">Fasttrack </v>
      </c>
      <c r="G587" s="7"/>
      <c r="H587" s="54" t="s">
        <v>1485</v>
      </c>
      <c r="I587" s="54" t="s">
        <v>3352</v>
      </c>
      <c r="J587" s="54" t="s">
        <v>1372</v>
      </c>
      <c r="K587" s="60" t="s">
        <v>3645</v>
      </c>
      <c r="L587" t="s">
        <v>3663</v>
      </c>
    </row>
    <row r="588" spans="1:12">
      <c r="A588" s="17">
        <v>587</v>
      </c>
      <c r="B588" s="54" t="s">
        <v>1443</v>
      </c>
      <c r="C588" s="55">
        <v>2022306619</v>
      </c>
      <c r="D588" s="55">
        <v>2201010044</v>
      </c>
      <c r="E588" s="7" t="s">
        <v>1811</v>
      </c>
      <c r="F588" s="7" t="e">
        <f>VLOOKUP(C588,'Fast Track '!B:C,2,FALSE)</f>
        <v>#N/A</v>
      </c>
      <c r="G588" s="7" t="s">
        <v>3707</v>
      </c>
      <c r="H588" s="54" t="s">
        <v>1444</v>
      </c>
      <c r="I588" s="54" t="s">
        <v>3448</v>
      </c>
      <c r="J588" s="54" t="s">
        <v>1372</v>
      </c>
      <c r="K588" s="60" t="s">
        <v>3645</v>
      </c>
      <c r="L588" t="s">
        <v>3663</v>
      </c>
    </row>
    <row r="589" spans="1:12">
      <c r="A589" s="17">
        <v>588</v>
      </c>
      <c r="B589" s="54" t="s">
        <v>1523</v>
      </c>
      <c r="C589" s="55">
        <v>2022005043</v>
      </c>
      <c r="D589" s="55">
        <v>2201010054</v>
      </c>
      <c r="E589" s="7" t="s">
        <v>1811</v>
      </c>
      <c r="F589" s="7" t="e">
        <f>VLOOKUP(C589,'Fast Track '!B:C,2,FALSE)</f>
        <v>#N/A</v>
      </c>
      <c r="G589" s="7" t="s">
        <v>3707</v>
      </c>
      <c r="H589" s="54" t="s">
        <v>1524</v>
      </c>
      <c r="I589" s="54" t="s">
        <v>3450</v>
      </c>
      <c r="J589" s="54" t="s">
        <v>1372</v>
      </c>
      <c r="K589" s="60" t="s">
        <v>3645</v>
      </c>
      <c r="L589" t="s">
        <v>3663</v>
      </c>
    </row>
    <row r="590" spans="1:12">
      <c r="A590" s="17">
        <v>589</v>
      </c>
      <c r="B590" s="54" t="s">
        <v>1411</v>
      </c>
      <c r="C590" s="55">
        <v>2022006195</v>
      </c>
      <c r="D590" s="55">
        <v>2201010089</v>
      </c>
      <c r="E590" s="7" t="s">
        <v>1811</v>
      </c>
      <c r="F590" s="7" t="e">
        <f>VLOOKUP(C590,'Fast Track '!B:C,2,FALSE)</f>
        <v>#N/A</v>
      </c>
      <c r="G590" s="7" t="s">
        <v>3707</v>
      </c>
      <c r="H590" s="54" t="s">
        <v>1412</v>
      </c>
      <c r="I590" s="54" t="s">
        <v>3452</v>
      </c>
      <c r="J590" s="54" t="s">
        <v>1372</v>
      </c>
      <c r="K590" s="60" t="s">
        <v>3645</v>
      </c>
      <c r="L590" t="s">
        <v>3663</v>
      </c>
    </row>
    <row r="591" spans="1:12">
      <c r="A591" s="17">
        <v>590</v>
      </c>
      <c r="B591" s="54" t="s">
        <v>1482</v>
      </c>
      <c r="C591" s="55">
        <v>2022569459</v>
      </c>
      <c r="D591" s="55">
        <v>2201010117</v>
      </c>
      <c r="E591" s="7" t="s">
        <v>1811</v>
      </c>
      <c r="F591" s="7" t="e">
        <f>VLOOKUP(C591,'Fast Track '!B:C,2,FALSE)</f>
        <v>#N/A</v>
      </c>
      <c r="G591" s="7" t="s">
        <v>3707</v>
      </c>
      <c r="H591" s="54" t="s">
        <v>1483</v>
      </c>
      <c r="I591" s="54" t="s">
        <v>3454</v>
      </c>
      <c r="J591" s="54" t="s">
        <v>1372</v>
      </c>
      <c r="K591" s="60" t="s">
        <v>3645</v>
      </c>
      <c r="L591" t="s">
        <v>3663</v>
      </c>
    </row>
    <row r="592" spans="1:12">
      <c r="A592" s="17">
        <v>591</v>
      </c>
      <c r="B592" s="54" t="s">
        <v>1419</v>
      </c>
      <c r="C592" s="55">
        <v>2022006607</v>
      </c>
      <c r="D592" s="55">
        <v>2201010137</v>
      </c>
      <c r="E592" s="7" t="s">
        <v>1811</v>
      </c>
      <c r="F592" s="7" t="e">
        <f>VLOOKUP(C592,'Fast Track '!B:C,2,FALSE)</f>
        <v>#N/A</v>
      </c>
      <c r="G592" s="7" t="s">
        <v>3707</v>
      </c>
      <c r="H592" s="54" t="s">
        <v>1420</v>
      </c>
      <c r="I592" s="54" t="s">
        <v>3456</v>
      </c>
      <c r="J592" s="54" t="s">
        <v>1372</v>
      </c>
      <c r="K592" s="60" t="s">
        <v>3645</v>
      </c>
      <c r="L592" t="s">
        <v>3663</v>
      </c>
    </row>
    <row r="593" spans="1:12">
      <c r="A593" s="17">
        <v>592</v>
      </c>
      <c r="B593" s="54" t="s">
        <v>1456</v>
      </c>
      <c r="C593" s="55">
        <v>2022394539</v>
      </c>
      <c r="D593" s="55">
        <v>2201010148</v>
      </c>
      <c r="E593" s="7" t="s">
        <v>1811</v>
      </c>
      <c r="F593" s="7" t="e">
        <f>VLOOKUP(C593,'Fast Track '!B:C,2,FALSE)</f>
        <v>#N/A</v>
      </c>
      <c r="G593" s="7" t="s">
        <v>3707</v>
      </c>
      <c r="H593" s="54" t="s">
        <v>1457</v>
      </c>
      <c r="I593" s="54" t="s">
        <v>3458</v>
      </c>
      <c r="J593" s="54" t="s">
        <v>1372</v>
      </c>
      <c r="K593" s="60" t="s">
        <v>3645</v>
      </c>
      <c r="L593" t="s">
        <v>3663</v>
      </c>
    </row>
    <row r="594" spans="1:12">
      <c r="A594" s="17">
        <v>593</v>
      </c>
      <c r="B594" s="54" t="s">
        <v>1449</v>
      </c>
      <c r="C594" s="55">
        <v>2022330517</v>
      </c>
      <c r="D594" s="55">
        <v>2201010212</v>
      </c>
      <c r="E594" s="7" t="s">
        <v>1811</v>
      </c>
      <c r="F594" s="7" t="e">
        <f>VLOOKUP(C594,'Fast Track '!B:C,2,FALSE)</f>
        <v>#N/A</v>
      </c>
      <c r="G594" s="7" t="s">
        <v>3707</v>
      </c>
      <c r="H594" s="54" t="s">
        <v>1450</v>
      </c>
      <c r="I594" s="54" t="s">
        <v>3460</v>
      </c>
      <c r="J594" s="54" t="s">
        <v>1372</v>
      </c>
      <c r="K594" s="60" t="s">
        <v>3645</v>
      </c>
      <c r="L594" t="s">
        <v>3663</v>
      </c>
    </row>
    <row r="595" spans="1:12" ht="15" thickBot="1">
      <c r="A595" s="17">
        <v>594</v>
      </c>
      <c r="B595" s="54" t="s">
        <v>1480</v>
      </c>
      <c r="C595" s="55">
        <v>2022560746</v>
      </c>
      <c r="D595" s="55">
        <v>2201010219</v>
      </c>
      <c r="E595" s="7" t="s">
        <v>1811</v>
      </c>
      <c r="F595" s="7" t="e">
        <f>VLOOKUP(C595,'Fast Track '!B:C,2,FALSE)</f>
        <v>#N/A</v>
      </c>
      <c r="G595" s="7" t="s">
        <v>3707</v>
      </c>
      <c r="H595" s="54" t="s">
        <v>1481</v>
      </c>
      <c r="I595" s="54" t="s">
        <v>3462</v>
      </c>
      <c r="J595" s="54" t="s">
        <v>1372</v>
      </c>
      <c r="K595" s="60" t="s">
        <v>3645</v>
      </c>
      <c r="L595" t="s">
        <v>3663</v>
      </c>
    </row>
    <row r="596" spans="1:12" ht="16" thickBot="1">
      <c r="A596" s="17">
        <v>595</v>
      </c>
      <c r="B596" s="17" t="s">
        <v>1541</v>
      </c>
      <c r="C596" s="17">
        <v>2022316318</v>
      </c>
      <c r="D596" s="17">
        <v>2201010765</v>
      </c>
      <c r="E596" s="64"/>
      <c r="F596" s="17"/>
      <c r="G596" s="17" t="s">
        <v>3793</v>
      </c>
      <c r="H596" s="63" t="s">
        <v>1542</v>
      </c>
      <c r="I596" s="17" t="s">
        <v>3474</v>
      </c>
      <c r="J596" s="17" t="s">
        <v>1372</v>
      </c>
      <c r="L596" s="66" t="s">
        <v>3672</v>
      </c>
    </row>
    <row r="597" spans="1:12">
      <c r="A597" s="17">
        <v>596</v>
      </c>
      <c r="B597" s="54" t="s">
        <v>1402</v>
      </c>
      <c r="C597" s="55">
        <v>2022004439</v>
      </c>
      <c r="D597" s="55">
        <v>2201010221</v>
      </c>
      <c r="E597" s="7" t="s">
        <v>1811</v>
      </c>
      <c r="F597" s="7" t="str">
        <f>VLOOKUP(C597,'Fast Track '!B:C,2,FALSE)</f>
        <v xml:space="preserve">Fasttrack </v>
      </c>
      <c r="G597" s="7"/>
      <c r="H597" s="54" t="s">
        <v>1403</v>
      </c>
      <c r="I597" s="54" t="s">
        <v>3464</v>
      </c>
      <c r="J597" s="54" t="s">
        <v>1372</v>
      </c>
      <c r="K597" s="60" t="s">
        <v>3645</v>
      </c>
      <c r="L597" t="s">
        <v>3663</v>
      </c>
    </row>
    <row r="598" spans="1:12">
      <c r="A598" s="17">
        <v>597</v>
      </c>
      <c r="B598" s="54" t="s">
        <v>1574</v>
      </c>
      <c r="C598" s="55">
        <v>2022514043</v>
      </c>
      <c r="D598" s="55">
        <v>2201010390</v>
      </c>
      <c r="E598" s="7" t="s">
        <v>1811</v>
      </c>
      <c r="F598" s="7" t="e">
        <f>VLOOKUP(C598,'Fast Track '!B:C,2,FALSE)</f>
        <v>#N/A</v>
      </c>
      <c r="G598" s="7" t="s">
        <v>3707</v>
      </c>
      <c r="H598" s="54" t="s">
        <v>1575</v>
      </c>
      <c r="I598" s="54" t="s">
        <v>3466</v>
      </c>
      <c r="J598" s="54" t="s">
        <v>1372</v>
      </c>
      <c r="K598" s="60" t="s">
        <v>3645</v>
      </c>
      <c r="L598" t="s">
        <v>3663</v>
      </c>
    </row>
    <row r="599" spans="1:12">
      <c r="A599" s="17">
        <v>598</v>
      </c>
      <c r="B599" s="54" t="s">
        <v>1572</v>
      </c>
      <c r="C599" s="55">
        <v>2022514039</v>
      </c>
      <c r="D599" s="55">
        <v>2201010393</v>
      </c>
      <c r="E599" s="7" t="s">
        <v>1811</v>
      </c>
      <c r="F599" s="7" t="e">
        <f>VLOOKUP(C599,'Fast Track '!B:C,2,FALSE)</f>
        <v>#N/A</v>
      </c>
      <c r="G599" s="7" t="s">
        <v>3707</v>
      </c>
      <c r="H599" s="54" t="s">
        <v>1573</v>
      </c>
      <c r="I599" s="54" t="s">
        <v>3468</v>
      </c>
      <c r="J599" s="54" t="s">
        <v>1372</v>
      </c>
      <c r="K599" s="60" t="s">
        <v>3645</v>
      </c>
      <c r="L599" t="s">
        <v>3663</v>
      </c>
    </row>
    <row r="600" spans="1:12">
      <c r="A600" s="17">
        <v>599</v>
      </c>
      <c r="B600" s="54" t="s">
        <v>306</v>
      </c>
      <c r="C600" s="55">
        <v>2022489962</v>
      </c>
      <c r="D600" s="55">
        <v>2201010519</v>
      </c>
      <c r="E600" s="7" t="s">
        <v>1811</v>
      </c>
      <c r="F600" s="7" t="e">
        <f>VLOOKUP(C600,'Fast Track '!B:C,2,FALSE)</f>
        <v>#N/A</v>
      </c>
      <c r="G600" s="7" t="s">
        <v>3707</v>
      </c>
      <c r="H600" s="54" t="s">
        <v>1473</v>
      </c>
      <c r="I600" s="54" t="s">
        <v>3470</v>
      </c>
      <c r="J600" s="54" t="s">
        <v>1372</v>
      </c>
      <c r="K600" s="60" t="s">
        <v>3645</v>
      </c>
      <c r="L600" t="s">
        <v>3663</v>
      </c>
    </row>
    <row r="601" spans="1:12">
      <c r="A601" s="17">
        <v>600</v>
      </c>
      <c r="B601" s="6" t="s">
        <v>1375</v>
      </c>
      <c r="C601" s="7">
        <v>2021362606</v>
      </c>
      <c r="D601" s="7">
        <v>210101044</v>
      </c>
      <c r="E601" s="7" t="s">
        <v>1812</v>
      </c>
      <c r="F601" s="7" t="e">
        <f>VLOOKUP(C601,'Fast Track '!B:C,2,FALSE)</f>
        <v>#N/A</v>
      </c>
      <c r="G601" s="7" t="s">
        <v>3707</v>
      </c>
      <c r="H601" s="6" t="s">
        <v>1376</v>
      </c>
      <c r="I601" s="6" t="s">
        <v>3108</v>
      </c>
      <c r="J601" s="6" t="s">
        <v>532</v>
      </c>
      <c r="K601" s="37" t="s">
        <v>3645</v>
      </c>
      <c r="L601" t="s">
        <v>3795</v>
      </c>
    </row>
    <row r="602" spans="1:12">
      <c r="A602" s="17">
        <v>601</v>
      </c>
      <c r="B602" s="6" t="s">
        <v>1498</v>
      </c>
      <c r="C602" s="7">
        <v>2021341739</v>
      </c>
      <c r="D602" s="7">
        <v>210101150</v>
      </c>
      <c r="E602" s="7" t="s">
        <v>1812</v>
      </c>
      <c r="F602" s="7" t="e">
        <f>VLOOKUP(C602,'Fast Track '!B:C,2,FALSE)</f>
        <v>#N/A</v>
      </c>
      <c r="G602" s="7" t="s">
        <v>3707</v>
      </c>
      <c r="H602" s="11" t="s">
        <v>1499</v>
      </c>
      <c r="I602" s="6" t="s">
        <v>3113</v>
      </c>
      <c r="J602" s="6" t="s">
        <v>532</v>
      </c>
      <c r="K602" s="37" t="s">
        <v>3645</v>
      </c>
      <c r="L602" t="s">
        <v>3795</v>
      </c>
    </row>
    <row r="603" spans="1:12">
      <c r="A603" s="17">
        <v>602</v>
      </c>
      <c r="B603" s="6" t="s">
        <v>1502</v>
      </c>
      <c r="C603" s="7">
        <v>2021399162</v>
      </c>
      <c r="D603" s="7">
        <v>210101172</v>
      </c>
      <c r="E603" s="7" t="s">
        <v>1812</v>
      </c>
      <c r="F603" s="7" t="e">
        <f>VLOOKUP(C603,'Fast Track '!B:C,2,FALSE)</f>
        <v>#N/A</v>
      </c>
      <c r="G603" s="7" t="s">
        <v>3707</v>
      </c>
      <c r="H603" s="6" t="s">
        <v>1503</v>
      </c>
      <c r="I603" s="6" t="s">
        <v>3115</v>
      </c>
      <c r="J603" s="6" t="s">
        <v>532</v>
      </c>
      <c r="K603" s="37" t="s">
        <v>3645</v>
      </c>
      <c r="L603" t="s">
        <v>3795</v>
      </c>
    </row>
    <row r="604" spans="1:12">
      <c r="A604" s="17">
        <v>603</v>
      </c>
      <c r="B604" s="16" t="s">
        <v>1800</v>
      </c>
      <c r="C604" s="16">
        <v>2021411743</v>
      </c>
      <c r="D604" s="7">
        <v>210101211</v>
      </c>
      <c r="E604" s="7" t="s">
        <v>1812</v>
      </c>
      <c r="F604" s="7" t="e">
        <f>VLOOKUP(C604,'Fast Track '!B:C,2,FALSE)</f>
        <v>#N/A</v>
      </c>
      <c r="G604" s="7" t="s">
        <v>3707</v>
      </c>
      <c r="H604" s="16"/>
      <c r="I604" s="6">
        <v>9399130373</v>
      </c>
      <c r="J604" s="6" t="s">
        <v>532</v>
      </c>
      <c r="K604" s="37" t="s">
        <v>3645</v>
      </c>
      <c r="L604" t="s">
        <v>3795</v>
      </c>
    </row>
    <row r="605" spans="1:12">
      <c r="A605" s="17">
        <v>604</v>
      </c>
      <c r="B605" s="6" t="s">
        <v>1500</v>
      </c>
      <c r="C605" s="7">
        <v>2021344584</v>
      </c>
      <c r="D605" s="7">
        <v>210101214</v>
      </c>
      <c r="E605" s="7" t="s">
        <v>1812</v>
      </c>
      <c r="F605" s="7" t="e">
        <f>VLOOKUP(C605,'Fast Track '!B:C,2,FALSE)</f>
        <v>#N/A</v>
      </c>
      <c r="G605" s="7" t="s">
        <v>3707</v>
      </c>
      <c r="H605" s="11" t="s">
        <v>1501</v>
      </c>
      <c r="I605" s="6" t="s">
        <v>3118</v>
      </c>
      <c r="J605" s="6" t="s">
        <v>532</v>
      </c>
      <c r="K605" s="37" t="s">
        <v>3645</v>
      </c>
      <c r="L605" t="s">
        <v>3795</v>
      </c>
    </row>
    <row r="606" spans="1:12">
      <c r="A606" s="17">
        <v>605</v>
      </c>
      <c r="B606" s="6" t="s">
        <v>1277</v>
      </c>
      <c r="C606" s="7">
        <v>2022004949</v>
      </c>
      <c r="D606" s="7">
        <v>2201010006</v>
      </c>
      <c r="E606" s="7" t="s">
        <v>1812</v>
      </c>
      <c r="F606" s="7" t="e">
        <f>VLOOKUP(C606,'Fast Track '!B:C,2,FALSE)</f>
        <v>#N/A</v>
      </c>
      <c r="G606" s="7" t="s">
        <v>3707</v>
      </c>
      <c r="H606" s="6" t="s">
        <v>1278</v>
      </c>
      <c r="I606" s="6" t="s">
        <v>3124</v>
      </c>
      <c r="J606" s="6" t="s">
        <v>532</v>
      </c>
      <c r="K606" s="37" t="s">
        <v>3645</v>
      </c>
      <c r="L606" t="s">
        <v>3795</v>
      </c>
    </row>
    <row r="607" spans="1:12">
      <c r="A607" s="17">
        <v>606</v>
      </c>
      <c r="B607" s="6" t="s">
        <v>1357</v>
      </c>
      <c r="C607" s="7">
        <v>2022589100</v>
      </c>
      <c r="D607" s="7">
        <v>2201010107</v>
      </c>
      <c r="E607" s="7" t="s">
        <v>1812</v>
      </c>
      <c r="F607" s="7" t="e">
        <f>VLOOKUP(C607,'Fast Track '!B:C,2,FALSE)</f>
        <v>#N/A</v>
      </c>
      <c r="G607" s="7" t="s">
        <v>3707</v>
      </c>
      <c r="H607" s="6" t="s">
        <v>1358</v>
      </c>
      <c r="I607" s="6" t="s">
        <v>3128</v>
      </c>
      <c r="J607" s="6" t="s">
        <v>532</v>
      </c>
      <c r="K607" s="37" t="s">
        <v>3645</v>
      </c>
      <c r="L607" t="s">
        <v>3795</v>
      </c>
    </row>
    <row r="608" spans="1:12">
      <c r="A608" s="17">
        <v>607</v>
      </c>
      <c r="B608" s="6" t="s">
        <v>1328</v>
      </c>
      <c r="C608" s="7">
        <v>2022512918</v>
      </c>
      <c r="D608" s="7">
        <v>2201010170</v>
      </c>
      <c r="E608" s="7" t="s">
        <v>1812</v>
      </c>
      <c r="F608" s="7" t="e">
        <f>VLOOKUP(C608,'Fast Track '!B:C,2,FALSE)</f>
        <v>#N/A</v>
      </c>
      <c r="G608" s="7" t="s">
        <v>3707</v>
      </c>
      <c r="H608" s="6" t="s">
        <v>1329</v>
      </c>
      <c r="I608" s="6" t="s">
        <v>3130</v>
      </c>
      <c r="J608" s="6" t="s">
        <v>532</v>
      </c>
      <c r="K608" s="37" t="s">
        <v>3645</v>
      </c>
      <c r="L608" t="s">
        <v>3795</v>
      </c>
    </row>
    <row r="609" spans="1:12">
      <c r="A609" s="17">
        <v>608</v>
      </c>
      <c r="B609" s="6" t="s">
        <v>1293</v>
      </c>
      <c r="C609" s="7">
        <v>2022309968</v>
      </c>
      <c r="D609" s="7">
        <v>2201010192</v>
      </c>
      <c r="E609" s="7" t="s">
        <v>1812</v>
      </c>
      <c r="F609" s="7" t="e">
        <f>VLOOKUP(C609,'Fast Track '!B:C,2,FALSE)</f>
        <v>#N/A</v>
      </c>
      <c r="G609" s="7" t="s">
        <v>3707</v>
      </c>
      <c r="H609" s="6" t="s">
        <v>1294</v>
      </c>
      <c r="I609" s="6" t="s">
        <v>3132</v>
      </c>
      <c r="J609" s="6" t="s">
        <v>532</v>
      </c>
      <c r="K609" s="37" t="s">
        <v>3645</v>
      </c>
      <c r="L609" t="s">
        <v>3795</v>
      </c>
    </row>
    <row r="610" spans="1:12">
      <c r="A610" s="17">
        <v>609</v>
      </c>
      <c r="B610" s="6" t="s">
        <v>1505</v>
      </c>
      <c r="C610" s="7">
        <v>2022473465</v>
      </c>
      <c r="D610" s="7">
        <v>2201010205</v>
      </c>
      <c r="E610" s="7" t="s">
        <v>1812</v>
      </c>
      <c r="F610" s="7" t="e">
        <f>VLOOKUP(C610,'Fast Track '!B:C,2,FALSE)</f>
        <v>#N/A</v>
      </c>
      <c r="G610" s="7" t="s">
        <v>3707</v>
      </c>
      <c r="H610" s="6" t="s">
        <v>1506</v>
      </c>
      <c r="I610" s="6" t="s">
        <v>3134</v>
      </c>
      <c r="J610" s="6" t="s">
        <v>532</v>
      </c>
      <c r="K610" s="37" t="s">
        <v>3645</v>
      </c>
      <c r="L610" t="s">
        <v>3795</v>
      </c>
    </row>
    <row r="611" spans="1:12">
      <c r="A611" s="17">
        <v>610</v>
      </c>
      <c r="B611" s="6" t="s">
        <v>1543</v>
      </c>
      <c r="C611" s="7">
        <v>2022340865</v>
      </c>
      <c r="D611" s="7">
        <v>2201010208</v>
      </c>
      <c r="E611" s="7" t="s">
        <v>1812</v>
      </c>
      <c r="F611" s="7" t="e">
        <f>VLOOKUP(C611,'Fast Track '!B:C,2,FALSE)</f>
        <v>#N/A</v>
      </c>
      <c r="G611" s="7" t="s">
        <v>3707</v>
      </c>
      <c r="H611" s="6" t="s">
        <v>1544</v>
      </c>
      <c r="I611" s="6" t="s">
        <v>3136</v>
      </c>
      <c r="J611" s="6" t="s">
        <v>532</v>
      </c>
      <c r="K611" s="37" t="s">
        <v>3645</v>
      </c>
      <c r="L611" t="s">
        <v>3795</v>
      </c>
    </row>
    <row r="612" spans="1:12">
      <c r="A612" s="17">
        <v>611</v>
      </c>
      <c r="B612" s="6" t="s">
        <v>730</v>
      </c>
      <c r="C612" s="7">
        <v>2022527313</v>
      </c>
      <c r="D612" s="7">
        <v>2201010267</v>
      </c>
      <c r="E612" s="7" t="s">
        <v>1812</v>
      </c>
      <c r="F612" s="7" t="e">
        <f>VLOOKUP(C612,'Fast Track '!B:C,2,FALSE)</f>
        <v>#N/A</v>
      </c>
      <c r="G612" s="7" t="s">
        <v>3707</v>
      </c>
      <c r="H612" s="6" t="s">
        <v>1338</v>
      </c>
      <c r="I612" s="6" t="s">
        <v>3138</v>
      </c>
      <c r="J612" s="6" t="s">
        <v>532</v>
      </c>
      <c r="K612" s="37" t="s">
        <v>3645</v>
      </c>
      <c r="L612" t="s">
        <v>3795</v>
      </c>
    </row>
    <row r="613" spans="1:12">
      <c r="A613" s="17">
        <v>612</v>
      </c>
      <c r="B613" s="6" t="s">
        <v>1353</v>
      </c>
      <c r="C613" s="7">
        <v>2022572764</v>
      </c>
      <c r="D613" s="7">
        <v>2201010290</v>
      </c>
      <c r="E613" s="7" t="s">
        <v>1812</v>
      </c>
      <c r="F613" s="7" t="e">
        <f>VLOOKUP(C613,'Fast Track '!B:C,2,FALSE)</f>
        <v>#N/A</v>
      </c>
      <c r="G613" s="7" t="s">
        <v>3707</v>
      </c>
      <c r="H613" s="6" t="s">
        <v>1354</v>
      </c>
      <c r="I613" s="6" t="s">
        <v>3140</v>
      </c>
      <c r="J613" s="6" t="s">
        <v>532</v>
      </c>
      <c r="K613" s="37" t="s">
        <v>3645</v>
      </c>
      <c r="L613" t="s">
        <v>3795</v>
      </c>
    </row>
    <row r="614" spans="1:12">
      <c r="A614" s="17">
        <v>613</v>
      </c>
      <c r="B614" s="6" t="s">
        <v>1312</v>
      </c>
      <c r="C614" s="7">
        <v>2022416375</v>
      </c>
      <c r="D614" s="7">
        <v>2201010295</v>
      </c>
      <c r="E614" s="7" t="s">
        <v>1812</v>
      </c>
      <c r="F614" s="7" t="e">
        <f>VLOOKUP(C614,'Fast Track '!B:C,2,FALSE)</f>
        <v>#N/A</v>
      </c>
      <c r="G614" s="7" t="s">
        <v>3707</v>
      </c>
      <c r="H614" s="6" t="s">
        <v>1313</v>
      </c>
      <c r="I614" s="6" t="s">
        <v>3142</v>
      </c>
      <c r="J614" s="6" t="s">
        <v>532</v>
      </c>
      <c r="K614" s="37" t="s">
        <v>3645</v>
      </c>
      <c r="L614" t="s">
        <v>3795</v>
      </c>
    </row>
    <row r="615" spans="1:12">
      <c r="A615" s="17">
        <v>614</v>
      </c>
      <c r="B615" s="6" t="s">
        <v>1262</v>
      </c>
      <c r="C615" s="7">
        <v>2022512289</v>
      </c>
      <c r="D615" s="7">
        <v>2201010366</v>
      </c>
      <c r="E615" s="7" t="s">
        <v>1812</v>
      </c>
      <c r="F615" s="7" t="e">
        <f>VLOOKUP(C615,'Fast Track '!B:C,2,FALSE)</f>
        <v>#N/A</v>
      </c>
      <c r="G615" s="7" t="s">
        <v>3707</v>
      </c>
      <c r="H615" s="6" t="s">
        <v>1263</v>
      </c>
      <c r="I615" s="6" t="s">
        <v>3146</v>
      </c>
      <c r="J615" s="6" t="s">
        <v>532</v>
      </c>
      <c r="K615" s="37" t="s">
        <v>3645</v>
      </c>
      <c r="L615" t="s">
        <v>3795</v>
      </c>
    </row>
    <row r="616" spans="1:12">
      <c r="A616" s="17">
        <v>615</v>
      </c>
      <c r="B616" s="6" t="s">
        <v>1507</v>
      </c>
      <c r="C616" s="7">
        <v>2022510361</v>
      </c>
      <c r="D616" s="7">
        <v>2201010385</v>
      </c>
      <c r="E616" s="7" t="s">
        <v>1812</v>
      </c>
      <c r="F616" s="7" t="e">
        <f>VLOOKUP(C616,'Fast Track '!B:C,2,FALSE)</f>
        <v>#N/A</v>
      </c>
      <c r="G616" s="7" t="s">
        <v>3707</v>
      </c>
      <c r="H616" s="6" t="s">
        <v>1508</v>
      </c>
      <c r="I616" s="6" t="s">
        <v>3148</v>
      </c>
      <c r="J616" s="6" t="s">
        <v>532</v>
      </c>
      <c r="K616" s="37" t="s">
        <v>3645</v>
      </c>
      <c r="L616" t="s">
        <v>3795</v>
      </c>
    </row>
    <row r="617" spans="1:12">
      <c r="A617" s="17">
        <v>616</v>
      </c>
      <c r="B617" s="6" t="s">
        <v>1260</v>
      </c>
      <c r="C617" s="7">
        <v>2022449092</v>
      </c>
      <c r="D617" s="7">
        <v>2201010400</v>
      </c>
      <c r="E617" s="7" t="s">
        <v>1812</v>
      </c>
      <c r="F617" s="7" t="e">
        <f>VLOOKUP(C617,'Fast Track '!B:C,2,FALSE)</f>
        <v>#N/A</v>
      </c>
      <c r="G617" s="7" t="s">
        <v>3707</v>
      </c>
      <c r="H617" s="6" t="s">
        <v>1261</v>
      </c>
      <c r="I617" s="6" t="s">
        <v>3150</v>
      </c>
      <c r="J617" s="6" t="s">
        <v>532</v>
      </c>
      <c r="K617" s="37" t="s">
        <v>3645</v>
      </c>
      <c r="L617" t="s">
        <v>3795</v>
      </c>
    </row>
    <row r="618" spans="1:12">
      <c r="A618" s="17">
        <v>617</v>
      </c>
      <c r="B618" s="6" t="s">
        <v>1326</v>
      </c>
      <c r="C618" s="7">
        <v>2022505589</v>
      </c>
      <c r="D618" s="7">
        <v>2201010407</v>
      </c>
      <c r="E618" s="7" t="s">
        <v>1812</v>
      </c>
      <c r="F618" s="7" t="e">
        <f>VLOOKUP(C618,'Fast Track '!B:C,2,FALSE)</f>
        <v>#N/A</v>
      </c>
      <c r="G618" s="7" t="s">
        <v>3707</v>
      </c>
      <c r="H618" s="6" t="s">
        <v>1327</v>
      </c>
      <c r="I618" s="6" t="s">
        <v>3152</v>
      </c>
      <c r="J618" s="6" t="s">
        <v>532</v>
      </c>
      <c r="K618" s="37" t="s">
        <v>3645</v>
      </c>
      <c r="L618" t="s">
        <v>3795</v>
      </c>
    </row>
    <row r="619" spans="1:12">
      <c r="A619" s="17">
        <v>618</v>
      </c>
      <c r="B619" s="6" t="s">
        <v>1355</v>
      </c>
      <c r="C619" s="7">
        <v>2022574378</v>
      </c>
      <c r="D619" s="7">
        <v>2201010426</v>
      </c>
      <c r="E619" s="7" t="s">
        <v>1812</v>
      </c>
      <c r="F619" s="7" t="e">
        <f>VLOOKUP(C619,'Fast Track '!B:C,2,FALSE)</f>
        <v>#N/A</v>
      </c>
      <c r="G619" s="7" t="s">
        <v>3707</v>
      </c>
      <c r="H619" s="6" t="s">
        <v>1356</v>
      </c>
      <c r="I619" s="6" t="s">
        <v>3154</v>
      </c>
      <c r="J619" s="6" t="s">
        <v>532</v>
      </c>
      <c r="K619" s="37" t="s">
        <v>3645</v>
      </c>
      <c r="L619" t="s">
        <v>3795</v>
      </c>
    </row>
    <row r="620" spans="1:12">
      <c r="A620" s="17">
        <v>619</v>
      </c>
      <c r="B620" s="6" t="s">
        <v>1345</v>
      </c>
      <c r="C620" s="7">
        <v>2022539044</v>
      </c>
      <c r="D620" s="7">
        <v>2201010434</v>
      </c>
      <c r="E620" s="7" t="s">
        <v>1812</v>
      </c>
      <c r="F620" s="7" t="e">
        <f>VLOOKUP(C620,'Fast Track '!B:C,2,FALSE)</f>
        <v>#N/A</v>
      </c>
      <c r="G620" s="7" t="s">
        <v>3707</v>
      </c>
      <c r="H620" s="6" t="s">
        <v>1346</v>
      </c>
      <c r="I620" s="6" t="s">
        <v>3156</v>
      </c>
      <c r="J620" s="6" t="s">
        <v>532</v>
      </c>
      <c r="K620" s="37" t="s">
        <v>3645</v>
      </c>
      <c r="L620" t="s">
        <v>3795</v>
      </c>
    </row>
    <row r="621" spans="1:12">
      <c r="A621" s="17">
        <v>620</v>
      </c>
      <c r="B621" s="6" t="s">
        <v>1272</v>
      </c>
      <c r="C621" s="7">
        <v>2022001306</v>
      </c>
      <c r="D621" s="7">
        <v>2201010469</v>
      </c>
      <c r="E621" s="7" t="s">
        <v>1812</v>
      </c>
      <c r="F621" s="7" t="e">
        <f>VLOOKUP(C621,'Fast Track '!B:C,2,FALSE)</f>
        <v>#N/A</v>
      </c>
      <c r="G621" s="7" t="s">
        <v>3707</v>
      </c>
      <c r="H621" s="6" t="s">
        <v>1273</v>
      </c>
      <c r="I621" s="6" t="s">
        <v>3158</v>
      </c>
      <c r="J621" s="6" t="s">
        <v>532</v>
      </c>
      <c r="K621" s="37" t="s">
        <v>3645</v>
      </c>
      <c r="L621" t="s">
        <v>3795</v>
      </c>
    </row>
    <row r="622" spans="1:12">
      <c r="A622" s="17">
        <v>621</v>
      </c>
      <c r="B622" s="6" t="s">
        <v>1332</v>
      </c>
      <c r="C622" s="7">
        <v>2022515421</v>
      </c>
      <c r="D622" s="7">
        <v>2201010484</v>
      </c>
      <c r="E622" s="7" t="s">
        <v>1812</v>
      </c>
      <c r="F622" s="7" t="e">
        <f>VLOOKUP(C622,'Fast Track '!B:C,2,FALSE)</f>
        <v>#N/A</v>
      </c>
      <c r="G622" s="7" t="s">
        <v>3707</v>
      </c>
      <c r="H622" s="6" t="s">
        <v>1333</v>
      </c>
      <c r="I622" s="6" t="s">
        <v>3160</v>
      </c>
      <c r="J622" s="6" t="s">
        <v>532</v>
      </c>
      <c r="K622" s="37" t="s">
        <v>3645</v>
      </c>
      <c r="L622" t="s">
        <v>3795</v>
      </c>
    </row>
    <row r="623" spans="1:12">
      <c r="A623" s="17">
        <v>622</v>
      </c>
      <c r="B623" s="6" t="s">
        <v>1496</v>
      </c>
      <c r="C623" s="7">
        <v>2022483967</v>
      </c>
      <c r="D623" s="7">
        <v>2201010573</v>
      </c>
      <c r="E623" s="7" t="s">
        <v>1812</v>
      </c>
      <c r="F623" s="7" t="e">
        <f>VLOOKUP(C623,'Fast Track '!B:C,2,FALSE)</f>
        <v>#N/A</v>
      </c>
      <c r="G623" s="7" t="s">
        <v>3707</v>
      </c>
      <c r="H623" s="6" t="s">
        <v>1497</v>
      </c>
      <c r="I623" s="6" t="s">
        <v>3164</v>
      </c>
      <c r="J623" s="6" t="s">
        <v>532</v>
      </c>
      <c r="K623" s="37" t="s">
        <v>3645</v>
      </c>
      <c r="L623" t="s">
        <v>3795</v>
      </c>
    </row>
    <row r="624" spans="1:12">
      <c r="A624" s="17">
        <v>623</v>
      </c>
      <c r="B624" s="6" t="s">
        <v>1256</v>
      </c>
      <c r="C624" s="7">
        <v>2022330451</v>
      </c>
      <c r="D624" s="7">
        <v>2201010576</v>
      </c>
      <c r="E624" s="7" t="s">
        <v>1812</v>
      </c>
      <c r="F624" s="7" t="e">
        <f>VLOOKUP(C624,'Fast Track '!B:C,2,FALSE)</f>
        <v>#N/A</v>
      </c>
      <c r="G624" s="7" t="s">
        <v>3707</v>
      </c>
      <c r="H624" s="6" t="s">
        <v>1257</v>
      </c>
      <c r="I624" s="6" t="s">
        <v>3166</v>
      </c>
      <c r="J624" s="6" t="s">
        <v>532</v>
      </c>
      <c r="K624" s="37" t="s">
        <v>3644</v>
      </c>
      <c r="L624" t="s">
        <v>3795</v>
      </c>
    </row>
    <row r="625" spans="1:12">
      <c r="A625" s="17">
        <v>624</v>
      </c>
      <c r="B625" s="6" t="s">
        <v>1283</v>
      </c>
      <c r="C625" s="7">
        <v>2022006324</v>
      </c>
      <c r="D625" s="7">
        <v>2201010593</v>
      </c>
      <c r="E625" s="7" t="s">
        <v>1812</v>
      </c>
      <c r="F625" s="7" t="e">
        <f>VLOOKUP(C625,'Fast Track '!B:C,2,FALSE)</f>
        <v>#N/A</v>
      </c>
      <c r="G625" s="7" t="s">
        <v>3707</v>
      </c>
      <c r="H625" s="6" t="s">
        <v>1284</v>
      </c>
      <c r="I625" s="6" t="s">
        <v>3168</v>
      </c>
      <c r="J625" s="6" t="s">
        <v>532</v>
      </c>
      <c r="K625" s="37" t="s">
        <v>3644</v>
      </c>
      <c r="L625" t="s">
        <v>3795</v>
      </c>
    </row>
    <row r="626" spans="1:12">
      <c r="A626" s="17">
        <v>625</v>
      </c>
      <c r="B626" s="6" t="s">
        <v>1324</v>
      </c>
      <c r="C626" s="7">
        <v>2022495866</v>
      </c>
      <c r="D626" s="7">
        <v>2201010613</v>
      </c>
      <c r="E626" s="7" t="s">
        <v>1812</v>
      </c>
      <c r="F626" s="7" t="e">
        <f>VLOOKUP(C626,'Fast Track '!B:C,2,FALSE)</f>
        <v>#N/A</v>
      </c>
      <c r="G626" s="7" t="s">
        <v>3707</v>
      </c>
      <c r="H626" s="6" t="s">
        <v>1325</v>
      </c>
      <c r="I626" s="6" t="s">
        <v>3170</v>
      </c>
      <c r="J626" s="6" t="s">
        <v>532</v>
      </c>
      <c r="K626" s="37" t="s">
        <v>3644</v>
      </c>
      <c r="L626" t="s">
        <v>3795</v>
      </c>
    </row>
    <row r="627" spans="1:12">
      <c r="A627" s="17">
        <v>626</v>
      </c>
      <c r="B627" s="6" t="s">
        <v>1285</v>
      </c>
      <c r="C627" s="7">
        <v>2022006712</v>
      </c>
      <c r="D627" s="7">
        <v>2201010633</v>
      </c>
      <c r="E627" s="7" t="s">
        <v>1812</v>
      </c>
      <c r="F627" s="7" t="e">
        <f>VLOOKUP(C627,'Fast Track '!B:C,2,FALSE)</f>
        <v>#N/A</v>
      </c>
      <c r="G627" s="7" t="s">
        <v>3707</v>
      </c>
      <c r="H627" s="6" t="s">
        <v>1286</v>
      </c>
      <c r="I627" s="6" t="s">
        <v>3172</v>
      </c>
      <c r="J627" s="6" t="s">
        <v>532</v>
      </c>
      <c r="K627" s="37" t="s">
        <v>3644</v>
      </c>
      <c r="L627" t="s">
        <v>3795</v>
      </c>
    </row>
    <row r="628" spans="1:12">
      <c r="A628" s="17">
        <v>627</v>
      </c>
      <c r="B628" s="6" t="s">
        <v>1558</v>
      </c>
      <c r="C628" s="7">
        <v>2022484153</v>
      </c>
      <c r="D628" s="7">
        <v>2201010767</v>
      </c>
      <c r="E628" s="7" t="s">
        <v>1812</v>
      </c>
      <c r="F628" s="7" t="e">
        <f>VLOOKUP(C628,'Fast Track '!B:C,2,FALSE)</f>
        <v>#N/A</v>
      </c>
      <c r="G628" s="7" t="s">
        <v>3707</v>
      </c>
      <c r="H628" s="6" t="s">
        <v>1559</v>
      </c>
      <c r="I628" s="6" t="s">
        <v>3178</v>
      </c>
      <c r="J628" s="6" t="s">
        <v>532</v>
      </c>
      <c r="K628" s="37" t="s">
        <v>3644</v>
      </c>
      <c r="L628" t="s">
        <v>3795</v>
      </c>
    </row>
    <row r="629" spans="1:12">
      <c r="A629" s="17">
        <v>628</v>
      </c>
      <c r="B629" s="6" t="s">
        <v>1519</v>
      </c>
      <c r="C629" s="7">
        <v>2022003650</v>
      </c>
      <c r="D629" s="7">
        <v>2201010806</v>
      </c>
      <c r="E629" s="7" t="s">
        <v>1812</v>
      </c>
      <c r="F629" s="7" t="e">
        <f>VLOOKUP(C629,'Fast Track '!B:C,2,FALSE)</f>
        <v>#N/A</v>
      </c>
      <c r="G629" s="7" t="s">
        <v>3707</v>
      </c>
      <c r="H629" s="6" t="s">
        <v>1520</v>
      </c>
      <c r="I629" s="6" t="s">
        <v>3180</v>
      </c>
      <c r="J629" s="6" t="s">
        <v>532</v>
      </c>
      <c r="K629" s="37" t="s">
        <v>3644</v>
      </c>
      <c r="L629" t="s">
        <v>3795</v>
      </c>
    </row>
    <row r="630" spans="1:12">
      <c r="A630" s="17">
        <v>629</v>
      </c>
      <c r="B630" s="6" t="s">
        <v>1281</v>
      </c>
      <c r="C630" s="7">
        <v>2022005848</v>
      </c>
      <c r="D630" s="7">
        <v>2201010922</v>
      </c>
      <c r="E630" s="7" t="s">
        <v>1812</v>
      </c>
      <c r="F630" s="7" t="e">
        <f>VLOOKUP(C630,'Fast Track '!B:C,2,FALSE)</f>
        <v>#N/A</v>
      </c>
      <c r="G630" s="7" t="s">
        <v>3707</v>
      </c>
      <c r="H630" s="6" t="s">
        <v>1282</v>
      </c>
      <c r="I630" s="6" t="s">
        <v>3182</v>
      </c>
      <c r="J630" s="6" t="s">
        <v>532</v>
      </c>
      <c r="K630" s="37" t="s">
        <v>3644</v>
      </c>
      <c r="L630" t="s">
        <v>3795</v>
      </c>
    </row>
    <row r="631" spans="1:12">
      <c r="A631" s="17">
        <v>630</v>
      </c>
      <c r="B631" s="6" t="s">
        <v>1289</v>
      </c>
      <c r="C631" s="7">
        <v>2022007324</v>
      </c>
      <c r="D631" s="7">
        <v>2201010924</v>
      </c>
      <c r="E631" s="7" t="s">
        <v>1812</v>
      </c>
      <c r="F631" s="7" t="e">
        <f>VLOOKUP(C631,'Fast Track '!B:C,2,FALSE)</f>
        <v>#N/A</v>
      </c>
      <c r="G631" s="7" t="s">
        <v>3707</v>
      </c>
      <c r="H631" s="6" t="s">
        <v>1290</v>
      </c>
      <c r="I631" s="6" t="s">
        <v>3184</v>
      </c>
      <c r="J631" s="6" t="s">
        <v>532</v>
      </c>
      <c r="K631" s="37" t="s">
        <v>3644</v>
      </c>
      <c r="L631" t="s">
        <v>3795</v>
      </c>
    </row>
    <row r="632" spans="1:12">
      <c r="A632" s="17">
        <v>631</v>
      </c>
      <c r="B632" s="6" t="s">
        <v>1295</v>
      </c>
      <c r="C632" s="7">
        <v>2022311612</v>
      </c>
      <c r="D632" s="7">
        <v>2201010927</v>
      </c>
      <c r="E632" s="7" t="s">
        <v>1812</v>
      </c>
      <c r="F632" s="7" t="e">
        <f>VLOOKUP(C632,'Fast Track '!B:C,2,FALSE)</f>
        <v>#N/A</v>
      </c>
      <c r="G632" s="7" t="s">
        <v>3707</v>
      </c>
      <c r="H632" s="6" t="s">
        <v>1296</v>
      </c>
      <c r="I632" s="6" t="s">
        <v>3188</v>
      </c>
      <c r="J632" s="6" t="s">
        <v>532</v>
      </c>
      <c r="K632" s="37" t="s">
        <v>3644</v>
      </c>
      <c r="L632" t="s">
        <v>3795</v>
      </c>
    </row>
    <row r="633" spans="1:12">
      <c r="A633" s="17">
        <v>632</v>
      </c>
      <c r="B633" s="6" t="s">
        <v>1339</v>
      </c>
      <c r="C633" s="7">
        <v>2022530497</v>
      </c>
      <c r="D633" s="7">
        <v>2201010932</v>
      </c>
      <c r="E633" s="7" t="s">
        <v>1812</v>
      </c>
      <c r="F633" s="7" t="e">
        <f>VLOOKUP(C633,'Fast Track '!B:C,2,FALSE)</f>
        <v>#N/A</v>
      </c>
      <c r="G633" s="7" t="s">
        <v>3707</v>
      </c>
      <c r="H633" s="6" t="s">
        <v>1340</v>
      </c>
      <c r="I633" s="6" t="s">
        <v>3190</v>
      </c>
      <c r="J633" s="6" t="s">
        <v>532</v>
      </c>
      <c r="K633" s="37" t="s">
        <v>3644</v>
      </c>
      <c r="L633" t="s">
        <v>3795</v>
      </c>
    </row>
    <row r="634" spans="1:12">
      <c r="A634" s="17">
        <v>633</v>
      </c>
      <c r="B634" s="6" t="s">
        <v>1116</v>
      </c>
      <c r="C634" s="7">
        <v>2022608097</v>
      </c>
      <c r="D634" s="7">
        <v>2201010935</v>
      </c>
      <c r="E634" s="7" t="s">
        <v>1812</v>
      </c>
      <c r="F634" s="7" t="e">
        <f>VLOOKUP(C634,'Fast Track '!B:C,2,FALSE)</f>
        <v>#N/A</v>
      </c>
      <c r="G634" s="7" t="s">
        <v>3707</v>
      </c>
      <c r="H634" s="6" t="s">
        <v>1361</v>
      </c>
      <c r="I634" s="6" t="s">
        <v>3192</v>
      </c>
      <c r="J634" s="6" t="s">
        <v>532</v>
      </c>
      <c r="K634" s="37" t="s">
        <v>3644</v>
      </c>
      <c r="L634" t="s">
        <v>3795</v>
      </c>
    </row>
    <row r="635" spans="1:12">
      <c r="A635" s="17">
        <v>634</v>
      </c>
      <c r="B635" s="6" t="s">
        <v>1509</v>
      </c>
      <c r="C635" s="7">
        <v>2021380904</v>
      </c>
      <c r="D635" s="7">
        <v>210101166</v>
      </c>
      <c r="E635" s="7" t="s">
        <v>1812</v>
      </c>
      <c r="F635" s="7" t="e">
        <f>VLOOKUP(C635,'Fast Track '!B:C,2,FALSE)</f>
        <v>#N/A</v>
      </c>
      <c r="G635" s="7" t="s">
        <v>3707</v>
      </c>
      <c r="H635" s="6" t="s">
        <v>1510</v>
      </c>
      <c r="I635" s="6" t="s">
        <v>3384</v>
      </c>
      <c r="J635" s="6" t="s">
        <v>532</v>
      </c>
      <c r="K635" s="37" t="s">
        <v>3644</v>
      </c>
      <c r="L635" t="s">
        <v>3795</v>
      </c>
    </row>
    <row r="636" spans="1:12">
      <c r="A636" s="17">
        <v>635</v>
      </c>
      <c r="B636" s="6" t="s">
        <v>1570</v>
      </c>
      <c r="C636" s="7">
        <v>2022510612</v>
      </c>
      <c r="D636" s="7">
        <v>2201010068</v>
      </c>
      <c r="E636" s="7" t="s">
        <v>1812</v>
      </c>
      <c r="F636" s="7" t="e">
        <f>VLOOKUP(C636,'Fast Track '!B:C,2,FALSE)</f>
        <v>#N/A</v>
      </c>
      <c r="G636" s="7" t="s">
        <v>3707</v>
      </c>
      <c r="H636" s="6" t="s">
        <v>1571</v>
      </c>
      <c r="I636" s="6" t="s">
        <v>3388</v>
      </c>
      <c r="J636" s="6" t="s">
        <v>532</v>
      </c>
      <c r="K636" s="37" t="s">
        <v>3644</v>
      </c>
      <c r="L636" t="s">
        <v>3795</v>
      </c>
    </row>
    <row r="637" spans="1:12">
      <c r="A637" s="17">
        <v>636</v>
      </c>
      <c r="B637" s="6" t="s">
        <v>1521</v>
      </c>
      <c r="C637" s="7">
        <v>2022004729</v>
      </c>
      <c r="D637" s="7">
        <v>2201010104</v>
      </c>
      <c r="E637" s="7" t="s">
        <v>1812</v>
      </c>
      <c r="F637" s="7" t="e">
        <f>VLOOKUP(C637,'Fast Track '!B:C,2,FALSE)</f>
        <v>#N/A</v>
      </c>
      <c r="G637" s="7" t="s">
        <v>3707</v>
      </c>
      <c r="H637" s="6" t="s">
        <v>1522</v>
      </c>
      <c r="I637" s="6" t="s">
        <v>3390</v>
      </c>
      <c r="J637" s="6" t="s">
        <v>532</v>
      </c>
      <c r="K637" s="37" t="s">
        <v>3644</v>
      </c>
      <c r="L637" t="s">
        <v>3795</v>
      </c>
    </row>
    <row r="638" spans="1:12">
      <c r="A638" s="17">
        <v>637</v>
      </c>
      <c r="B638" s="6" t="s">
        <v>1456</v>
      </c>
      <c r="C638" s="7">
        <v>2022003451</v>
      </c>
      <c r="D638" s="7">
        <v>2201010147</v>
      </c>
      <c r="E638" s="7" t="s">
        <v>1812</v>
      </c>
      <c r="F638" s="7" t="e">
        <f>VLOOKUP(C638,'Fast Track '!B:C,2,FALSE)</f>
        <v>#N/A</v>
      </c>
      <c r="G638" s="7" t="s">
        <v>3707</v>
      </c>
      <c r="H638" s="6" t="s">
        <v>1518</v>
      </c>
      <c r="I638" s="6" t="s">
        <v>3392</v>
      </c>
      <c r="J638" s="6" t="s">
        <v>532</v>
      </c>
      <c r="K638" s="37" t="s">
        <v>3644</v>
      </c>
      <c r="L638" t="s">
        <v>3795</v>
      </c>
    </row>
    <row r="639" spans="1:12">
      <c r="A639" s="17">
        <v>638</v>
      </c>
      <c r="B639" s="6" t="s">
        <v>1511</v>
      </c>
      <c r="C639" s="7">
        <v>2022000299</v>
      </c>
      <c r="D639" s="7">
        <v>2201010226</v>
      </c>
      <c r="E639" s="7" t="s">
        <v>1812</v>
      </c>
      <c r="F639" s="7" t="e">
        <f>VLOOKUP(C639,'Fast Track '!B:C,2,FALSE)</f>
        <v>#N/A</v>
      </c>
      <c r="G639" s="7" t="s">
        <v>3707</v>
      </c>
      <c r="H639" s="6" t="s">
        <v>1512</v>
      </c>
      <c r="I639" s="6" t="s">
        <v>3394</v>
      </c>
      <c r="J639" s="6" t="s">
        <v>532</v>
      </c>
      <c r="K639" s="37" t="s">
        <v>3644</v>
      </c>
      <c r="L639" t="s">
        <v>3795</v>
      </c>
    </row>
    <row r="640" spans="1:12">
      <c r="A640" s="17">
        <v>639</v>
      </c>
      <c r="B640" s="6" t="s">
        <v>1568</v>
      </c>
      <c r="C640" s="7">
        <v>2022509891</v>
      </c>
      <c r="D640" s="7">
        <v>2201010242</v>
      </c>
      <c r="E640" s="7" t="s">
        <v>1812</v>
      </c>
      <c r="F640" s="7" t="e">
        <f>VLOOKUP(C640,'Fast Track '!B:C,2,FALSE)</f>
        <v>#N/A</v>
      </c>
      <c r="G640" s="7" t="s">
        <v>3707</v>
      </c>
      <c r="H640" s="6" t="s">
        <v>1569</v>
      </c>
      <c r="I640" s="6" t="s">
        <v>3396</v>
      </c>
      <c r="J640" s="6" t="s">
        <v>532</v>
      </c>
      <c r="K640" s="37" t="s">
        <v>3644</v>
      </c>
      <c r="L640" t="s">
        <v>3795</v>
      </c>
    </row>
    <row r="641" spans="1:12">
      <c r="A641" s="17">
        <v>640</v>
      </c>
      <c r="B641" s="6" t="s">
        <v>1582</v>
      </c>
      <c r="C641" s="7">
        <v>2022536194</v>
      </c>
      <c r="D641" s="7">
        <v>2201010250</v>
      </c>
      <c r="E641" s="7" t="s">
        <v>1812</v>
      </c>
      <c r="F641" s="7" t="e">
        <f>VLOOKUP(C641,'Fast Track '!B:C,2,FALSE)</f>
        <v>#N/A</v>
      </c>
      <c r="G641" s="7" t="s">
        <v>3707</v>
      </c>
      <c r="H641" s="6" t="s">
        <v>1583</v>
      </c>
      <c r="I641" s="6" t="s">
        <v>3398</v>
      </c>
      <c r="J641" s="6" t="s">
        <v>532</v>
      </c>
      <c r="K641" s="37" t="s">
        <v>3644</v>
      </c>
      <c r="L641" t="s">
        <v>3795</v>
      </c>
    </row>
    <row r="642" spans="1:12">
      <c r="A642" s="17">
        <v>641</v>
      </c>
      <c r="B642" s="6" t="s">
        <v>1525</v>
      </c>
      <c r="C642" s="7">
        <v>2022005315</v>
      </c>
      <c r="D642" s="7">
        <v>2201010255</v>
      </c>
      <c r="E642" s="7" t="s">
        <v>1812</v>
      </c>
      <c r="F642" s="7" t="e">
        <f>VLOOKUP(C642,'Fast Track '!B:C,2,FALSE)</f>
        <v>#N/A</v>
      </c>
      <c r="G642" s="7" t="s">
        <v>3707</v>
      </c>
      <c r="H642" s="6" t="s">
        <v>1526</v>
      </c>
      <c r="I642" s="6" t="s">
        <v>3400</v>
      </c>
      <c r="J642" s="6" t="s">
        <v>532</v>
      </c>
      <c r="K642" s="37" t="s">
        <v>3644</v>
      </c>
      <c r="L642" t="s">
        <v>3795</v>
      </c>
    </row>
    <row r="643" spans="1:12">
      <c r="A643" s="17">
        <v>642</v>
      </c>
      <c r="B643" s="6" t="s">
        <v>1550</v>
      </c>
      <c r="C643" s="7">
        <v>2022390387</v>
      </c>
      <c r="D643" s="7">
        <v>2201010455</v>
      </c>
      <c r="E643" s="7" t="s">
        <v>1812</v>
      </c>
      <c r="F643" s="7" t="e">
        <f>VLOOKUP(C643,'Fast Track '!B:C,2,FALSE)</f>
        <v>#N/A</v>
      </c>
      <c r="G643" s="7" t="s">
        <v>3707</v>
      </c>
      <c r="H643" s="6" t="s">
        <v>1551</v>
      </c>
      <c r="I643" s="6" t="s">
        <v>3404</v>
      </c>
      <c r="J643" s="6" t="s">
        <v>532</v>
      </c>
      <c r="K643" s="37" t="s">
        <v>3644</v>
      </c>
      <c r="L643" t="s">
        <v>3795</v>
      </c>
    </row>
    <row r="644" spans="1:12">
      <c r="A644" s="17">
        <v>643</v>
      </c>
      <c r="B644" s="6" t="s">
        <v>1562</v>
      </c>
      <c r="C644" s="7">
        <v>2022504250</v>
      </c>
      <c r="D644" s="7">
        <v>2201010508</v>
      </c>
      <c r="E644" s="7" t="s">
        <v>1812</v>
      </c>
      <c r="F644" s="7" t="e">
        <f>VLOOKUP(C644,'Fast Track '!B:C,2,FALSE)</f>
        <v>#N/A</v>
      </c>
      <c r="G644" s="7" t="s">
        <v>3707</v>
      </c>
      <c r="H644" s="6" t="s">
        <v>1563</v>
      </c>
      <c r="I644" s="6" t="s">
        <v>3408</v>
      </c>
      <c r="J644" s="6" t="s">
        <v>532</v>
      </c>
      <c r="K644" s="37" t="s">
        <v>3644</v>
      </c>
      <c r="L644" t="s">
        <v>3795</v>
      </c>
    </row>
    <row r="645" spans="1:12">
      <c r="A645" s="17">
        <v>644</v>
      </c>
      <c r="B645" s="6" t="s">
        <v>1556</v>
      </c>
      <c r="C645" s="7">
        <v>2022477888</v>
      </c>
      <c r="D645" s="7">
        <v>2201010559</v>
      </c>
      <c r="E645" s="7" t="s">
        <v>1812</v>
      </c>
      <c r="F645" s="7" t="e">
        <f>VLOOKUP(C645,'Fast Track '!B:C,2,FALSE)</f>
        <v>#N/A</v>
      </c>
      <c r="G645" s="7" t="s">
        <v>3707</v>
      </c>
      <c r="H645" s="6" t="s">
        <v>1557</v>
      </c>
      <c r="I645" s="6" t="s">
        <v>3410</v>
      </c>
      <c r="J645" s="6" t="s">
        <v>532</v>
      </c>
      <c r="K645" s="37" t="s">
        <v>3644</v>
      </c>
      <c r="L645" t="s">
        <v>3795</v>
      </c>
    </row>
    <row r="646" spans="1:12">
      <c r="A646" s="17">
        <v>645</v>
      </c>
      <c r="B646" s="6" t="s">
        <v>820</v>
      </c>
      <c r="C646" s="7">
        <v>2021407901</v>
      </c>
      <c r="D646" s="7">
        <v>210101360</v>
      </c>
      <c r="E646" s="7" t="s">
        <v>1812</v>
      </c>
      <c r="F646" s="7" t="e">
        <f>VLOOKUP(C646,'Fast Track '!B:C,2,FALSE)</f>
        <v>#N/A</v>
      </c>
      <c r="G646" s="7" t="s">
        <v>3707</v>
      </c>
      <c r="H646" s="11" t="s">
        <v>821</v>
      </c>
      <c r="I646" s="6" t="s">
        <v>3492</v>
      </c>
      <c r="J646" s="6" t="s">
        <v>532</v>
      </c>
      <c r="K646" s="37" t="s">
        <v>3644</v>
      </c>
      <c r="L646" t="s">
        <v>3795</v>
      </c>
    </row>
    <row r="647" spans="1:12">
      <c r="A647" s="17">
        <v>646</v>
      </c>
      <c r="B647" s="6" t="s">
        <v>530</v>
      </c>
      <c r="C647" s="7">
        <v>2022490456</v>
      </c>
      <c r="D647" s="7">
        <v>2201010214</v>
      </c>
      <c r="E647" s="7" t="s">
        <v>1812</v>
      </c>
      <c r="F647" s="7" t="e">
        <f>VLOOKUP(C647,'Fast Track '!B:C,2,FALSE)</f>
        <v>#N/A</v>
      </c>
      <c r="G647" s="7" t="s">
        <v>3707</v>
      </c>
      <c r="H647" s="6" t="s">
        <v>531</v>
      </c>
      <c r="I647" s="6" t="s">
        <v>3496</v>
      </c>
      <c r="J647" s="6" t="s">
        <v>532</v>
      </c>
      <c r="K647" s="37" t="s">
        <v>3644</v>
      </c>
      <c r="L647" t="s">
        <v>3795</v>
      </c>
    </row>
    <row r="648" spans="1:12">
      <c r="A648" s="17">
        <v>647</v>
      </c>
      <c r="B648" s="6" t="s">
        <v>1596</v>
      </c>
      <c r="C648" s="7">
        <v>2022003855</v>
      </c>
      <c r="D648" s="7">
        <v>2201010516</v>
      </c>
      <c r="E648" s="7" t="s">
        <v>1812</v>
      </c>
      <c r="F648" s="7" t="e">
        <f>VLOOKUP(C648,'Fast Track '!B:C,2,FALSE)</f>
        <v>#N/A</v>
      </c>
      <c r="G648" s="7" t="s">
        <v>3707</v>
      </c>
      <c r="H648" s="6" t="s">
        <v>1597</v>
      </c>
      <c r="I648" s="6" t="s">
        <v>3498</v>
      </c>
      <c r="J648" s="6" t="s">
        <v>532</v>
      </c>
      <c r="K648" s="37" t="s">
        <v>3644</v>
      </c>
      <c r="L648" t="s">
        <v>3795</v>
      </c>
    </row>
    <row r="649" spans="1:12">
      <c r="A649" s="17">
        <v>648</v>
      </c>
      <c r="B649" s="6" t="s">
        <v>832</v>
      </c>
      <c r="C649" s="7">
        <v>2022006315</v>
      </c>
      <c r="D649" s="7">
        <v>2201010791</v>
      </c>
      <c r="E649" s="7" t="s">
        <v>1812</v>
      </c>
      <c r="F649" s="7" t="e">
        <f>VLOOKUP(C649,'Fast Track '!B:C,2,FALSE)</f>
        <v>#N/A</v>
      </c>
      <c r="G649" s="7" t="s">
        <v>3707</v>
      </c>
      <c r="H649" s="6" t="s">
        <v>833</v>
      </c>
      <c r="I649" s="6" t="s">
        <v>3500</v>
      </c>
      <c r="J649" s="6" t="s">
        <v>532</v>
      </c>
      <c r="K649" s="37" t="s">
        <v>3644</v>
      </c>
      <c r="L649" t="s">
        <v>3795</v>
      </c>
    </row>
    <row r="650" spans="1:12">
      <c r="A650" s="17">
        <v>649</v>
      </c>
      <c r="B650" s="54" t="s">
        <v>1445</v>
      </c>
      <c r="C650" s="55">
        <v>2022307728</v>
      </c>
      <c r="D650" s="55">
        <v>2201010544</v>
      </c>
      <c r="E650" s="7" t="s">
        <v>1812</v>
      </c>
      <c r="F650" s="7" t="e">
        <f>VLOOKUP(C650,'Fast Track '!B:C,2,FALSE)</f>
        <v>#N/A</v>
      </c>
      <c r="G650" s="7" t="s">
        <v>3707</v>
      </c>
      <c r="H650" s="54" t="s">
        <v>1446</v>
      </c>
      <c r="I650" s="54" t="s">
        <v>3472</v>
      </c>
      <c r="J650" s="54" t="s">
        <v>1372</v>
      </c>
      <c r="K650" s="60" t="s">
        <v>3645</v>
      </c>
      <c r="L650" t="s">
        <v>3795</v>
      </c>
    </row>
    <row r="651" spans="1:12">
      <c r="A651" s="17">
        <v>650</v>
      </c>
      <c r="B651" s="54" t="s">
        <v>375</v>
      </c>
      <c r="C651" s="55">
        <v>2022005003</v>
      </c>
      <c r="D651" s="55">
        <v>2201010795</v>
      </c>
      <c r="E651" s="7" t="s">
        <v>1812</v>
      </c>
      <c r="F651" s="7" t="e">
        <f>VLOOKUP(C651,'Fast Track '!B:C,2,FALSE)</f>
        <v>#N/A</v>
      </c>
      <c r="G651" s="7" t="s">
        <v>3707</v>
      </c>
      <c r="H651" s="54" t="s">
        <v>1408</v>
      </c>
      <c r="I651" s="54" t="s">
        <v>3476</v>
      </c>
      <c r="J651" s="54" t="s">
        <v>1372</v>
      </c>
      <c r="K651" s="60" t="s">
        <v>3645</v>
      </c>
      <c r="L651" t="s">
        <v>3795</v>
      </c>
    </row>
    <row r="652" spans="1:12">
      <c r="A652" s="17">
        <v>651</v>
      </c>
      <c r="B652" s="54" t="s">
        <v>1615</v>
      </c>
      <c r="C652" s="55">
        <v>2022307102</v>
      </c>
      <c r="D652" s="55">
        <v>2201010145</v>
      </c>
      <c r="E652" s="7" t="s">
        <v>1812</v>
      </c>
      <c r="F652" s="7" t="e">
        <f>VLOOKUP(C652,'Fast Track '!B:C,2,FALSE)</f>
        <v>#N/A</v>
      </c>
      <c r="G652" s="7" t="s">
        <v>3707</v>
      </c>
      <c r="H652" s="54" t="s">
        <v>1616</v>
      </c>
      <c r="I652" s="54" t="s">
        <v>3504</v>
      </c>
      <c r="J652" s="54" t="s">
        <v>1372</v>
      </c>
      <c r="K652" s="60" t="s">
        <v>3645</v>
      </c>
      <c r="L652" t="s">
        <v>3795</v>
      </c>
    </row>
    <row r="653" spans="1:12">
      <c r="A653" s="17">
        <v>652</v>
      </c>
      <c r="B653" s="54" t="s">
        <v>1406</v>
      </c>
      <c r="C653" s="55">
        <v>2022004886</v>
      </c>
      <c r="D653" s="55">
        <v>2201010218</v>
      </c>
      <c r="E653" s="7" t="s">
        <v>1812</v>
      </c>
      <c r="F653" s="7" t="e">
        <f>VLOOKUP(C653,'Fast Track '!B:C,2,FALSE)</f>
        <v>#N/A</v>
      </c>
      <c r="G653" s="7" t="s">
        <v>3707</v>
      </c>
      <c r="H653" s="54" t="s">
        <v>1407</v>
      </c>
      <c r="I653" s="54" t="s">
        <v>3506</v>
      </c>
      <c r="J653" s="54" t="s">
        <v>1372</v>
      </c>
      <c r="K653" s="60" t="s">
        <v>3645</v>
      </c>
      <c r="L653" t="s">
        <v>3795</v>
      </c>
    </row>
    <row r="654" spans="1:12">
      <c r="A654" s="17">
        <v>653</v>
      </c>
      <c r="B654" s="54" t="s">
        <v>1474</v>
      </c>
      <c r="C654" s="55">
        <v>2022494267</v>
      </c>
      <c r="D654" s="55">
        <v>2201010473</v>
      </c>
      <c r="E654" s="7" t="s">
        <v>1812</v>
      </c>
      <c r="F654" s="7" t="e">
        <f>VLOOKUP(C654,'Fast Track '!B:C,2,FALSE)</f>
        <v>#N/A</v>
      </c>
      <c r="G654" s="7" t="s">
        <v>3707</v>
      </c>
      <c r="H654" s="54" t="s">
        <v>1475</v>
      </c>
      <c r="I654" s="54" t="s">
        <v>3508</v>
      </c>
      <c r="J654" s="54" t="s">
        <v>1372</v>
      </c>
      <c r="K654" s="60" t="s">
        <v>3645</v>
      </c>
      <c r="L654" t="s">
        <v>3795</v>
      </c>
    </row>
    <row r="655" spans="1:12">
      <c r="A655" s="17">
        <v>654</v>
      </c>
      <c r="B655" s="54" t="s">
        <v>1415</v>
      </c>
      <c r="C655" s="55">
        <v>2022006280</v>
      </c>
      <c r="D655" s="55">
        <v>2201010577</v>
      </c>
      <c r="E655" s="7" t="s">
        <v>1812</v>
      </c>
      <c r="F655" s="7" t="e">
        <f>VLOOKUP(C655,'Fast Track '!B:C,2,FALSE)</f>
        <v>#N/A</v>
      </c>
      <c r="G655" s="7" t="s">
        <v>3707</v>
      </c>
      <c r="H655" s="54" t="s">
        <v>1416</v>
      </c>
      <c r="I655" s="54" t="s">
        <v>3510</v>
      </c>
      <c r="J655" s="54" t="s">
        <v>1372</v>
      </c>
      <c r="K655" s="60" t="s">
        <v>3645</v>
      </c>
      <c r="L655" t="s">
        <v>3795</v>
      </c>
    </row>
    <row r="656" spans="1:12">
      <c r="A656" s="17">
        <v>655</v>
      </c>
      <c r="B656" s="54" t="s">
        <v>1639</v>
      </c>
      <c r="C656" s="55">
        <v>2022447868</v>
      </c>
      <c r="D656" s="55">
        <v>2201010637</v>
      </c>
      <c r="E656" s="7" t="s">
        <v>1812</v>
      </c>
      <c r="F656" s="7" t="str">
        <f>VLOOKUP(C656,'Fast Track '!B:C,2,FALSE)</f>
        <v xml:space="preserve">Fasttrack </v>
      </c>
      <c r="G656" s="7"/>
      <c r="H656" s="54" t="s">
        <v>1640</v>
      </c>
      <c r="I656" s="54" t="s">
        <v>3512</v>
      </c>
      <c r="J656" s="54" t="s">
        <v>1372</v>
      </c>
      <c r="K656" s="60" t="s">
        <v>3645</v>
      </c>
      <c r="L656" t="s">
        <v>3795</v>
      </c>
    </row>
    <row r="657" spans="1:12">
      <c r="A657" s="17">
        <v>656</v>
      </c>
      <c r="B657" s="54" t="s">
        <v>1460</v>
      </c>
      <c r="C657" s="55">
        <v>2022400313</v>
      </c>
      <c r="D657" s="55">
        <v>2201010683</v>
      </c>
      <c r="E657" s="7" t="s">
        <v>1812</v>
      </c>
      <c r="F657" s="7" t="e">
        <f>VLOOKUP(C657,'Fast Track '!B:C,2,FALSE)</f>
        <v>#N/A</v>
      </c>
      <c r="G657" s="7" t="s">
        <v>3707</v>
      </c>
      <c r="H657" s="54" t="s">
        <v>1461</v>
      </c>
      <c r="I657" s="54" t="s">
        <v>3514</v>
      </c>
      <c r="J657" s="54" t="s">
        <v>1372</v>
      </c>
      <c r="K657" s="60" t="s">
        <v>3645</v>
      </c>
      <c r="L657" t="s">
        <v>3795</v>
      </c>
    </row>
    <row r="658" spans="1:12">
      <c r="A658" s="17">
        <v>657</v>
      </c>
      <c r="B658" s="54" t="s">
        <v>1425</v>
      </c>
      <c r="C658" s="55">
        <v>2022006905</v>
      </c>
      <c r="D658" s="55">
        <v>2201010691</v>
      </c>
      <c r="E658" s="7" t="s">
        <v>1812</v>
      </c>
      <c r="F658" s="7" t="e">
        <f>VLOOKUP(C658,'Fast Track '!B:C,2,FALSE)</f>
        <v>#N/A</v>
      </c>
      <c r="G658" s="7" t="s">
        <v>3707</v>
      </c>
      <c r="H658" s="54" t="s">
        <v>1426</v>
      </c>
      <c r="I658" s="54" t="s">
        <v>3516</v>
      </c>
      <c r="J658" s="54" t="s">
        <v>1372</v>
      </c>
      <c r="K658" s="60" t="s">
        <v>3645</v>
      </c>
      <c r="L658" t="s">
        <v>3795</v>
      </c>
    </row>
    <row r="659" spans="1:12" ht="15.5">
      <c r="A659" s="17">
        <v>658</v>
      </c>
      <c r="B659" s="6" t="s">
        <v>1377</v>
      </c>
      <c r="C659" s="7">
        <v>2021476666</v>
      </c>
      <c r="D659" s="7">
        <v>210101001</v>
      </c>
      <c r="E659" s="7" t="s">
        <v>1810</v>
      </c>
      <c r="F659" s="7" t="e">
        <f>VLOOKUP(C659,'Fast Track '!B:C,2,FALSE)</f>
        <v>#N/A</v>
      </c>
      <c r="G659" s="7" t="s">
        <v>3707</v>
      </c>
      <c r="H659" s="11" t="s">
        <v>1378</v>
      </c>
      <c r="I659" s="6" t="s">
        <v>3232</v>
      </c>
      <c r="J659" s="35" t="s">
        <v>532</v>
      </c>
      <c r="K659" s="37" t="s">
        <v>3645</v>
      </c>
      <c r="L659" s="65" t="s">
        <v>3797</v>
      </c>
    </row>
    <row r="660" spans="1:12" ht="15.5">
      <c r="A660" s="17">
        <v>659</v>
      </c>
      <c r="B660" s="6" t="s">
        <v>783</v>
      </c>
      <c r="C660" s="7">
        <v>2021406215</v>
      </c>
      <c r="D660" s="7">
        <v>210101266</v>
      </c>
      <c r="E660" s="7" t="s">
        <v>1810</v>
      </c>
      <c r="F660" s="7" t="e">
        <f>VLOOKUP(C660,'Fast Track '!B:C,2,FALSE)</f>
        <v>#N/A</v>
      </c>
      <c r="G660" s="7" t="s">
        <v>3707</v>
      </c>
      <c r="H660" s="6" t="s">
        <v>784</v>
      </c>
      <c r="I660" s="6" t="s">
        <v>3234</v>
      </c>
      <c r="J660" s="35" t="s">
        <v>532</v>
      </c>
      <c r="K660" s="37" t="s">
        <v>3645</v>
      </c>
      <c r="L660" s="65" t="s">
        <v>3797</v>
      </c>
    </row>
    <row r="661" spans="1:12" ht="15.5">
      <c r="A661" s="17">
        <v>660</v>
      </c>
      <c r="B661" s="6" t="s">
        <v>824</v>
      </c>
      <c r="C661" s="7">
        <v>2021826104</v>
      </c>
      <c r="D661" s="7">
        <v>210101272</v>
      </c>
      <c r="E661" s="7" t="s">
        <v>1810</v>
      </c>
      <c r="F661" s="7" t="e">
        <f>VLOOKUP(C661,'Fast Track '!B:C,2,FALSE)</f>
        <v>#N/A</v>
      </c>
      <c r="G661" s="7" t="s">
        <v>3707</v>
      </c>
      <c r="H661" s="6" t="s">
        <v>825</v>
      </c>
      <c r="I661" s="6" t="s">
        <v>3236</v>
      </c>
      <c r="J661" s="35" t="s">
        <v>532</v>
      </c>
      <c r="K661" s="37" t="s">
        <v>3645</v>
      </c>
      <c r="L661" s="65" t="s">
        <v>3797</v>
      </c>
    </row>
    <row r="662" spans="1:12" ht="15.5">
      <c r="A662" s="17">
        <v>661</v>
      </c>
      <c r="B662" s="6" t="s">
        <v>822</v>
      </c>
      <c r="C662" s="7">
        <v>2021472701</v>
      </c>
      <c r="D662" s="7">
        <v>210101476</v>
      </c>
      <c r="E662" s="7" t="s">
        <v>1810</v>
      </c>
      <c r="F662" s="7" t="e">
        <f>VLOOKUP(C662,'Fast Track '!B:C,2,FALSE)</f>
        <v>#N/A</v>
      </c>
      <c r="G662" s="7" t="s">
        <v>3707</v>
      </c>
      <c r="H662" s="6" t="s">
        <v>823</v>
      </c>
      <c r="I662" s="6" t="s">
        <v>3238</v>
      </c>
      <c r="J662" s="35" t="s">
        <v>532</v>
      </c>
      <c r="K662" s="37" t="s">
        <v>3645</v>
      </c>
      <c r="L662" s="65" t="s">
        <v>3797</v>
      </c>
    </row>
    <row r="663" spans="1:12" ht="15.5">
      <c r="A663" s="17">
        <v>662</v>
      </c>
      <c r="B663" s="6" t="s">
        <v>836</v>
      </c>
      <c r="C663" s="7">
        <v>2022006640</v>
      </c>
      <c r="D663" s="7">
        <v>2201010027</v>
      </c>
      <c r="E663" s="7" t="s">
        <v>1810</v>
      </c>
      <c r="F663" s="7" t="e">
        <f>VLOOKUP(C663,'Fast Track '!B:C,2,FALSE)</f>
        <v>#N/A</v>
      </c>
      <c r="G663" s="7" t="s">
        <v>3707</v>
      </c>
      <c r="H663" s="6" t="s">
        <v>837</v>
      </c>
      <c r="I663" s="6" t="s">
        <v>3244</v>
      </c>
      <c r="J663" s="35" t="s">
        <v>532</v>
      </c>
      <c r="K663" s="37" t="s">
        <v>3645</v>
      </c>
      <c r="L663" s="65" t="s">
        <v>3797</v>
      </c>
    </row>
    <row r="664" spans="1:12" ht="15.5">
      <c r="A664" s="17">
        <v>663</v>
      </c>
      <c r="B664" s="6" t="s">
        <v>826</v>
      </c>
      <c r="C664" s="7">
        <v>2022004657</v>
      </c>
      <c r="D664" s="7">
        <v>2201010035</v>
      </c>
      <c r="E664" s="7" t="s">
        <v>1810</v>
      </c>
      <c r="F664" s="7" t="e">
        <f>VLOOKUP(C664,'Fast Track '!B:C,2,FALSE)</f>
        <v>#N/A</v>
      </c>
      <c r="G664" s="7" t="s">
        <v>3707</v>
      </c>
      <c r="H664" s="6" t="s">
        <v>827</v>
      </c>
      <c r="I664" s="6" t="s">
        <v>3246</v>
      </c>
      <c r="J664" s="35" t="s">
        <v>532</v>
      </c>
      <c r="K664" s="37" t="s">
        <v>3645</v>
      </c>
      <c r="L664" s="65" t="s">
        <v>3797</v>
      </c>
    </row>
    <row r="665" spans="1:12" ht="15.5">
      <c r="A665" s="17">
        <v>664</v>
      </c>
      <c r="B665" s="6" t="s">
        <v>1383</v>
      </c>
      <c r="C665" s="7">
        <v>2022007148</v>
      </c>
      <c r="D665" s="7">
        <v>2201010114</v>
      </c>
      <c r="E665" s="7" t="s">
        <v>1810</v>
      </c>
      <c r="F665" s="7" t="e">
        <f>VLOOKUP(C665,'Fast Track '!B:C,2,FALSE)</f>
        <v>#N/A</v>
      </c>
      <c r="G665" s="7" t="s">
        <v>3707</v>
      </c>
      <c r="H665" s="6" t="s">
        <v>1384</v>
      </c>
      <c r="I665" s="6" t="s">
        <v>3248</v>
      </c>
      <c r="J665" s="35" t="s">
        <v>532</v>
      </c>
      <c r="K665" s="37" t="s">
        <v>3645</v>
      </c>
      <c r="L665" s="65" t="s">
        <v>3797</v>
      </c>
    </row>
    <row r="666" spans="1:12" ht="15.5">
      <c r="A666" s="17">
        <v>665</v>
      </c>
      <c r="B666" s="6" t="s">
        <v>862</v>
      </c>
      <c r="C666" s="7">
        <v>2022459065</v>
      </c>
      <c r="D666" s="7">
        <v>2201010149</v>
      </c>
      <c r="E666" s="7" t="s">
        <v>1810</v>
      </c>
      <c r="F666" s="7" t="e">
        <f>VLOOKUP(C666,'Fast Track '!B:C,2,FALSE)</f>
        <v>#N/A</v>
      </c>
      <c r="G666" s="7" t="s">
        <v>3707</v>
      </c>
      <c r="H666" s="6" t="s">
        <v>863</v>
      </c>
      <c r="I666" s="6" t="s">
        <v>3250</v>
      </c>
      <c r="J666" s="35" t="s">
        <v>532</v>
      </c>
      <c r="K666" s="37" t="s">
        <v>3645</v>
      </c>
      <c r="L666" s="65" t="s">
        <v>3797</v>
      </c>
    </row>
    <row r="667" spans="1:12" ht="15.5">
      <c r="A667" s="17">
        <v>666</v>
      </c>
      <c r="B667" s="6" t="s">
        <v>1379</v>
      </c>
      <c r="C667" s="7">
        <v>2022006161</v>
      </c>
      <c r="D667" s="7">
        <v>2201010172</v>
      </c>
      <c r="E667" s="7" t="s">
        <v>1810</v>
      </c>
      <c r="F667" s="7" t="e">
        <f>VLOOKUP(C667,'Fast Track '!B:C,2,FALSE)</f>
        <v>#N/A</v>
      </c>
      <c r="G667" s="7" t="s">
        <v>3707</v>
      </c>
      <c r="H667" s="6" t="s">
        <v>1380</v>
      </c>
      <c r="I667" s="6" t="s">
        <v>3252</v>
      </c>
      <c r="J667" s="35" t="s">
        <v>532</v>
      </c>
      <c r="K667" s="37" t="s">
        <v>3645</v>
      </c>
      <c r="L667" s="65" t="s">
        <v>3797</v>
      </c>
    </row>
    <row r="668" spans="1:12" ht="15.5">
      <c r="A668" s="17">
        <v>667</v>
      </c>
      <c r="B668" s="6" t="s">
        <v>856</v>
      </c>
      <c r="C668" s="7">
        <v>2022421393</v>
      </c>
      <c r="D668" s="7">
        <v>2201010177</v>
      </c>
      <c r="E668" s="7" t="s">
        <v>1810</v>
      </c>
      <c r="F668" s="7" t="e">
        <f>VLOOKUP(C668,'Fast Track '!B:C,2,FALSE)</f>
        <v>#N/A</v>
      </c>
      <c r="G668" s="7" t="s">
        <v>3707</v>
      </c>
      <c r="H668" s="6" t="s">
        <v>857</v>
      </c>
      <c r="I668" s="6" t="s">
        <v>3254</v>
      </c>
      <c r="J668" s="35" t="s">
        <v>532</v>
      </c>
      <c r="K668" s="37" t="s">
        <v>3645</v>
      </c>
      <c r="L668" s="65" t="s">
        <v>3797</v>
      </c>
    </row>
    <row r="669" spans="1:12" ht="15.5">
      <c r="A669" s="17">
        <v>668</v>
      </c>
      <c r="B669" s="6" t="s">
        <v>876</v>
      </c>
      <c r="C669" s="7">
        <v>2022509542</v>
      </c>
      <c r="D669" s="7">
        <v>2201010186</v>
      </c>
      <c r="E669" s="7" t="s">
        <v>1810</v>
      </c>
      <c r="F669" s="7" t="e">
        <f>VLOOKUP(C669,'Fast Track '!B:C,2,FALSE)</f>
        <v>#N/A</v>
      </c>
      <c r="G669" s="7" t="s">
        <v>3707</v>
      </c>
      <c r="H669" s="6" t="s">
        <v>877</v>
      </c>
      <c r="I669" s="6" t="s">
        <v>3256</v>
      </c>
      <c r="J669" s="35" t="s">
        <v>532</v>
      </c>
      <c r="K669" s="37" t="s">
        <v>3645</v>
      </c>
      <c r="L669" s="65" t="s">
        <v>3797</v>
      </c>
    </row>
    <row r="670" spans="1:12" ht="15.5">
      <c r="A670" s="17">
        <v>669</v>
      </c>
      <c r="B670" s="6" t="s">
        <v>868</v>
      </c>
      <c r="C670" s="7">
        <v>2022472743</v>
      </c>
      <c r="D670" s="7">
        <v>2201010256</v>
      </c>
      <c r="E670" s="7" t="s">
        <v>1810</v>
      </c>
      <c r="F670" s="7" t="e">
        <f>VLOOKUP(C670,'Fast Track '!B:C,2,FALSE)</f>
        <v>#N/A</v>
      </c>
      <c r="G670" s="7" t="s">
        <v>3707</v>
      </c>
      <c r="H670" s="6" t="s">
        <v>869</v>
      </c>
      <c r="I670" s="6" t="s">
        <v>3260</v>
      </c>
      <c r="J670" s="35" t="s">
        <v>532</v>
      </c>
      <c r="K670" s="37" t="s">
        <v>3645</v>
      </c>
      <c r="L670" s="65" t="s">
        <v>3797</v>
      </c>
    </row>
    <row r="671" spans="1:12" ht="15.5">
      <c r="A671" s="17">
        <v>670</v>
      </c>
      <c r="B671" s="6" t="s">
        <v>884</v>
      </c>
      <c r="C671" s="7">
        <v>2022554328</v>
      </c>
      <c r="D671" s="7">
        <v>2201010262</v>
      </c>
      <c r="E671" s="7" t="s">
        <v>1810</v>
      </c>
      <c r="F671" s="7" t="e">
        <f>VLOOKUP(C671,'Fast Track '!B:C,2,FALSE)</f>
        <v>#N/A</v>
      </c>
      <c r="G671" s="7" t="s">
        <v>3707</v>
      </c>
      <c r="H671" s="6" t="s">
        <v>885</v>
      </c>
      <c r="I671" s="6" t="s">
        <v>3262</v>
      </c>
      <c r="J671" s="35" t="s">
        <v>532</v>
      </c>
      <c r="K671" s="37" t="s">
        <v>3645</v>
      </c>
      <c r="L671" s="65" t="s">
        <v>3797</v>
      </c>
    </row>
    <row r="672" spans="1:12" ht="15.5">
      <c r="A672" s="17">
        <v>671</v>
      </c>
      <c r="B672" s="6" t="s">
        <v>1387</v>
      </c>
      <c r="C672" s="7">
        <v>2022509576</v>
      </c>
      <c r="D672" s="7">
        <v>2201010264</v>
      </c>
      <c r="E672" s="7" t="s">
        <v>1810</v>
      </c>
      <c r="F672" s="7" t="e">
        <f>VLOOKUP(C672,'Fast Track '!B:C,2,FALSE)</f>
        <v>#N/A</v>
      </c>
      <c r="G672" s="7" t="s">
        <v>3707</v>
      </c>
      <c r="H672" s="6" t="s">
        <v>1388</v>
      </c>
      <c r="I672" s="6" t="s">
        <v>3264</v>
      </c>
      <c r="J672" s="35" t="s">
        <v>532</v>
      </c>
      <c r="K672" s="37" t="s">
        <v>3645</v>
      </c>
      <c r="L672" s="65" t="s">
        <v>3797</v>
      </c>
    </row>
    <row r="673" spans="1:12" ht="15.5">
      <c r="A673" s="17">
        <v>672</v>
      </c>
      <c r="B673" s="6" t="s">
        <v>840</v>
      </c>
      <c r="C673" s="7">
        <v>2022304714</v>
      </c>
      <c r="D673" s="7">
        <v>2201010321</v>
      </c>
      <c r="E673" s="7" t="s">
        <v>1810</v>
      </c>
      <c r="F673" s="7" t="e">
        <f>VLOOKUP(C673,'Fast Track '!B:C,2,FALSE)</f>
        <v>#N/A</v>
      </c>
      <c r="G673" s="7" t="s">
        <v>3707</v>
      </c>
      <c r="H673" s="6" t="s">
        <v>841</v>
      </c>
      <c r="I673" s="6" t="s">
        <v>3266</v>
      </c>
      <c r="J673" s="35" t="s">
        <v>532</v>
      </c>
      <c r="K673" s="37" t="s">
        <v>3645</v>
      </c>
      <c r="L673" s="65" t="s">
        <v>3797</v>
      </c>
    </row>
    <row r="674" spans="1:12" ht="15.5">
      <c r="A674" s="17">
        <v>673</v>
      </c>
      <c r="B674" s="6" t="s">
        <v>872</v>
      </c>
      <c r="C674" s="7">
        <v>2022484080</v>
      </c>
      <c r="D674" s="7">
        <v>2201010322</v>
      </c>
      <c r="E674" s="7" t="s">
        <v>1810</v>
      </c>
      <c r="F674" s="7" t="e">
        <f>VLOOKUP(C674,'Fast Track '!B:C,2,FALSE)</f>
        <v>#N/A</v>
      </c>
      <c r="G674" s="7" t="s">
        <v>3707</v>
      </c>
      <c r="H674" s="6" t="s">
        <v>873</v>
      </c>
      <c r="I674" s="6" t="s">
        <v>3268</v>
      </c>
      <c r="J674" s="35" t="s">
        <v>532</v>
      </c>
      <c r="K674" s="37" t="s">
        <v>3645</v>
      </c>
      <c r="L674" s="65" t="s">
        <v>3797</v>
      </c>
    </row>
    <row r="675" spans="1:12" ht="15.5">
      <c r="A675" s="17">
        <v>674</v>
      </c>
      <c r="B675" s="6" t="s">
        <v>1381</v>
      </c>
      <c r="C675" s="7">
        <v>2022006647</v>
      </c>
      <c r="D675" s="7">
        <v>2201010388</v>
      </c>
      <c r="E675" s="7" t="s">
        <v>1810</v>
      </c>
      <c r="F675" s="7" t="e">
        <f>VLOOKUP(C675,'Fast Track '!B:C,2,FALSE)</f>
        <v>#N/A</v>
      </c>
      <c r="G675" s="7" t="s">
        <v>3707</v>
      </c>
      <c r="H675" s="6" t="s">
        <v>1382</v>
      </c>
      <c r="I675" s="6" t="s">
        <v>3270</v>
      </c>
      <c r="J675" s="35" t="s">
        <v>532</v>
      </c>
      <c r="K675" s="37" t="s">
        <v>3645</v>
      </c>
      <c r="L675" s="65" t="s">
        <v>3797</v>
      </c>
    </row>
    <row r="676" spans="1:12" ht="15.5">
      <c r="A676" s="17">
        <v>675</v>
      </c>
      <c r="B676" s="6" t="s">
        <v>891</v>
      </c>
      <c r="C676" s="7">
        <v>2022811762</v>
      </c>
      <c r="D676" s="7">
        <v>2201010398</v>
      </c>
      <c r="E676" s="7" t="s">
        <v>1810</v>
      </c>
      <c r="F676" s="7" t="e">
        <f>VLOOKUP(C676,'Fast Track '!B:C,2,FALSE)</f>
        <v>#N/A</v>
      </c>
      <c r="G676" s="7" t="s">
        <v>3707</v>
      </c>
      <c r="H676" s="6" t="s">
        <v>892</v>
      </c>
      <c r="I676" s="6" t="s">
        <v>3272</v>
      </c>
      <c r="J676" s="35" t="s">
        <v>532</v>
      </c>
      <c r="K676" s="37" t="s">
        <v>3645</v>
      </c>
      <c r="L676" s="65" t="s">
        <v>3797</v>
      </c>
    </row>
    <row r="677" spans="1:12" ht="15.5">
      <c r="A677" s="17">
        <v>676</v>
      </c>
      <c r="B677" s="6" t="s">
        <v>834</v>
      </c>
      <c r="C677" s="7">
        <v>2022006421</v>
      </c>
      <c r="D677" s="7">
        <v>2201010450</v>
      </c>
      <c r="E677" s="7" t="s">
        <v>1810</v>
      </c>
      <c r="F677" s="7" t="e">
        <f>VLOOKUP(C677,'Fast Track '!B:C,2,FALSE)</f>
        <v>#N/A</v>
      </c>
      <c r="G677" s="7" t="s">
        <v>3707</v>
      </c>
      <c r="H677" s="6" t="s">
        <v>835</v>
      </c>
      <c r="I677" s="6" t="s">
        <v>3274</v>
      </c>
      <c r="J677" s="35" t="s">
        <v>532</v>
      </c>
      <c r="K677" s="37" t="s">
        <v>3645</v>
      </c>
      <c r="L677" s="65" t="s">
        <v>3797</v>
      </c>
    </row>
    <row r="678" spans="1:12" ht="15.5">
      <c r="A678" s="17">
        <v>677</v>
      </c>
      <c r="B678" s="6" t="s">
        <v>830</v>
      </c>
      <c r="C678" s="7">
        <v>2022005748</v>
      </c>
      <c r="D678" s="7">
        <v>2201010460</v>
      </c>
      <c r="E678" s="7" t="s">
        <v>1810</v>
      </c>
      <c r="F678" s="7" t="e">
        <f>VLOOKUP(C678,'Fast Track '!B:C,2,FALSE)</f>
        <v>#N/A</v>
      </c>
      <c r="G678" s="7" t="s">
        <v>3707</v>
      </c>
      <c r="H678" s="6" t="s">
        <v>831</v>
      </c>
      <c r="I678" s="6" t="s">
        <v>3276</v>
      </c>
      <c r="J678" s="35" t="s">
        <v>532</v>
      </c>
      <c r="K678" s="37" t="s">
        <v>3645</v>
      </c>
      <c r="L678" s="65" t="s">
        <v>3797</v>
      </c>
    </row>
    <row r="679" spans="1:12" ht="15.5">
      <c r="A679" s="17">
        <v>678</v>
      </c>
      <c r="B679" s="6" t="s">
        <v>882</v>
      </c>
      <c r="C679" s="7">
        <v>2022549867</v>
      </c>
      <c r="D679" s="7">
        <v>2201010478</v>
      </c>
      <c r="E679" s="7" t="s">
        <v>1810</v>
      </c>
      <c r="F679" s="7" t="e">
        <f>VLOOKUP(C679,'Fast Track '!B:C,2,FALSE)</f>
        <v>#N/A</v>
      </c>
      <c r="G679" s="7" t="s">
        <v>3707</v>
      </c>
      <c r="H679" s="6" t="s">
        <v>883</v>
      </c>
      <c r="I679" s="6" t="s">
        <v>3280</v>
      </c>
      <c r="J679" s="35" t="s">
        <v>532</v>
      </c>
      <c r="K679" s="37" t="s">
        <v>3645</v>
      </c>
      <c r="L679" s="65" t="s">
        <v>3797</v>
      </c>
    </row>
    <row r="680" spans="1:12" ht="15.5">
      <c r="A680" s="17">
        <v>679</v>
      </c>
      <c r="B680" s="6" t="s">
        <v>886</v>
      </c>
      <c r="C680" s="7">
        <v>2022561375</v>
      </c>
      <c r="D680" s="7">
        <v>2201010525</v>
      </c>
      <c r="E680" s="7" t="s">
        <v>1810</v>
      </c>
      <c r="F680" s="7" t="e">
        <f>VLOOKUP(C680,'Fast Track '!B:C,2,FALSE)</f>
        <v>#N/A</v>
      </c>
      <c r="G680" s="7" t="s">
        <v>3707</v>
      </c>
      <c r="H680" s="6" t="s">
        <v>887</v>
      </c>
      <c r="I680" s="6" t="s">
        <v>3284</v>
      </c>
      <c r="J680" s="35" t="s">
        <v>532</v>
      </c>
      <c r="K680" s="37" t="s">
        <v>3645</v>
      </c>
      <c r="L680" s="65" t="s">
        <v>3797</v>
      </c>
    </row>
    <row r="681" spans="1:12" ht="15.5">
      <c r="A681" s="17">
        <v>680</v>
      </c>
      <c r="B681" s="6" t="s">
        <v>852</v>
      </c>
      <c r="C681" s="7">
        <v>2022409593</v>
      </c>
      <c r="D681" s="7">
        <v>2201010527</v>
      </c>
      <c r="E681" s="7" t="s">
        <v>1810</v>
      </c>
      <c r="F681" s="7" t="e">
        <f>VLOOKUP(C681,'Fast Track '!B:C,2,FALSE)</f>
        <v>#N/A</v>
      </c>
      <c r="G681" s="7" t="s">
        <v>3707</v>
      </c>
      <c r="H681" s="6" t="s">
        <v>853</v>
      </c>
      <c r="I681" s="6" t="s">
        <v>3286</v>
      </c>
      <c r="J681" s="35" t="s">
        <v>532</v>
      </c>
      <c r="K681" s="37" t="s">
        <v>3645</v>
      </c>
      <c r="L681" s="65" t="s">
        <v>3797</v>
      </c>
    </row>
    <row r="682" spans="1:12" ht="15.5">
      <c r="A682" s="17">
        <v>681</v>
      </c>
      <c r="B682" s="6" t="s">
        <v>878</v>
      </c>
      <c r="C682" s="7">
        <v>2022512443</v>
      </c>
      <c r="D682" s="7">
        <v>2201010616</v>
      </c>
      <c r="E682" s="7" t="s">
        <v>1810</v>
      </c>
      <c r="F682" s="7" t="e">
        <f>VLOOKUP(C682,'Fast Track '!B:C,2,FALSE)</f>
        <v>#N/A</v>
      </c>
      <c r="G682" s="7" t="s">
        <v>3707</v>
      </c>
      <c r="H682" s="6" t="s">
        <v>879</v>
      </c>
      <c r="I682" s="6" t="s">
        <v>3290</v>
      </c>
      <c r="J682" s="35" t="s">
        <v>532</v>
      </c>
      <c r="K682" s="37" t="s">
        <v>3645</v>
      </c>
      <c r="L682" s="65" t="s">
        <v>3797</v>
      </c>
    </row>
    <row r="683" spans="1:12" ht="15.5">
      <c r="A683" s="17">
        <v>682</v>
      </c>
      <c r="B683" s="6" t="s">
        <v>816</v>
      </c>
      <c r="C683" s="7">
        <v>2022354910</v>
      </c>
      <c r="D683" s="7">
        <v>2201010644</v>
      </c>
      <c r="E683" s="7" t="s">
        <v>1810</v>
      </c>
      <c r="F683" s="7" t="e">
        <f>VLOOKUP(C683,'Fast Track '!B:C,2,FALSE)</f>
        <v>#N/A</v>
      </c>
      <c r="G683" s="7" t="s">
        <v>3707</v>
      </c>
      <c r="H683" s="6" t="s">
        <v>817</v>
      </c>
      <c r="I683" s="6" t="s">
        <v>3292</v>
      </c>
      <c r="J683" s="35" t="s">
        <v>532</v>
      </c>
      <c r="K683" s="37" t="s">
        <v>3644</v>
      </c>
      <c r="L683" s="65" t="s">
        <v>3797</v>
      </c>
    </row>
    <row r="684" spans="1:12" ht="15.5">
      <c r="A684" s="17">
        <v>683</v>
      </c>
      <c r="B684" s="6" t="s">
        <v>828</v>
      </c>
      <c r="C684" s="7">
        <v>2022005080</v>
      </c>
      <c r="D684" s="7">
        <v>2201010653</v>
      </c>
      <c r="E684" s="7" t="s">
        <v>1810</v>
      </c>
      <c r="F684" s="7" t="e">
        <f>VLOOKUP(C684,'Fast Track '!B:C,2,FALSE)</f>
        <v>#N/A</v>
      </c>
      <c r="G684" s="7" t="s">
        <v>3707</v>
      </c>
      <c r="H684" s="6" t="s">
        <v>829</v>
      </c>
      <c r="I684" s="6" t="s">
        <v>3294</v>
      </c>
      <c r="J684" s="35" t="s">
        <v>532</v>
      </c>
      <c r="K684" s="37" t="s">
        <v>3644</v>
      </c>
      <c r="L684" s="65" t="s">
        <v>3797</v>
      </c>
    </row>
    <row r="685" spans="1:12" ht="15.5">
      <c r="A685" s="17">
        <v>684</v>
      </c>
      <c r="B685" s="6" t="s">
        <v>848</v>
      </c>
      <c r="C685" s="7">
        <v>2022387850</v>
      </c>
      <c r="D685" s="7">
        <v>2201010658</v>
      </c>
      <c r="E685" s="7" t="s">
        <v>1810</v>
      </c>
      <c r="F685" s="7" t="e">
        <f>VLOOKUP(C685,'Fast Track '!B:C,2,FALSE)</f>
        <v>#N/A</v>
      </c>
      <c r="G685" s="7" t="s">
        <v>3707</v>
      </c>
      <c r="H685" s="6" t="s">
        <v>849</v>
      </c>
      <c r="I685" s="6" t="s">
        <v>3296</v>
      </c>
      <c r="J685" s="35" t="s">
        <v>532</v>
      </c>
      <c r="K685" s="37" t="s">
        <v>3644</v>
      </c>
      <c r="L685" s="65" t="s">
        <v>3797</v>
      </c>
    </row>
    <row r="686" spans="1:12" ht="15.5">
      <c r="A686" s="17">
        <v>685</v>
      </c>
      <c r="B686" s="6" t="s">
        <v>842</v>
      </c>
      <c r="C686" s="7">
        <v>2022309446</v>
      </c>
      <c r="D686" s="7">
        <v>2201010663</v>
      </c>
      <c r="E686" s="7" t="s">
        <v>1810</v>
      </c>
      <c r="F686" s="7" t="e">
        <f>VLOOKUP(C686,'Fast Track '!B:C,2,FALSE)</f>
        <v>#N/A</v>
      </c>
      <c r="G686" s="7" t="s">
        <v>3707</v>
      </c>
      <c r="H686" s="6" t="s">
        <v>843</v>
      </c>
      <c r="I686" s="6" t="s">
        <v>3298</v>
      </c>
      <c r="J686" s="35" t="s">
        <v>532</v>
      </c>
      <c r="K686" s="37" t="s">
        <v>3644</v>
      </c>
      <c r="L686" s="65" t="s">
        <v>3797</v>
      </c>
    </row>
    <row r="687" spans="1:12" ht="15.5">
      <c r="A687" s="17">
        <v>686</v>
      </c>
      <c r="B687" s="6" t="s">
        <v>874</v>
      </c>
      <c r="C687" s="7">
        <v>2022499440</v>
      </c>
      <c r="D687" s="7">
        <v>2201010666</v>
      </c>
      <c r="E687" s="7" t="s">
        <v>1810</v>
      </c>
      <c r="F687" s="7" t="e">
        <f>VLOOKUP(C687,'Fast Track '!B:C,2,FALSE)</f>
        <v>#N/A</v>
      </c>
      <c r="G687" s="7" t="s">
        <v>3707</v>
      </c>
      <c r="H687" s="6" t="s">
        <v>875</v>
      </c>
      <c r="I687" s="6" t="s">
        <v>3300</v>
      </c>
      <c r="J687" s="35" t="s">
        <v>532</v>
      </c>
      <c r="K687" s="37" t="s">
        <v>3644</v>
      </c>
      <c r="L687" s="65" t="s">
        <v>3797</v>
      </c>
    </row>
    <row r="688" spans="1:12" ht="15.5">
      <c r="A688" s="17">
        <v>687</v>
      </c>
      <c r="B688" s="6" t="s">
        <v>864</v>
      </c>
      <c r="C688" s="7">
        <v>2022466983</v>
      </c>
      <c r="D688" s="7">
        <v>2201010677</v>
      </c>
      <c r="E688" s="7" t="s">
        <v>1810</v>
      </c>
      <c r="F688" s="7" t="e">
        <f>VLOOKUP(C688,'Fast Track '!B:C,2,FALSE)</f>
        <v>#N/A</v>
      </c>
      <c r="G688" s="7" t="s">
        <v>3707</v>
      </c>
      <c r="H688" s="6" t="s">
        <v>865</v>
      </c>
      <c r="I688" s="6" t="s">
        <v>3302</v>
      </c>
      <c r="J688" s="35" t="s">
        <v>532</v>
      </c>
      <c r="K688" s="37" t="s">
        <v>3644</v>
      </c>
      <c r="L688" s="65" t="s">
        <v>3797</v>
      </c>
    </row>
    <row r="689" spans="1:12" ht="15.5">
      <c r="A689" s="17">
        <v>688</v>
      </c>
      <c r="B689" s="6" t="s">
        <v>893</v>
      </c>
      <c r="C689" s="7">
        <v>2022816972</v>
      </c>
      <c r="D689" s="7">
        <v>2201010707</v>
      </c>
      <c r="E689" s="7" t="s">
        <v>1810</v>
      </c>
      <c r="F689" s="7" t="e">
        <f>VLOOKUP(C689,'Fast Track '!B:C,2,FALSE)</f>
        <v>#N/A</v>
      </c>
      <c r="G689" s="7" t="s">
        <v>3707</v>
      </c>
      <c r="H689" s="6" t="s">
        <v>894</v>
      </c>
      <c r="I689" s="6" t="s">
        <v>3306</v>
      </c>
      <c r="J689" s="35" t="s">
        <v>532</v>
      </c>
      <c r="K689" s="37" t="s">
        <v>3644</v>
      </c>
      <c r="L689" s="65" t="s">
        <v>3797</v>
      </c>
    </row>
    <row r="690" spans="1:12" ht="15.5">
      <c r="A690" s="17">
        <v>689</v>
      </c>
      <c r="B690" s="6" t="s">
        <v>866</v>
      </c>
      <c r="C690" s="7">
        <v>2022471296</v>
      </c>
      <c r="D690" s="7">
        <v>2201010717</v>
      </c>
      <c r="E690" s="7" t="s">
        <v>1810</v>
      </c>
      <c r="F690" s="7" t="e">
        <f>VLOOKUP(C690,'Fast Track '!B:C,2,FALSE)</f>
        <v>#N/A</v>
      </c>
      <c r="G690" s="7" t="s">
        <v>3707</v>
      </c>
      <c r="H690" s="6" t="s">
        <v>867</v>
      </c>
      <c r="I690" s="6" t="s">
        <v>3308</v>
      </c>
      <c r="J690" s="35" t="s">
        <v>532</v>
      </c>
      <c r="K690" s="37" t="s">
        <v>3644</v>
      </c>
      <c r="L690" s="65" t="s">
        <v>3797</v>
      </c>
    </row>
    <row r="691" spans="1:12" ht="15.5">
      <c r="A691" s="17">
        <v>690</v>
      </c>
      <c r="B691" s="6" t="s">
        <v>870</v>
      </c>
      <c r="C691" s="7">
        <v>2022482202</v>
      </c>
      <c r="D691" s="7">
        <v>2201010805</v>
      </c>
      <c r="E691" s="7" t="s">
        <v>1810</v>
      </c>
      <c r="F691" s="7" t="e">
        <f>VLOOKUP(C691,'Fast Track '!B:C,2,FALSE)</f>
        <v>#N/A</v>
      </c>
      <c r="G691" s="7" t="s">
        <v>3707</v>
      </c>
      <c r="H691" s="6" t="s">
        <v>871</v>
      </c>
      <c r="I691" s="6" t="s">
        <v>3310</v>
      </c>
      <c r="J691" s="35" t="s">
        <v>532</v>
      </c>
      <c r="K691" s="37" t="s">
        <v>3644</v>
      </c>
      <c r="L691" s="65" t="s">
        <v>3797</v>
      </c>
    </row>
    <row r="692" spans="1:12" ht="15.5">
      <c r="A692" s="17">
        <v>691</v>
      </c>
      <c r="B692" s="6" t="s">
        <v>838</v>
      </c>
      <c r="C692" s="7">
        <v>2022007193</v>
      </c>
      <c r="D692" s="7">
        <v>2201010923</v>
      </c>
      <c r="E692" s="7" t="s">
        <v>1810</v>
      </c>
      <c r="F692" s="7" t="e">
        <f>VLOOKUP(C692,'Fast Track '!B:C,2,FALSE)</f>
        <v>#N/A</v>
      </c>
      <c r="G692" s="7" t="s">
        <v>3707</v>
      </c>
      <c r="H692" s="6" t="s">
        <v>839</v>
      </c>
      <c r="I692" s="6" t="s">
        <v>3314</v>
      </c>
      <c r="J692" s="35" t="s">
        <v>532</v>
      </c>
      <c r="K692" s="37" t="s">
        <v>3644</v>
      </c>
      <c r="L692" s="65" t="s">
        <v>3797</v>
      </c>
    </row>
    <row r="693" spans="1:12" ht="15.5">
      <c r="A693" s="17">
        <v>692</v>
      </c>
      <c r="B693" s="6" t="s">
        <v>377</v>
      </c>
      <c r="C693" s="7">
        <v>2022618129</v>
      </c>
      <c r="D693" s="7">
        <v>2201010938</v>
      </c>
      <c r="E693" s="7" t="s">
        <v>1810</v>
      </c>
      <c r="F693" s="7" t="e">
        <f>VLOOKUP(C693,'Fast Track '!B:C,2,FALSE)</f>
        <v>#N/A</v>
      </c>
      <c r="G693" s="7" t="s">
        <v>3707</v>
      </c>
      <c r="H693" s="6" t="s">
        <v>888</v>
      </c>
      <c r="I693" s="6" t="s">
        <v>3316</v>
      </c>
      <c r="J693" s="35" t="s">
        <v>532</v>
      </c>
      <c r="K693" s="37" t="s">
        <v>3644</v>
      </c>
      <c r="L693" s="65" t="s">
        <v>3797</v>
      </c>
    </row>
    <row r="694" spans="1:12" ht="15.5">
      <c r="A694" s="17">
        <v>693</v>
      </c>
      <c r="B694" s="6" t="s">
        <v>889</v>
      </c>
      <c r="C694" s="7">
        <v>2022623875</v>
      </c>
      <c r="D694" s="7">
        <v>2201010940</v>
      </c>
      <c r="E694" s="7" t="s">
        <v>1810</v>
      </c>
      <c r="F694" s="7" t="e">
        <f>VLOOKUP(C694,'Fast Track '!B:C,2,FALSE)</f>
        <v>#N/A</v>
      </c>
      <c r="G694" s="7" t="s">
        <v>3707</v>
      </c>
      <c r="H694" s="6" t="s">
        <v>890</v>
      </c>
      <c r="I694" s="6" t="s">
        <v>3318</v>
      </c>
      <c r="J694" s="35" t="s">
        <v>532</v>
      </c>
      <c r="K694" s="37" t="s">
        <v>3644</v>
      </c>
      <c r="L694" s="65" t="s">
        <v>3797</v>
      </c>
    </row>
    <row r="695" spans="1:12" ht="15.5">
      <c r="A695" s="17">
        <v>694</v>
      </c>
      <c r="B695" s="6" t="s">
        <v>1389</v>
      </c>
      <c r="C695" s="7">
        <v>2023253225</v>
      </c>
      <c r="D695" s="7">
        <v>2301017016</v>
      </c>
      <c r="E695" s="7" t="s">
        <v>1810</v>
      </c>
      <c r="F695" s="7" t="e">
        <f>VLOOKUP(C695,'Fast Track '!B:C,2,FALSE)</f>
        <v>#N/A</v>
      </c>
      <c r="G695" s="7" t="s">
        <v>3707</v>
      </c>
      <c r="H695" s="6" t="s">
        <v>1390</v>
      </c>
      <c r="I695" s="6" t="s">
        <v>3320</v>
      </c>
      <c r="J695" s="35" t="s">
        <v>532</v>
      </c>
      <c r="K695" s="37" t="s">
        <v>3644</v>
      </c>
      <c r="L695" s="65" t="s">
        <v>3797</v>
      </c>
    </row>
    <row r="696" spans="1:12" ht="15.5">
      <c r="A696" s="17">
        <v>695</v>
      </c>
      <c r="B696" s="6" t="s">
        <v>1554</v>
      </c>
      <c r="C696" s="7">
        <v>2022463885</v>
      </c>
      <c r="D696" s="7">
        <v>2201010725</v>
      </c>
      <c r="E696" s="7" t="s">
        <v>1810</v>
      </c>
      <c r="F696" s="7" t="e">
        <f>VLOOKUP(C696,'Fast Track '!B:C,2,FALSE)</f>
        <v>#N/A</v>
      </c>
      <c r="G696" s="7" t="s">
        <v>3707</v>
      </c>
      <c r="H696" s="6" t="s">
        <v>1555</v>
      </c>
      <c r="I696" s="6" t="s">
        <v>3412</v>
      </c>
      <c r="J696" s="35" t="s">
        <v>532</v>
      </c>
      <c r="K696" s="37" t="s">
        <v>3644</v>
      </c>
      <c r="L696" s="65" t="s">
        <v>3797</v>
      </c>
    </row>
    <row r="697" spans="1:12" ht="15.5">
      <c r="A697" s="17">
        <v>696</v>
      </c>
      <c r="B697" s="6" t="s">
        <v>1552</v>
      </c>
      <c r="C697" s="7">
        <v>2022401760</v>
      </c>
      <c r="D697" s="7">
        <v>2201010746</v>
      </c>
      <c r="E697" s="7" t="s">
        <v>1810</v>
      </c>
      <c r="F697" s="7" t="e">
        <f>VLOOKUP(C697,'Fast Track '!B:C,2,FALSE)</f>
        <v>#N/A</v>
      </c>
      <c r="G697" s="7" t="s">
        <v>3707</v>
      </c>
      <c r="H697" s="6" t="s">
        <v>1553</v>
      </c>
      <c r="I697" s="6" t="s">
        <v>3414</v>
      </c>
      <c r="J697" s="35" t="s">
        <v>532</v>
      </c>
      <c r="K697" s="37" t="s">
        <v>3644</v>
      </c>
      <c r="L697" s="65" t="s">
        <v>3797</v>
      </c>
    </row>
    <row r="698" spans="1:12" ht="15.5">
      <c r="A698" s="17">
        <v>697</v>
      </c>
      <c r="B698" s="6" t="s">
        <v>1576</v>
      </c>
      <c r="C698" s="7">
        <v>2022519978</v>
      </c>
      <c r="D698" s="7">
        <v>2201010793</v>
      </c>
      <c r="E698" s="7" t="s">
        <v>1810</v>
      </c>
      <c r="F698" s="7" t="e">
        <f>VLOOKUP(C698,'Fast Track '!B:C,2,FALSE)</f>
        <v>#N/A</v>
      </c>
      <c r="G698" s="7" t="s">
        <v>3707</v>
      </c>
      <c r="H698" s="6" t="s">
        <v>1577</v>
      </c>
      <c r="I698" s="6" t="s">
        <v>3418</v>
      </c>
      <c r="J698" s="35" t="s">
        <v>532</v>
      </c>
      <c r="K698" s="37" t="s">
        <v>3644</v>
      </c>
      <c r="L698" s="65" t="s">
        <v>3797</v>
      </c>
    </row>
    <row r="699" spans="1:12" ht="15.5">
      <c r="A699" s="17">
        <v>698</v>
      </c>
      <c r="B699" s="6" t="s">
        <v>1564</v>
      </c>
      <c r="C699" s="7">
        <v>2022506228</v>
      </c>
      <c r="D699" s="7">
        <v>2201010930</v>
      </c>
      <c r="E699" s="7" t="s">
        <v>1810</v>
      </c>
      <c r="F699" s="7" t="e">
        <f>VLOOKUP(C699,'Fast Track '!B:C,2,FALSE)</f>
        <v>#N/A</v>
      </c>
      <c r="G699" s="7" t="s">
        <v>3707</v>
      </c>
      <c r="H699" s="6" t="s">
        <v>1565</v>
      </c>
      <c r="I699" s="6" t="s">
        <v>3420</v>
      </c>
      <c r="J699" s="35" t="s">
        <v>532</v>
      </c>
      <c r="K699" s="37" t="s">
        <v>3644</v>
      </c>
      <c r="L699" s="65" t="s">
        <v>3797</v>
      </c>
    </row>
    <row r="700" spans="1:12" ht="15.5">
      <c r="A700" s="17">
        <v>699</v>
      </c>
      <c r="B700" s="6" t="s">
        <v>1205</v>
      </c>
      <c r="C700" s="7">
        <v>2022486764</v>
      </c>
      <c r="D700" s="7">
        <v>2201010004</v>
      </c>
      <c r="E700" s="7" t="s">
        <v>1810</v>
      </c>
      <c r="F700" s="7" t="e">
        <f>VLOOKUP(C700,'Fast Track '!B:C,2,FALSE)</f>
        <v>#N/A</v>
      </c>
      <c r="G700" s="7" t="s">
        <v>3707</v>
      </c>
      <c r="H700" s="6" t="s">
        <v>1206</v>
      </c>
      <c r="I700" s="6" t="s">
        <v>2848</v>
      </c>
      <c r="J700" s="35" t="s">
        <v>532</v>
      </c>
      <c r="K700" s="37" t="s">
        <v>3644</v>
      </c>
      <c r="L700" s="65" t="s">
        <v>3797</v>
      </c>
    </row>
    <row r="701" spans="1:12" ht="15.5">
      <c r="A701" s="17">
        <v>700</v>
      </c>
      <c r="B701" s="6" t="s">
        <v>1245</v>
      </c>
      <c r="C701" s="7">
        <v>2022380686</v>
      </c>
      <c r="D701" s="7">
        <v>2201010011</v>
      </c>
      <c r="E701" s="7" t="s">
        <v>1810</v>
      </c>
      <c r="F701" s="7" t="e">
        <f>VLOOKUP(C701,'Fast Track '!B:C,2,FALSE)</f>
        <v>#N/A</v>
      </c>
      <c r="G701" s="7" t="s">
        <v>3707</v>
      </c>
      <c r="H701" s="6" t="s">
        <v>1246</v>
      </c>
      <c r="I701" s="6" t="s">
        <v>2850</v>
      </c>
      <c r="J701" s="35" t="s">
        <v>532</v>
      </c>
      <c r="K701" s="37" t="s">
        <v>3644</v>
      </c>
      <c r="L701" s="65" t="s">
        <v>3797</v>
      </c>
    </row>
    <row r="702" spans="1:12" ht="15.5">
      <c r="A702" s="17">
        <v>701</v>
      </c>
      <c r="B702" s="6" t="s">
        <v>1221</v>
      </c>
      <c r="C702" s="7">
        <v>2022516040</v>
      </c>
      <c r="D702" s="7">
        <v>2201010020</v>
      </c>
      <c r="E702" s="7" t="s">
        <v>1810</v>
      </c>
      <c r="F702" s="7" t="e">
        <f>VLOOKUP(C702,'Fast Track '!B:C,2,FALSE)</f>
        <v>#N/A</v>
      </c>
      <c r="G702" s="7" t="s">
        <v>3707</v>
      </c>
      <c r="H702" s="6" t="s">
        <v>1222</v>
      </c>
      <c r="I702" s="6" t="s">
        <v>2852</v>
      </c>
      <c r="J702" s="35" t="s">
        <v>532</v>
      </c>
      <c r="K702" s="37" t="s">
        <v>3644</v>
      </c>
      <c r="L702" s="65" t="s">
        <v>3797</v>
      </c>
    </row>
    <row r="703" spans="1:12" ht="15.5">
      <c r="A703" s="17">
        <v>702</v>
      </c>
      <c r="B703" s="6" t="s">
        <v>1167</v>
      </c>
      <c r="C703" s="7">
        <v>2022354445</v>
      </c>
      <c r="D703" s="7">
        <v>2201010021</v>
      </c>
      <c r="E703" s="7" t="s">
        <v>1810</v>
      </c>
      <c r="F703" s="7" t="e">
        <f>VLOOKUP(C703,'Fast Track '!B:C,2,FALSE)</f>
        <v>#N/A</v>
      </c>
      <c r="G703" s="7" t="s">
        <v>3707</v>
      </c>
      <c r="H703" s="6" t="s">
        <v>1168</v>
      </c>
      <c r="I703" s="6" t="s">
        <v>2854</v>
      </c>
      <c r="J703" s="35" t="s">
        <v>532</v>
      </c>
      <c r="K703" s="37" t="s">
        <v>3644</v>
      </c>
      <c r="L703" s="65" t="s">
        <v>3797</v>
      </c>
    </row>
    <row r="704" spans="1:12" ht="15.5">
      <c r="A704" s="17">
        <v>703</v>
      </c>
      <c r="B704" s="6" t="s">
        <v>1197</v>
      </c>
      <c r="C704" s="7">
        <v>2022460612</v>
      </c>
      <c r="D704" s="7">
        <v>2201010026</v>
      </c>
      <c r="E704" s="7" t="s">
        <v>1810</v>
      </c>
      <c r="F704" s="7" t="e">
        <f>VLOOKUP(C704,'Fast Track '!B:C,2,FALSE)</f>
        <v>#N/A</v>
      </c>
      <c r="G704" s="7" t="s">
        <v>3707</v>
      </c>
      <c r="H704" s="6" t="s">
        <v>1198</v>
      </c>
      <c r="I704" s="6" t="s">
        <v>2856</v>
      </c>
      <c r="J704" s="35" t="s">
        <v>532</v>
      </c>
      <c r="K704" s="37" t="s">
        <v>3644</v>
      </c>
      <c r="L704" s="65" t="s">
        <v>3797</v>
      </c>
    </row>
    <row r="705" spans="1:12" ht="15.5">
      <c r="A705" s="17">
        <v>704</v>
      </c>
      <c r="B705" s="6" t="s">
        <v>911</v>
      </c>
      <c r="C705" s="7">
        <v>2022001992</v>
      </c>
      <c r="D705" s="7">
        <v>2201010371</v>
      </c>
      <c r="E705" s="7" t="s">
        <v>1810</v>
      </c>
      <c r="F705" s="7" t="e">
        <f>VLOOKUP(C705,'Fast Track '!B:C,2,FALSE)</f>
        <v>#N/A</v>
      </c>
      <c r="G705" s="7" t="s">
        <v>3707</v>
      </c>
      <c r="H705" s="6" t="s">
        <v>1129</v>
      </c>
      <c r="I705" s="6" t="s">
        <v>2908</v>
      </c>
      <c r="J705" s="35" t="s">
        <v>532</v>
      </c>
      <c r="K705" s="37" t="s">
        <v>3644</v>
      </c>
      <c r="L705" s="65" t="s">
        <v>3797</v>
      </c>
    </row>
    <row r="706" spans="1:12" ht="15.5">
      <c r="A706" s="17">
        <v>705</v>
      </c>
      <c r="B706" s="6" t="s">
        <v>1249</v>
      </c>
      <c r="C706" s="7">
        <v>2022508637</v>
      </c>
      <c r="D706" s="7">
        <v>2201010060</v>
      </c>
      <c r="E706" s="7" t="s">
        <v>1810</v>
      </c>
      <c r="F706" s="7" t="e">
        <f>VLOOKUP(C706,'Fast Track '!B:C,2,FALSE)</f>
        <v>#N/A</v>
      </c>
      <c r="G706" s="7" t="s">
        <v>3707</v>
      </c>
      <c r="H706" s="6" t="s">
        <v>1250</v>
      </c>
      <c r="I706" s="6" t="s">
        <v>2862</v>
      </c>
      <c r="J706" s="35" t="s">
        <v>532</v>
      </c>
      <c r="K706" s="37" t="s">
        <v>3644</v>
      </c>
      <c r="L706" s="65" t="s">
        <v>3797</v>
      </c>
    </row>
    <row r="707" spans="1:12" ht="15.5">
      <c r="A707" s="17">
        <v>706</v>
      </c>
      <c r="B707" s="6" t="s">
        <v>1162</v>
      </c>
      <c r="C707" s="7">
        <v>2022338152</v>
      </c>
      <c r="D707" s="7">
        <v>2201010773</v>
      </c>
      <c r="E707" s="7" t="s">
        <v>1810</v>
      </c>
      <c r="F707" s="7" t="e">
        <f>VLOOKUP(C707,'Fast Track '!B:C,2,FALSE)</f>
        <v>#N/A</v>
      </c>
      <c r="G707" s="7" t="s">
        <v>3707</v>
      </c>
      <c r="H707" s="6" t="s">
        <v>1163</v>
      </c>
      <c r="I707" s="6" t="s">
        <v>2950</v>
      </c>
      <c r="J707" s="35" t="s">
        <v>532</v>
      </c>
      <c r="K707" s="37" t="s">
        <v>3644</v>
      </c>
      <c r="L707" s="65" t="s">
        <v>3797</v>
      </c>
    </row>
    <row r="708" spans="1:12" ht="15.5">
      <c r="A708" s="17">
        <v>707</v>
      </c>
      <c r="B708" s="6" t="s">
        <v>1586</v>
      </c>
      <c r="C708" s="7">
        <v>2021424420</v>
      </c>
      <c r="D708" s="7">
        <v>210101151</v>
      </c>
      <c r="E708" s="7" t="s">
        <v>1810</v>
      </c>
      <c r="F708" s="7" t="e">
        <f>VLOOKUP(C708,'Fast Track '!B:C,2,FALSE)</f>
        <v>#N/A</v>
      </c>
      <c r="G708" s="7" t="s">
        <v>3707</v>
      </c>
      <c r="H708" s="6" t="s">
        <v>1587</v>
      </c>
      <c r="I708" s="6" t="s">
        <v>3196</v>
      </c>
      <c r="J708" s="6" t="s">
        <v>1276</v>
      </c>
      <c r="K708" s="37" t="s">
        <v>3645</v>
      </c>
      <c r="L708" s="65" t="s">
        <v>3797</v>
      </c>
    </row>
    <row r="709" spans="1:12" ht="15.5">
      <c r="A709" s="17">
        <v>708</v>
      </c>
      <c r="B709" s="6" t="s">
        <v>1694</v>
      </c>
      <c r="C709" s="7">
        <v>2021373851</v>
      </c>
      <c r="D709" s="7">
        <v>210101339</v>
      </c>
      <c r="E709" s="7" t="s">
        <v>1810</v>
      </c>
      <c r="F709" s="7" t="e">
        <f>VLOOKUP(C709,'Fast Track '!B:C,2,FALSE)</f>
        <v>#N/A</v>
      </c>
      <c r="G709" s="7" t="s">
        <v>3707</v>
      </c>
      <c r="H709" s="6" t="s">
        <v>1695</v>
      </c>
      <c r="I709" s="6" t="s">
        <v>3198</v>
      </c>
      <c r="J709" s="6" t="s">
        <v>1276</v>
      </c>
      <c r="K709" s="37" t="s">
        <v>3645</v>
      </c>
      <c r="L709" s="65" t="s">
        <v>3797</v>
      </c>
    </row>
    <row r="710" spans="1:12" ht="15.5">
      <c r="A710" s="17">
        <v>709</v>
      </c>
      <c r="B710" s="6" t="s">
        <v>1744</v>
      </c>
      <c r="C710" s="7">
        <v>2022404832</v>
      </c>
      <c r="D710" s="7">
        <v>2201010494</v>
      </c>
      <c r="E710" s="7" t="s">
        <v>1810</v>
      </c>
      <c r="F710" s="7" t="e">
        <f>VLOOKUP(C710,'Fast Track '!B:C,2,FALSE)</f>
        <v>#N/A</v>
      </c>
      <c r="G710" s="7" t="s">
        <v>3707</v>
      </c>
      <c r="H710" s="6" t="s">
        <v>1745</v>
      </c>
      <c r="I710" s="6" t="s">
        <v>3202</v>
      </c>
      <c r="J710" s="6" t="s">
        <v>1276</v>
      </c>
      <c r="K710" s="37" t="s">
        <v>3645</v>
      </c>
      <c r="L710" s="65" t="s">
        <v>3797</v>
      </c>
    </row>
    <row r="711" spans="1:12" ht="15.5">
      <c r="A711" s="17">
        <v>710</v>
      </c>
      <c r="B711" s="6" t="s">
        <v>1734</v>
      </c>
      <c r="C711" s="7">
        <v>2022312671</v>
      </c>
      <c r="D711" s="7">
        <v>2201010549</v>
      </c>
      <c r="E711" s="7" t="s">
        <v>1810</v>
      </c>
      <c r="F711" s="7" t="e">
        <f>VLOOKUP(C711,'Fast Track '!B:C,2,FALSE)</f>
        <v>#N/A</v>
      </c>
      <c r="G711" s="7" t="s">
        <v>3707</v>
      </c>
      <c r="H711" s="6" t="s">
        <v>1735</v>
      </c>
      <c r="I711" s="6" t="s">
        <v>3204</v>
      </c>
      <c r="J711" s="6" t="s">
        <v>1276</v>
      </c>
      <c r="K711" s="37" t="s">
        <v>3645</v>
      </c>
      <c r="L711" s="65" t="s">
        <v>3797</v>
      </c>
    </row>
    <row r="712" spans="1:12" ht="15.5">
      <c r="A712" s="17">
        <v>711</v>
      </c>
      <c r="B712" s="6" t="s">
        <v>1689</v>
      </c>
      <c r="C712" s="7">
        <v>2022003992</v>
      </c>
      <c r="D712" s="7">
        <v>2201010712</v>
      </c>
      <c r="E712" s="7" t="s">
        <v>1810</v>
      </c>
      <c r="F712" s="7" t="e">
        <f>VLOOKUP(C712,'Fast Track '!B:C,2,FALSE)</f>
        <v>#N/A</v>
      </c>
      <c r="G712" s="7" t="s">
        <v>3707</v>
      </c>
      <c r="H712" s="6" t="s">
        <v>1690</v>
      </c>
      <c r="I712" s="6" t="s">
        <v>3206</v>
      </c>
      <c r="J712" s="6" t="s">
        <v>1276</v>
      </c>
      <c r="K712" s="37" t="s">
        <v>3645</v>
      </c>
      <c r="L712" s="65" t="s">
        <v>3797</v>
      </c>
    </row>
    <row r="713" spans="1:12" ht="15.5">
      <c r="A713" s="17">
        <v>712</v>
      </c>
      <c r="B713" s="6" t="s">
        <v>1749</v>
      </c>
      <c r="C713" s="7">
        <v>2022432344</v>
      </c>
      <c r="D713" s="7">
        <v>2201010946</v>
      </c>
      <c r="E713" s="7" t="s">
        <v>1810</v>
      </c>
      <c r="F713" s="7" t="e">
        <f>VLOOKUP(C713,'Fast Track '!B:C,2,FALSE)</f>
        <v>#N/A</v>
      </c>
      <c r="G713" s="7" t="s">
        <v>3707</v>
      </c>
      <c r="H713" s="6" t="s">
        <v>1750</v>
      </c>
      <c r="I713" s="6" t="s">
        <v>3208</v>
      </c>
      <c r="J713" s="6" t="s">
        <v>1276</v>
      </c>
      <c r="K713" s="37" t="s">
        <v>3645</v>
      </c>
      <c r="L713" s="65" t="s">
        <v>3797</v>
      </c>
    </row>
    <row r="714" spans="1:12" ht="15.5">
      <c r="A714" s="17">
        <v>713</v>
      </c>
      <c r="B714" s="6" t="s">
        <v>1466</v>
      </c>
      <c r="C714" s="7">
        <v>2022460800</v>
      </c>
      <c r="D714" s="7">
        <v>2201010164</v>
      </c>
      <c r="E714" s="7" t="s">
        <v>1810</v>
      </c>
      <c r="F714" s="7" t="e">
        <f>VLOOKUP(C714,'Fast Track '!B:C,2,FALSE)</f>
        <v>#N/A</v>
      </c>
      <c r="G714" s="7" t="s">
        <v>3707</v>
      </c>
      <c r="H714" s="6" t="s">
        <v>1467</v>
      </c>
      <c r="I714" s="6" t="s">
        <v>3322</v>
      </c>
      <c r="J714" s="6" t="s">
        <v>1276</v>
      </c>
      <c r="K714" s="37" t="s">
        <v>3645</v>
      </c>
      <c r="L714" s="65" t="s">
        <v>3797</v>
      </c>
    </row>
    <row r="715" spans="1:12" ht="15.5">
      <c r="A715" s="17">
        <v>714</v>
      </c>
      <c r="B715" s="6" t="s">
        <v>1447</v>
      </c>
      <c r="C715" s="7">
        <v>2022320806</v>
      </c>
      <c r="D715" s="7">
        <v>2201010303</v>
      </c>
      <c r="E715" s="7" t="s">
        <v>1810</v>
      </c>
      <c r="F715" s="7" t="e">
        <f>VLOOKUP(C715,'Fast Track '!B:C,2,FALSE)</f>
        <v>#N/A</v>
      </c>
      <c r="G715" s="7" t="s">
        <v>3707</v>
      </c>
      <c r="H715" s="6" t="s">
        <v>1448</v>
      </c>
      <c r="I715" s="6" t="s">
        <v>3324</v>
      </c>
      <c r="J715" s="6" t="s">
        <v>1276</v>
      </c>
      <c r="K715" s="37" t="s">
        <v>3645</v>
      </c>
      <c r="L715" s="65" t="s">
        <v>3797</v>
      </c>
    </row>
    <row r="716" spans="1:12" ht="15.5">
      <c r="A716" s="17">
        <v>715</v>
      </c>
      <c r="B716" s="6" t="s">
        <v>1462</v>
      </c>
      <c r="C716" s="7">
        <v>2022405621</v>
      </c>
      <c r="D716" s="7">
        <v>2201010396</v>
      </c>
      <c r="E716" s="7" t="s">
        <v>1810</v>
      </c>
      <c r="F716" s="7" t="e">
        <f>VLOOKUP(C716,'Fast Track '!B:C,2,FALSE)</f>
        <v>#N/A</v>
      </c>
      <c r="G716" s="7" t="s">
        <v>3707</v>
      </c>
      <c r="H716" s="6" t="s">
        <v>1463</v>
      </c>
      <c r="I716" s="6" t="s">
        <v>3326</v>
      </c>
      <c r="J716" s="6" t="s">
        <v>1276</v>
      </c>
      <c r="K716" s="37" t="s">
        <v>3645</v>
      </c>
      <c r="L716" s="65" t="s">
        <v>3797</v>
      </c>
    </row>
    <row r="717" spans="1:12" ht="15.5">
      <c r="A717" s="17">
        <v>716</v>
      </c>
      <c r="B717" s="6" t="s">
        <v>1458</v>
      </c>
      <c r="C717" s="7">
        <v>2022396862</v>
      </c>
      <c r="D717" s="7">
        <v>2201010626</v>
      </c>
      <c r="E717" s="7" t="s">
        <v>1810</v>
      </c>
      <c r="F717" s="7" t="e">
        <f>VLOOKUP(C717,'Fast Track '!B:C,2,FALSE)</f>
        <v>#N/A</v>
      </c>
      <c r="G717" s="7" t="s">
        <v>3707</v>
      </c>
      <c r="H717" s="6" t="s">
        <v>1459</v>
      </c>
      <c r="I717" s="6" t="s">
        <v>3328</v>
      </c>
      <c r="J717" s="6" t="s">
        <v>1276</v>
      </c>
      <c r="K717" s="37" t="s">
        <v>3645</v>
      </c>
      <c r="L717" s="65" t="s">
        <v>3797</v>
      </c>
    </row>
    <row r="718" spans="1:12" ht="15.5">
      <c r="A718" s="17">
        <v>717</v>
      </c>
      <c r="B718" s="6" t="s">
        <v>1470</v>
      </c>
      <c r="C718" s="7">
        <v>2022487134</v>
      </c>
      <c r="D718" s="7">
        <v>2201010638</v>
      </c>
      <c r="E718" s="7" t="s">
        <v>1810</v>
      </c>
      <c r="F718" s="7" t="e">
        <f>VLOOKUP(C718,'Fast Track '!B:C,2,FALSE)</f>
        <v>#N/A</v>
      </c>
      <c r="G718" s="7" t="s">
        <v>3707</v>
      </c>
      <c r="H718" s="6" t="s">
        <v>1471</v>
      </c>
      <c r="I718" s="6" t="s">
        <v>3330</v>
      </c>
      <c r="J718" s="6" t="s">
        <v>1276</v>
      </c>
      <c r="K718" s="37" t="s">
        <v>3645</v>
      </c>
      <c r="L718" s="65" t="s">
        <v>3797</v>
      </c>
    </row>
    <row r="719" spans="1:12" ht="15.5">
      <c r="A719" s="17">
        <v>718</v>
      </c>
      <c r="B719" s="6" t="s">
        <v>1476</v>
      </c>
      <c r="C719" s="7">
        <v>2022542651</v>
      </c>
      <c r="D719" s="7">
        <v>2201010947</v>
      </c>
      <c r="E719" s="7" t="s">
        <v>1810</v>
      </c>
      <c r="F719" s="7" t="e">
        <f>VLOOKUP(C719,'Fast Track '!B:C,2,FALSE)</f>
        <v>#N/A</v>
      </c>
      <c r="G719" s="7" t="s">
        <v>3707</v>
      </c>
      <c r="H719" s="6" t="s">
        <v>1477</v>
      </c>
      <c r="I719" s="6" t="s">
        <v>3332</v>
      </c>
      <c r="J719" s="6" t="s">
        <v>1276</v>
      </c>
      <c r="K719" s="37" t="s">
        <v>3645</v>
      </c>
      <c r="L719" s="65" t="s">
        <v>3797</v>
      </c>
    </row>
    <row r="720" spans="1:12" ht="15.5">
      <c r="A720" s="17">
        <v>719</v>
      </c>
      <c r="B720" s="6" t="s">
        <v>705</v>
      </c>
      <c r="C720" s="7">
        <v>2022387999</v>
      </c>
      <c r="D720" s="7">
        <v>2201010046</v>
      </c>
      <c r="E720" s="7" t="s">
        <v>1810</v>
      </c>
      <c r="F720" s="7" t="e">
        <f>VLOOKUP(C720,'Fast Track '!B:C,2,FALSE)</f>
        <v>#N/A</v>
      </c>
      <c r="G720" s="7" t="s">
        <v>3707</v>
      </c>
      <c r="H720" s="6" t="s">
        <v>1549</v>
      </c>
      <c r="I720" s="6" t="s">
        <v>3422</v>
      </c>
      <c r="J720" s="6" t="s">
        <v>1276</v>
      </c>
      <c r="K720" s="37" t="s">
        <v>3645</v>
      </c>
      <c r="L720" s="65" t="s">
        <v>3797</v>
      </c>
    </row>
    <row r="721" spans="1:12" ht="15.5">
      <c r="A721" s="17">
        <v>720</v>
      </c>
      <c r="B721" s="6" t="s">
        <v>1578</v>
      </c>
      <c r="C721" s="7">
        <v>2022522914</v>
      </c>
      <c r="D721" s="7">
        <v>2201010776</v>
      </c>
      <c r="E721" s="7" t="s">
        <v>1810</v>
      </c>
      <c r="F721" s="7" t="e">
        <f>VLOOKUP(C721,'Fast Track '!B:C,2,FALSE)</f>
        <v>#N/A</v>
      </c>
      <c r="G721" s="7" t="s">
        <v>3707</v>
      </c>
      <c r="H721" s="6" t="s">
        <v>1579</v>
      </c>
      <c r="I721" s="6" t="s">
        <v>3424</v>
      </c>
      <c r="J721" s="6" t="s">
        <v>1276</v>
      </c>
      <c r="K721" s="37" t="s">
        <v>3645</v>
      </c>
      <c r="L721" s="65" t="s">
        <v>3797</v>
      </c>
    </row>
    <row r="722" spans="1:12" ht="15.5">
      <c r="A722" s="17">
        <v>721</v>
      </c>
      <c r="B722" s="6" t="s">
        <v>1590</v>
      </c>
      <c r="C722" s="7">
        <v>2022505539</v>
      </c>
      <c r="D722" s="7">
        <v>2201010124</v>
      </c>
      <c r="E722" s="7" t="s">
        <v>1810</v>
      </c>
      <c r="F722" s="7" t="e">
        <f>VLOOKUP(C722,'Fast Track '!B:C,2,FALSE)</f>
        <v>#N/A</v>
      </c>
      <c r="G722" s="7" t="s">
        <v>3707</v>
      </c>
      <c r="H722" s="6" t="s">
        <v>1591</v>
      </c>
      <c r="I722" s="6" t="s">
        <v>3502</v>
      </c>
      <c r="J722" s="6" t="s">
        <v>1276</v>
      </c>
      <c r="K722" s="37" t="s">
        <v>3645</v>
      </c>
      <c r="L722" s="65" t="s">
        <v>3797</v>
      </c>
    </row>
    <row r="723" spans="1:12">
      <c r="A723" s="17">
        <v>722</v>
      </c>
      <c r="B723" s="6" t="s">
        <v>1264</v>
      </c>
      <c r="C723" s="7">
        <v>2022004361</v>
      </c>
      <c r="D723" s="7">
        <v>2201010024</v>
      </c>
      <c r="E723" s="7" t="s">
        <v>1802</v>
      </c>
      <c r="F723" s="7" t="e">
        <f>VLOOKUP(C723,'Fast Track '!B:C,2,FALSE)</f>
        <v>#N/A</v>
      </c>
      <c r="G723" s="7" t="s">
        <v>3707</v>
      </c>
      <c r="H723" s="6" t="s">
        <v>1275</v>
      </c>
      <c r="I723" s="6" t="s">
        <v>2976</v>
      </c>
      <c r="J723" s="6" t="s">
        <v>1276</v>
      </c>
      <c r="K723" s="37" t="s">
        <v>3645</v>
      </c>
      <c r="L723" t="s">
        <v>3667</v>
      </c>
    </row>
    <row r="724" spans="1:12">
      <c r="A724" s="17">
        <v>723</v>
      </c>
      <c r="B724" s="6" t="s">
        <v>1772</v>
      </c>
      <c r="C724" s="7">
        <v>2022506579</v>
      </c>
      <c r="D724" s="7">
        <v>2201010061</v>
      </c>
      <c r="E724" s="7" t="s">
        <v>1802</v>
      </c>
      <c r="F724" s="7" t="e">
        <f>VLOOKUP(C724,'Fast Track '!B:C,2,FALSE)</f>
        <v>#N/A</v>
      </c>
      <c r="G724" s="7" t="s">
        <v>3707</v>
      </c>
      <c r="H724" s="6" t="s">
        <v>1773</v>
      </c>
      <c r="I724" s="6" t="s">
        <v>2978</v>
      </c>
      <c r="J724" s="6" t="s">
        <v>1276</v>
      </c>
      <c r="K724" s="37" t="s">
        <v>3645</v>
      </c>
      <c r="L724" t="s">
        <v>3667</v>
      </c>
    </row>
    <row r="725" spans="1:12">
      <c r="A725" s="17">
        <v>724</v>
      </c>
      <c r="B725" s="6" t="s">
        <v>1297</v>
      </c>
      <c r="C725" s="7">
        <v>2022334026</v>
      </c>
      <c r="D725" s="7">
        <v>2201010063</v>
      </c>
      <c r="E725" s="7" t="s">
        <v>1802</v>
      </c>
      <c r="F725" s="7" t="e">
        <f>VLOOKUP(C725,'Fast Track '!B:C,2,FALSE)</f>
        <v>#N/A</v>
      </c>
      <c r="G725" s="7" t="s">
        <v>3707</v>
      </c>
      <c r="H725" s="6" t="s">
        <v>1298</v>
      </c>
      <c r="I725" s="6" t="s">
        <v>2980</v>
      </c>
      <c r="J725" s="6" t="s">
        <v>1276</v>
      </c>
      <c r="K725" s="37" t="s">
        <v>3645</v>
      </c>
      <c r="L725" t="s">
        <v>3667</v>
      </c>
    </row>
    <row r="726" spans="1:12">
      <c r="A726" s="17">
        <v>725</v>
      </c>
      <c r="B726" s="6" t="s">
        <v>1746</v>
      </c>
      <c r="C726" s="7">
        <v>2022426354</v>
      </c>
      <c r="D726" s="7">
        <v>2201010067</v>
      </c>
      <c r="E726" s="7" t="s">
        <v>1802</v>
      </c>
      <c r="F726" s="7" t="e">
        <f>VLOOKUP(C726,'Fast Track '!B:C,2,FALSE)</f>
        <v>#N/A</v>
      </c>
      <c r="G726" s="7" t="s">
        <v>3707</v>
      </c>
      <c r="H726" s="6" t="s">
        <v>1747</v>
      </c>
      <c r="I726" s="6" t="s">
        <v>2982</v>
      </c>
      <c r="J726" s="6" t="s">
        <v>1276</v>
      </c>
      <c r="K726" s="37" t="s">
        <v>3645</v>
      </c>
      <c r="L726" t="s">
        <v>3667</v>
      </c>
    </row>
    <row r="727" spans="1:12">
      <c r="A727" s="17">
        <v>726</v>
      </c>
      <c r="B727" s="6" t="s">
        <v>1704</v>
      </c>
      <c r="C727" s="7">
        <v>2022005817</v>
      </c>
      <c r="D727" s="7">
        <v>2201010087</v>
      </c>
      <c r="E727" s="7" t="s">
        <v>1802</v>
      </c>
      <c r="F727" s="7" t="e">
        <f>VLOOKUP(C727,'Fast Track '!B:C,2,FALSE)</f>
        <v>#N/A</v>
      </c>
      <c r="G727" s="7" t="s">
        <v>3707</v>
      </c>
      <c r="H727" s="6" t="s">
        <v>1705</v>
      </c>
      <c r="I727" s="6" t="s">
        <v>2984</v>
      </c>
      <c r="J727" s="6" t="s">
        <v>1276</v>
      </c>
      <c r="K727" s="37" t="s">
        <v>3645</v>
      </c>
      <c r="L727" t="s">
        <v>3667</v>
      </c>
    </row>
    <row r="728" spans="1:12">
      <c r="A728" s="17">
        <v>727</v>
      </c>
      <c r="B728" s="6" t="s">
        <v>175</v>
      </c>
      <c r="C728" s="7">
        <v>2022409017</v>
      </c>
      <c r="D728" s="7">
        <v>2201010094</v>
      </c>
      <c r="E728" s="7" t="s">
        <v>1802</v>
      </c>
      <c r="F728" s="7" t="e">
        <f>VLOOKUP(C728,'Fast Track '!B:C,2,FALSE)</f>
        <v>#N/A</v>
      </c>
      <c r="G728" s="7" t="s">
        <v>3707</v>
      </c>
      <c r="H728" s="6" t="s">
        <v>1307</v>
      </c>
      <c r="I728" s="6" t="s">
        <v>2986</v>
      </c>
      <c r="J728" s="6" t="s">
        <v>1276</v>
      </c>
      <c r="K728" s="37" t="s">
        <v>3645</v>
      </c>
      <c r="L728" t="s">
        <v>3667</v>
      </c>
    </row>
    <row r="729" spans="1:12">
      <c r="A729" s="17">
        <v>728</v>
      </c>
      <c r="B729" s="6" t="s">
        <v>1343</v>
      </c>
      <c r="C729" s="7">
        <v>2022535335</v>
      </c>
      <c r="D729" s="7">
        <v>2201010100</v>
      </c>
      <c r="E729" s="7" t="s">
        <v>1802</v>
      </c>
      <c r="F729" s="7" t="e">
        <f>VLOOKUP(C729,'Fast Track '!B:C,2,FALSE)</f>
        <v>#N/A</v>
      </c>
      <c r="G729" s="7" t="s">
        <v>3707</v>
      </c>
      <c r="H729" s="6" t="s">
        <v>1344</v>
      </c>
      <c r="I729" s="6" t="s">
        <v>2988</v>
      </c>
      <c r="J729" s="6" t="s">
        <v>1276</v>
      </c>
      <c r="K729" s="37" t="s">
        <v>3645</v>
      </c>
      <c r="L729" t="s">
        <v>3667</v>
      </c>
    </row>
    <row r="730" spans="1:12">
      <c r="A730" s="17">
        <v>729</v>
      </c>
      <c r="B730" s="6" t="s">
        <v>1742</v>
      </c>
      <c r="C730" s="7">
        <v>2022369167</v>
      </c>
      <c r="D730" s="7">
        <v>2201010113</v>
      </c>
      <c r="E730" s="7" t="s">
        <v>1802</v>
      </c>
      <c r="F730" s="7" t="e">
        <f>VLOOKUP(C730,'Fast Track '!B:C,2,FALSE)</f>
        <v>#N/A</v>
      </c>
      <c r="G730" s="7" t="s">
        <v>3707</v>
      </c>
      <c r="H730" s="6" t="s">
        <v>1743</v>
      </c>
      <c r="I730" s="6" t="s">
        <v>2990</v>
      </c>
      <c r="J730" s="6" t="s">
        <v>1276</v>
      </c>
      <c r="K730" s="37" t="s">
        <v>3645</v>
      </c>
      <c r="L730" t="s">
        <v>3667</v>
      </c>
    </row>
    <row r="731" spans="1:12">
      <c r="A731" s="17">
        <v>730</v>
      </c>
      <c r="B731" s="6" t="s">
        <v>1759</v>
      </c>
      <c r="C731" s="7">
        <v>2022456042</v>
      </c>
      <c r="D731" s="7">
        <v>2201010120</v>
      </c>
      <c r="E731" s="7" t="s">
        <v>1802</v>
      </c>
      <c r="F731" s="7" t="e">
        <f>VLOOKUP(C731,'Fast Track '!B:C,2,FALSE)</f>
        <v>#N/A</v>
      </c>
      <c r="G731" s="7" t="s">
        <v>3707</v>
      </c>
      <c r="H731" s="6" t="s">
        <v>1760</v>
      </c>
      <c r="I731" s="6" t="s">
        <v>2992</v>
      </c>
      <c r="J731" s="6" t="s">
        <v>1276</v>
      </c>
      <c r="K731" s="37" t="s">
        <v>3645</v>
      </c>
      <c r="L731" t="s">
        <v>3667</v>
      </c>
    </row>
    <row r="732" spans="1:12">
      <c r="A732" s="17">
        <v>731</v>
      </c>
      <c r="B732" s="6" t="s">
        <v>1778</v>
      </c>
      <c r="C732" s="7">
        <v>2022539806</v>
      </c>
      <c r="D732" s="7">
        <v>2201010133</v>
      </c>
      <c r="E732" s="7" t="s">
        <v>1802</v>
      </c>
      <c r="F732" s="7" t="e">
        <f>VLOOKUP(C732,'Fast Track '!B:C,2,FALSE)</f>
        <v>#N/A</v>
      </c>
      <c r="G732" s="7" t="s">
        <v>3707</v>
      </c>
      <c r="H732" s="6" t="s">
        <v>1779</v>
      </c>
      <c r="I732" s="6" t="s">
        <v>2994</v>
      </c>
      <c r="J732" s="6" t="s">
        <v>1276</v>
      </c>
      <c r="K732" s="37" t="s">
        <v>3645</v>
      </c>
      <c r="L732" t="s">
        <v>3667</v>
      </c>
    </row>
    <row r="733" spans="1:12">
      <c r="A733" s="17">
        <v>732</v>
      </c>
      <c r="B733" s="6" t="s">
        <v>917</v>
      </c>
      <c r="C733" s="7">
        <v>2022504700</v>
      </c>
      <c r="D733" s="7">
        <v>2201010144</v>
      </c>
      <c r="E733" s="7" t="s">
        <v>1802</v>
      </c>
      <c r="F733" s="7" t="e">
        <f>VLOOKUP(C733,'Fast Track '!B:C,2,FALSE)</f>
        <v>#N/A</v>
      </c>
      <c r="G733" s="7" t="s">
        <v>3707</v>
      </c>
      <c r="H733" s="6" t="s">
        <v>1771</v>
      </c>
      <c r="I733" s="6" t="s">
        <v>2996</v>
      </c>
      <c r="J733" s="6" t="s">
        <v>1276</v>
      </c>
      <c r="K733" s="37" t="s">
        <v>3645</v>
      </c>
      <c r="L733" t="s">
        <v>3667</v>
      </c>
    </row>
    <row r="734" spans="1:12">
      <c r="A734" s="17">
        <v>733</v>
      </c>
      <c r="B734" s="6" t="s">
        <v>1738</v>
      </c>
      <c r="C734" s="7">
        <v>2022360832</v>
      </c>
      <c r="D734" s="7">
        <v>2201010151</v>
      </c>
      <c r="E734" s="7" t="s">
        <v>1802</v>
      </c>
      <c r="F734" s="7" t="e">
        <f>VLOOKUP(C734,'Fast Track '!B:C,2,FALSE)</f>
        <v>#N/A</v>
      </c>
      <c r="G734" s="7" t="s">
        <v>3707</v>
      </c>
      <c r="H734" s="6" t="s">
        <v>1739</v>
      </c>
      <c r="I734" s="6" t="s">
        <v>2998</v>
      </c>
      <c r="J734" s="6" t="s">
        <v>1276</v>
      </c>
      <c r="K734" s="37" t="s">
        <v>3645</v>
      </c>
      <c r="L734" t="s">
        <v>3667</v>
      </c>
    </row>
    <row r="735" spans="1:12">
      <c r="A735" s="17">
        <v>734</v>
      </c>
      <c r="B735" s="6" t="s">
        <v>1347</v>
      </c>
      <c r="C735" s="7">
        <v>2022542429</v>
      </c>
      <c r="D735" s="7">
        <v>2201010174</v>
      </c>
      <c r="E735" s="7" t="s">
        <v>1802</v>
      </c>
      <c r="F735" s="7" t="e">
        <f>VLOOKUP(C735,'Fast Track '!B:C,2,FALSE)</f>
        <v>#N/A</v>
      </c>
      <c r="G735" s="7" t="s">
        <v>3707</v>
      </c>
      <c r="H735" s="6" t="s">
        <v>1348</v>
      </c>
      <c r="I735" s="6" t="s">
        <v>3000</v>
      </c>
      <c r="J735" s="6" t="s">
        <v>1276</v>
      </c>
      <c r="K735" s="37" t="s">
        <v>3645</v>
      </c>
      <c r="L735" t="s">
        <v>3667</v>
      </c>
    </row>
    <row r="736" spans="1:12">
      <c r="A736" s="17">
        <v>735</v>
      </c>
      <c r="B736" s="6" t="s">
        <v>1362</v>
      </c>
      <c r="C736" s="7">
        <v>2022825759</v>
      </c>
      <c r="D736" s="7">
        <v>2201010202</v>
      </c>
      <c r="E736" s="7" t="s">
        <v>1802</v>
      </c>
      <c r="F736" s="7" t="e">
        <f>VLOOKUP(C736,'Fast Track '!B:C,2,FALSE)</f>
        <v>#N/A</v>
      </c>
      <c r="G736" s="7" t="s">
        <v>3707</v>
      </c>
      <c r="H736" s="6" t="s">
        <v>1363</v>
      </c>
      <c r="I736" s="6" t="s">
        <v>3002</v>
      </c>
      <c r="J736" s="6" t="s">
        <v>1276</v>
      </c>
      <c r="K736" s="37" t="s">
        <v>3645</v>
      </c>
      <c r="L736" t="s">
        <v>3667</v>
      </c>
    </row>
    <row r="737" spans="1:12">
      <c r="A737" s="17">
        <v>736</v>
      </c>
      <c r="B737" s="6" t="s">
        <v>1702</v>
      </c>
      <c r="C737" s="7">
        <v>2022005712</v>
      </c>
      <c r="D737" s="7">
        <v>2201010210</v>
      </c>
      <c r="E737" s="7" t="s">
        <v>1802</v>
      </c>
      <c r="F737" s="7" t="e">
        <f>VLOOKUP(C737,'Fast Track '!B:C,2,FALSE)</f>
        <v>#N/A</v>
      </c>
      <c r="G737" s="7" t="s">
        <v>3707</v>
      </c>
      <c r="H737" s="6" t="s">
        <v>1703</v>
      </c>
      <c r="I737" s="6" t="s">
        <v>3004</v>
      </c>
      <c r="J737" s="6" t="s">
        <v>1276</v>
      </c>
      <c r="K737" s="37" t="s">
        <v>3645</v>
      </c>
      <c r="L737" t="s">
        <v>3667</v>
      </c>
    </row>
    <row r="738" spans="1:12">
      <c r="A738" s="17">
        <v>737</v>
      </c>
      <c r="B738" s="6" t="s">
        <v>1736</v>
      </c>
      <c r="C738" s="7">
        <v>2022325712</v>
      </c>
      <c r="D738" s="7">
        <v>2201010280</v>
      </c>
      <c r="E738" s="7" t="s">
        <v>1802</v>
      </c>
      <c r="F738" s="7" t="e">
        <f>VLOOKUP(C738,'Fast Track '!B:C,2,FALSE)</f>
        <v>#N/A</v>
      </c>
      <c r="G738" s="7" t="s">
        <v>3707</v>
      </c>
      <c r="H738" s="6" t="s">
        <v>1737</v>
      </c>
      <c r="I738" s="6" t="s">
        <v>3006</v>
      </c>
      <c r="J738" s="6" t="s">
        <v>1276</v>
      </c>
      <c r="K738" s="37" t="s">
        <v>3645</v>
      </c>
      <c r="L738" t="s">
        <v>3667</v>
      </c>
    </row>
    <row r="739" spans="1:12">
      <c r="A739" s="17">
        <v>738</v>
      </c>
      <c r="B739" s="6" t="s">
        <v>1279</v>
      </c>
      <c r="C739" s="7">
        <v>2022005046</v>
      </c>
      <c r="D739" s="7">
        <v>2201010302</v>
      </c>
      <c r="E739" s="7" t="s">
        <v>1802</v>
      </c>
      <c r="F739" s="7" t="e">
        <f>VLOOKUP(C739,'Fast Track '!B:C,2,FALSE)</f>
        <v>#N/A</v>
      </c>
      <c r="G739" s="7" t="s">
        <v>3707</v>
      </c>
      <c r="H739" s="6" t="s">
        <v>1280</v>
      </c>
      <c r="I739" s="6" t="s">
        <v>3008</v>
      </c>
      <c r="J739" s="6" t="s">
        <v>1276</v>
      </c>
      <c r="K739" s="37" t="s">
        <v>3645</v>
      </c>
      <c r="L739" t="s">
        <v>3667</v>
      </c>
    </row>
    <row r="740" spans="1:12">
      <c r="A740" s="17">
        <v>739</v>
      </c>
      <c r="B740" s="6" t="s">
        <v>1318</v>
      </c>
      <c r="C740" s="7">
        <v>2022480883</v>
      </c>
      <c r="D740" s="7">
        <v>2201010305</v>
      </c>
      <c r="E740" s="7" t="s">
        <v>1802</v>
      </c>
      <c r="F740" s="7" t="e">
        <f>VLOOKUP(C740,'Fast Track '!B:C,2,FALSE)</f>
        <v>#N/A</v>
      </c>
      <c r="G740" s="7" t="s">
        <v>3707</v>
      </c>
      <c r="H740" s="6" t="s">
        <v>1319</v>
      </c>
      <c r="I740" s="6" t="s">
        <v>3010</v>
      </c>
      <c r="J740" s="6" t="s">
        <v>1276</v>
      </c>
      <c r="K740" s="37" t="s">
        <v>3645</v>
      </c>
      <c r="L740" t="s">
        <v>3667</v>
      </c>
    </row>
    <row r="741" spans="1:12">
      <c r="A741" s="17">
        <v>740</v>
      </c>
      <c r="B741" s="6" t="s">
        <v>1765</v>
      </c>
      <c r="C741" s="7">
        <v>2022469633</v>
      </c>
      <c r="D741" s="7">
        <v>2201010328</v>
      </c>
      <c r="E741" s="7" t="s">
        <v>1802</v>
      </c>
      <c r="F741" s="7" t="e">
        <f>VLOOKUP(C741,'Fast Track '!B:C,2,FALSE)</f>
        <v>#N/A</v>
      </c>
      <c r="G741" s="7" t="s">
        <v>3707</v>
      </c>
      <c r="H741" s="6" t="s">
        <v>1766</v>
      </c>
      <c r="I741" s="6" t="s">
        <v>3012</v>
      </c>
      <c r="J741" s="6" t="s">
        <v>1276</v>
      </c>
      <c r="K741" s="37" t="s">
        <v>3645</v>
      </c>
      <c r="L741" t="s">
        <v>3667</v>
      </c>
    </row>
    <row r="742" spans="1:12">
      <c r="A742" s="17">
        <v>741</v>
      </c>
      <c r="B742" s="6" t="s">
        <v>1740</v>
      </c>
      <c r="C742" s="7">
        <v>2022366544</v>
      </c>
      <c r="D742" s="7">
        <v>2201010363</v>
      </c>
      <c r="E742" s="7" t="s">
        <v>1802</v>
      </c>
      <c r="F742" s="7" t="e">
        <f>VLOOKUP(C742,'Fast Track '!B:C,2,FALSE)</f>
        <v>#N/A</v>
      </c>
      <c r="G742" s="7" t="s">
        <v>3707</v>
      </c>
      <c r="H742" s="6" t="s">
        <v>1741</v>
      </c>
      <c r="I742" s="6" t="s">
        <v>3014</v>
      </c>
      <c r="J742" s="6" t="s">
        <v>1276</v>
      </c>
      <c r="K742" s="37" t="s">
        <v>3645</v>
      </c>
      <c r="L742" t="s">
        <v>3667</v>
      </c>
    </row>
    <row r="743" spans="1:12">
      <c r="A743" s="17">
        <v>742</v>
      </c>
      <c r="B743" s="6" t="s">
        <v>1310</v>
      </c>
      <c r="C743" s="7">
        <v>2022414035</v>
      </c>
      <c r="D743" s="7">
        <v>2201010375</v>
      </c>
      <c r="E743" s="7" t="s">
        <v>1802</v>
      </c>
      <c r="F743" s="7" t="e">
        <f>VLOOKUP(C743,'Fast Track '!B:C,2,FALSE)</f>
        <v>#N/A</v>
      </c>
      <c r="G743" s="7" t="s">
        <v>3707</v>
      </c>
      <c r="H743" s="6" t="s">
        <v>1311</v>
      </c>
      <c r="I743" s="6" t="s">
        <v>3016</v>
      </c>
      <c r="J743" s="6" t="s">
        <v>1276</v>
      </c>
      <c r="K743" s="37" t="s">
        <v>3645</v>
      </c>
      <c r="L743" t="s">
        <v>3667</v>
      </c>
    </row>
    <row r="744" spans="1:12">
      <c r="A744" s="17">
        <v>743</v>
      </c>
      <c r="B744" s="6" t="s">
        <v>1761</v>
      </c>
      <c r="C744" s="7">
        <v>2022456058</v>
      </c>
      <c r="D744" s="7">
        <v>2201010381</v>
      </c>
      <c r="E744" s="7" t="s">
        <v>1802</v>
      </c>
      <c r="F744" s="7" t="e">
        <f>VLOOKUP(C744,'Fast Track '!B:C,2,FALSE)</f>
        <v>#N/A</v>
      </c>
      <c r="G744" s="7" t="s">
        <v>3707</v>
      </c>
      <c r="H744" s="6" t="s">
        <v>1762</v>
      </c>
      <c r="I744" s="6" t="s">
        <v>3018</v>
      </c>
      <c r="J744" s="6" t="s">
        <v>1276</v>
      </c>
      <c r="K744" s="37" t="s">
        <v>3645</v>
      </c>
      <c r="L744" t="s">
        <v>3667</v>
      </c>
    </row>
    <row r="745" spans="1:12">
      <c r="A745" s="17">
        <v>744</v>
      </c>
      <c r="B745" s="6" t="s">
        <v>1341</v>
      </c>
      <c r="C745" s="7">
        <v>2022533506</v>
      </c>
      <c r="D745" s="7">
        <v>2201010386</v>
      </c>
      <c r="E745" s="7" t="s">
        <v>1802</v>
      </c>
      <c r="F745" s="7" t="e">
        <f>VLOOKUP(C745,'Fast Track '!B:C,2,FALSE)</f>
        <v>#N/A</v>
      </c>
      <c r="G745" s="7" t="s">
        <v>3707</v>
      </c>
      <c r="H745" s="6" t="s">
        <v>1342</v>
      </c>
      <c r="I745" s="6" t="s">
        <v>3020</v>
      </c>
      <c r="J745" s="6" t="s">
        <v>1276</v>
      </c>
      <c r="K745" s="37" t="s">
        <v>3645</v>
      </c>
      <c r="L745" t="s">
        <v>3667</v>
      </c>
    </row>
    <row r="746" spans="1:12">
      <c r="A746" s="17">
        <v>745</v>
      </c>
      <c r="B746" s="6" t="s">
        <v>1301</v>
      </c>
      <c r="C746" s="7">
        <v>2022338119</v>
      </c>
      <c r="D746" s="7">
        <v>2201010402</v>
      </c>
      <c r="E746" s="7" t="s">
        <v>1802</v>
      </c>
      <c r="F746" s="7" t="e">
        <f>VLOOKUP(C746,'Fast Track '!B:C,2,FALSE)</f>
        <v>#N/A</v>
      </c>
      <c r="G746" s="7" t="s">
        <v>3707</v>
      </c>
      <c r="H746" s="6" t="s">
        <v>1302</v>
      </c>
      <c r="I746" s="6" t="s">
        <v>3022</v>
      </c>
      <c r="J746" s="6" t="s">
        <v>1276</v>
      </c>
      <c r="K746" s="37" t="s">
        <v>3645</v>
      </c>
      <c r="L746" t="s">
        <v>3667</v>
      </c>
    </row>
    <row r="747" spans="1:12">
      <c r="A747" s="17">
        <v>746</v>
      </c>
      <c r="B747" s="6" t="s">
        <v>1755</v>
      </c>
      <c r="C747" s="7">
        <v>2022438436</v>
      </c>
      <c r="D747" s="7">
        <v>2201010408</v>
      </c>
      <c r="E747" s="7" t="s">
        <v>1802</v>
      </c>
      <c r="F747" s="7" t="e">
        <f>VLOOKUP(C747,'Fast Track '!B:C,2,FALSE)</f>
        <v>#N/A</v>
      </c>
      <c r="G747" s="7" t="s">
        <v>3707</v>
      </c>
      <c r="H747" s="6" t="s">
        <v>1756</v>
      </c>
      <c r="I747" s="6" t="s">
        <v>3024</v>
      </c>
      <c r="J747" s="6" t="s">
        <v>1276</v>
      </c>
      <c r="K747" s="37" t="s">
        <v>3645</v>
      </c>
      <c r="L747" t="s">
        <v>3667</v>
      </c>
    </row>
    <row r="748" spans="1:12">
      <c r="A748" s="17">
        <v>747</v>
      </c>
      <c r="B748" s="6" t="s">
        <v>1305</v>
      </c>
      <c r="C748" s="7">
        <v>2022403267</v>
      </c>
      <c r="D748" s="7">
        <v>2201010410</v>
      </c>
      <c r="E748" s="7" t="s">
        <v>1802</v>
      </c>
      <c r="F748" s="7" t="e">
        <f>VLOOKUP(C748,'Fast Track '!B:C,2,FALSE)</f>
        <v>#N/A</v>
      </c>
      <c r="G748" s="7" t="s">
        <v>3707</v>
      </c>
      <c r="H748" s="6" t="s">
        <v>1306</v>
      </c>
      <c r="I748" s="6" t="s">
        <v>3026</v>
      </c>
      <c r="J748" s="6" t="s">
        <v>1276</v>
      </c>
      <c r="K748" s="37" t="s">
        <v>3645</v>
      </c>
      <c r="L748" t="s">
        <v>3667</v>
      </c>
    </row>
    <row r="749" spans="1:12">
      <c r="A749" s="17">
        <v>748</v>
      </c>
      <c r="B749" s="6" t="s">
        <v>1716</v>
      </c>
      <c r="C749" s="7">
        <v>2022007037</v>
      </c>
      <c r="D749" s="7">
        <v>2201010447</v>
      </c>
      <c r="E749" s="7" t="s">
        <v>1802</v>
      </c>
      <c r="F749" s="7" t="e">
        <f>VLOOKUP(C749,'Fast Track '!B:C,2,FALSE)</f>
        <v>#N/A</v>
      </c>
      <c r="G749" s="7" t="s">
        <v>3707</v>
      </c>
      <c r="H749" s="6" t="s">
        <v>1717</v>
      </c>
      <c r="I749" s="6" t="s">
        <v>3028</v>
      </c>
      <c r="J749" s="6" t="s">
        <v>1276</v>
      </c>
      <c r="K749" s="37" t="s">
        <v>3645</v>
      </c>
      <c r="L749" t="s">
        <v>3667</v>
      </c>
    </row>
    <row r="750" spans="1:12">
      <c r="A750" s="17">
        <v>749</v>
      </c>
      <c r="B750" s="6" t="s">
        <v>1316</v>
      </c>
      <c r="C750" s="7">
        <v>2022428888</v>
      </c>
      <c r="D750" s="7">
        <v>2201010463</v>
      </c>
      <c r="E750" s="7" t="s">
        <v>1802</v>
      </c>
      <c r="F750" s="7" t="e">
        <f>VLOOKUP(C750,'Fast Track '!B:C,2,FALSE)</f>
        <v>#N/A</v>
      </c>
      <c r="G750" s="7" t="s">
        <v>3707</v>
      </c>
      <c r="H750" s="6" t="s">
        <v>1317</v>
      </c>
      <c r="I750" s="6" t="s">
        <v>3030</v>
      </c>
      <c r="J750" s="6" t="s">
        <v>1276</v>
      </c>
      <c r="K750" s="37" t="s">
        <v>3645</v>
      </c>
      <c r="L750" t="s">
        <v>3667</v>
      </c>
    </row>
    <row r="751" spans="1:12">
      <c r="A751" s="17">
        <v>750</v>
      </c>
      <c r="B751" s="6" t="s">
        <v>1769</v>
      </c>
      <c r="C751" s="7">
        <v>2022496362</v>
      </c>
      <c r="D751" s="7">
        <v>2201010504</v>
      </c>
      <c r="E751" s="7" t="s">
        <v>1802</v>
      </c>
      <c r="F751" s="7" t="e">
        <f>VLOOKUP(C751,'Fast Track '!B:C,2,FALSE)</f>
        <v>#N/A</v>
      </c>
      <c r="G751" s="7" t="s">
        <v>3707</v>
      </c>
      <c r="H751" s="6" t="s">
        <v>1770</v>
      </c>
      <c r="I751" s="6" t="s">
        <v>3032</v>
      </c>
      <c r="J751" s="6" t="s">
        <v>1276</v>
      </c>
      <c r="K751" s="37" t="s">
        <v>3645</v>
      </c>
      <c r="L751" t="s">
        <v>3667</v>
      </c>
    </row>
    <row r="752" spans="1:12">
      <c r="A752" s="17">
        <v>751</v>
      </c>
      <c r="B752" s="6" t="s">
        <v>1700</v>
      </c>
      <c r="C752" s="7">
        <v>2022005278</v>
      </c>
      <c r="D752" s="7">
        <v>2201010524</v>
      </c>
      <c r="E752" s="7" t="s">
        <v>1802</v>
      </c>
      <c r="F752" s="7" t="e">
        <f>VLOOKUP(C752,'Fast Track '!B:C,2,FALSE)</f>
        <v>#N/A</v>
      </c>
      <c r="G752" s="7" t="s">
        <v>3707</v>
      </c>
      <c r="H752" s="6" t="s">
        <v>1701</v>
      </c>
      <c r="I752" s="6" t="s">
        <v>3034</v>
      </c>
      <c r="J752" s="6" t="s">
        <v>1276</v>
      </c>
      <c r="K752" s="37" t="s">
        <v>3645</v>
      </c>
      <c r="L752" t="s">
        <v>3667</v>
      </c>
    </row>
    <row r="753" spans="1:12">
      <c r="A753" s="17">
        <v>752</v>
      </c>
      <c r="B753" s="6" t="s">
        <v>1776</v>
      </c>
      <c r="C753" s="7">
        <v>2022529691</v>
      </c>
      <c r="D753" s="7">
        <v>2201010528</v>
      </c>
      <c r="E753" s="7" t="s">
        <v>1802</v>
      </c>
      <c r="F753" s="7" t="e">
        <f>VLOOKUP(C753,'Fast Track '!B:C,2,FALSE)</f>
        <v>#N/A</v>
      </c>
      <c r="G753" s="7" t="s">
        <v>3707</v>
      </c>
      <c r="H753" s="6" t="s">
        <v>1777</v>
      </c>
      <c r="I753" s="6" t="s">
        <v>3036</v>
      </c>
      <c r="J753" s="6" t="s">
        <v>1276</v>
      </c>
      <c r="K753" s="37" t="s">
        <v>3645</v>
      </c>
      <c r="L753" t="s">
        <v>3667</v>
      </c>
    </row>
    <row r="754" spans="1:12">
      <c r="A754" s="17">
        <v>753</v>
      </c>
      <c r="B754" s="6" t="s">
        <v>1757</v>
      </c>
      <c r="C754" s="7">
        <v>2022439234</v>
      </c>
      <c r="D754" s="7">
        <v>2201010533</v>
      </c>
      <c r="E754" s="7" t="s">
        <v>1802</v>
      </c>
      <c r="F754" s="7" t="e">
        <f>VLOOKUP(C754,'Fast Track '!B:C,2,FALSE)</f>
        <v>#N/A</v>
      </c>
      <c r="G754" s="7" t="s">
        <v>3707</v>
      </c>
      <c r="H754" s="6" t="s">
        <v>1758</v>
      </c>
      <c r="I754" s="6" t="s">
        <v>3038</v>
      </c>
      <c r="J754" s="6" t="s">
        <v>1276</v>
      </c>
      <c r="K754" s="37" t="s">
        <v>3644</v>
      </c>
      <c r="L754" t="s">
        <v>3667</v>
      </c>
    </row>
    <row r="755" spans="1:12">
      <c r="A755" s="17">
        <v>754</v>
      </c>
      <c r="B755" s="6" t="s">
        <v>1712</v>
      </c>
      <c r="C755" s="7">
        <v>2022006709</v>
      </c>
      <c r="D755" s="7">
        <v>2201010548</v>
      </c>
      <c r="E755" s="7" t="s">
        <v>1802</v>
      </c>
      <c r="F755" s="7" t="e">
        <f>VLOOKUP(C755,'Fast Track '!B:C,2,FALSE)</f>
        <v>#N/A</v>
      </c>
      <c r="G755" s="7" t="s">
        <v>3707</v>
      </c>
      <c r="H755" s="6" t="s">
        <v>1713</v>
      </c>
      <c r="I755" s="6" t="s">
        <v>3040</v>
      </c>
      <c r="J755" s="6" t="s">
        <v>1276</v>
      </c>
      <c r="K755" s="37" t="s">
        <v>3644</v>
      </c>
      <c r="L755" t="s">
        <v>3667</v>
      </c>
    </row>
    <row r="756" spans="1:12">
      <c r="A756" s="17">
        <v>755</v>
      </c>
      <c r="B756" s="6" t="s">
        <v>1708</v>
      </c>
      <c r="C756" s="7">
        <v>2022006115</v>
      </c>
      <c r="D756" s="7">
        <v>2201010560</v>
      </c>
      <c r="E756" s="7" t="s">
        <v>1802</v>
      </c>
      <c r="F756" s="7" t="e">
        <f>VLOOKUP(C756,'Fast Track '!B:C,2,FALSE)</f>
        <v>#N/A</v>
      </c>
      <c r="G756" s="7" t="s">
        <v>3707</v>
      </c>
      <c r="H756" s="6" t="s">
        <v>1709</v>
      </c>
      <c r="I756" s="6" t="s">
        <v>3042</v>
      </c>
      <c r="J756" s="6" t="s">
        <v>1276</v>
      </c>
      <c r="K756" s="37" t="s">
        <v>3644</v>
      </c>
      <c r="L756" t="s">
        <v>3667</v>
      </c>
    </row>
    <row r="757" spans="1:12">
      <c r="A757" s="17">
        <v>756</v>
      </c>
      <c r="B757" s="6" t="s">
        <v>1308</v>
      </c>
      <c r="C757" s="7">
        <v>2022410984</v>
      </c>
      <c r="D757" s="7">
        <v>2201010566</v>
      </c>
      <c r="E757" s="7" t="s">
        <v>1802</v>
      </c>
      <c r="F757" s="7" t="e">
        <f>VLOOKUP(C757,'Fast Track '!B:C,2,FALSE)</f>
        <v>#N/A</v>
      </c>
      <c r="G757" s="7" t="s">
        <v>3707</v>
      </c>
      <c r="H757" s="6" t="s">
        <v>1309</v>
      </c>
      <c r="I757" s="6" t="s">
        <v>3044</v>
      </c>
      <c r="J757" s="6" t="s">
        <v>1276</v>
      </c>
      <c r="K757" s="37" t="s">
        <v>3644</v>
      </c>
      <c r="L757" t="s">
        <v>3667</v>
      </c>
    </row>
    <row r="758" spans="1:12">
      <c r="A758" s="17">
        <v>757</v>
      </c>
      <c r="B758" s="6" t="s">
        <v>1732</v>
      </c>
      <c r="C758" s="7">
        <v>2022307000</v>
      </c>
      <c r="D758" s="7">
        <v>2201010589</v>
      </c>
      <c r="E758" s="7" t="s">
        <v>1802</v>
      </c>
      <c r="F758" s="7" t="e">
        <f>VLOOKUP(C758,'Fast Track '!B:C,2,FALSE)</f>
        <v>#N/A</v>
      </c>
      <c r="G758" s="7" t="s">
        <v>3707</v>
      </c>
      <c r="H758" s="6" t="s">
        <v>1733</v>
      </c>
      <c r="I758" s="6" t="s">
        <v>3046</v>
      </c>
      <c r="J758" s="6" t="s">
        <v>1276</v>
      </c>
      <c r="K758" s="37" t="s">
        <v>3644</v>
      </c>
      <c r="L758" t="s">
        <v>3667</v>
      </c>
    </row>
    <row r="759" spans="1:12">
      <c r="A759" s="17">
        <v>758</v>
      </c>
      <c r="B759" s="6" t="s">
        <v>1349</v>
      </c>
      <c r="C759" s="7">
        <v>2022553875</v>
      </c>
      <c r="D759" s="7">
        <v>2201010609</v>
      </c>
      <c r="E759" s="7" t="s">
        <v>1802</v>
      </c>
      <c r="F759" s="7" t="e">
        <f>VLOOKUP(C759,'Fast Track '!B:C,2,FALSE)</f>
        <v>#N/A</v>
      </c>
      <c r="G759" s="7" t="s">
        <v>3707</v>
      </c>
      <c r="H759" s="6" t="s">
        <v>1350</v>
      </c>
      <c r="I759" s="6" t="s">
        <v>3048</v>
      </c>
      <c r="J759" s="6" t="s">
        <v>1276</v>
      </c>
      <c r="K759" s="37" t="s">
        <v>3644</v>
      </c>
      <c r="L759" t="s">
        <v>3667</v>
      </c>
    </row>
    <row r="760" spans="1:12">
      <c r="A760" s="17">
        <v>759</v>
      </c>
      <c r="B760" s="6" t="s">
        <v>1763</v>
      </c>
      <c r="C760" s="7">
        <v>2022459247</v>
      </c>
      <c r="D760" s="7">
        <v>2201010618</v>
      </c>
      <c r="E760" s="7" t="s">
        <v>1802</v>
      </c>
      <c r="F760" s="7" t="e">
        <f>VLOOKUP(C760,'Fast Track '!B:C,2,FALSE)</f>
        <v>#N/A</v>
      </c>
      <c r="G760" s="7" t="s">
        <v>3707</v>
      </c>
      <c r="H760" s="6" t="s">
        <v>1764</v>
      </c>
      <c r="I760" s="6" t="s">
        <v>3050</v>
      </c>
      <c r="J760" s="6" t="s">
        <v>1276</v>
      </c>
      <c r="K760" s="37" t="s">
        <v>3644</v>
      </c>
      <c r="L760" t="s">
        <v>3667</v>
      </c>
    </row>
    <row r="761" spans="1:12">
      <c r="A761" s="17">
        <v>760</v>
      </c>
      <c r="B761" s="6" t="s">
        <v>1368</v>
      </c>
      <c r="C761" s="7">
        <v>2022465132</v>
      </c>
      <c r="D761" s="7">
        <v>2201010649</v>
      </c>
      <c r="E761" s="7" t="s">
        <v>1802</v>
      </c>
      <c r="F761" s="7" t="e">
        <f>VLOOKUP(C761,'Fast Track '!B:C,2,FALSE)</f>
        <v>#N/A</v>
      </c>
      <c r="G761" s="7" t="s">
        <v>3707</v>
      </c>
      <c r="H761" s="6" t="s">
        <v>1369</v>
      </c>
      <c r="I761" s="6" t="s">
        <v>3052</v>
      </c>
      <c r="J761" s="6" t="s">
        <v>1276</v>
      </c>
      <c r="K761" s="37" t="s">
        <v>3644</v>
      </c>
      <c r="L761" t="s">
        <v>3667</v>
      </c>
    </row>
    <row r="762" spans="1:12">
      <c r="A762" s="17">
        <v>761</v>
      </c>
      <c r="B762" s="6" t="s">
        <v>1330</v>
      </c>
      <c r="C762" s="7">
        <v>2022513718</v>
      </c>
      <c r="D762" s="7">
        <v>2201010696</v>
      </c>
      <c r="E762" s="7" t="s">
        <v>1802</v>
      </c>
      <c r="F762" s="7" t="e">
        <f>VLOOKUP(C762,'Fast Track '!B:C,2,FALSE)</f>
        <v>#N/A</v>
      </c>
      <c r="G762" s="7" t="s">
        <v>3707</v>
      </c>
      <c r="H762" s="6" t="s">
        <v>1331</v>
      </c>
      <c r="I762" s="6" t="s">
        <v>3054</v>
      </c>
      <c r="J762" s="6" t="s">
        <v>1276</v>
      </c>
      <c r="K762" s="37" t="s">
        <v>3644</v>
      </c>
      <c r="L762" t="s">
        <v>3667</v>
      </c>
    </row>
    <row r="763" spans="1:12">
      <c r="A763" s="17">
        <v>762</v>
      </c>
      <c r="B763" s="6" t="s">
        <v>1334</v>
      </c>
      <c r="C763" s="7">
        <v>2022518889</v>
      </c>
      <c r="D763" s="7">
        <v>2201010697</v>
      </c>
      <c r="E763" s="7" t="s">
        <v>1802</v>
      </c>
      <c r="F763" s="7" t="e">
        <f>VLOOKUP(C763,'Fast Track '!B:C,2,FALSE)</f>
        <v>#N/A</v>
      </c>
      <c r="G763" s="7" t="s">
        <v>3707</v>
      </c>
      <c r="H763" s="6" t="s">
        <v>1335</v>
      </c>
      <c r="I763" s="6" t="s">
        <v>3056</v>
      </c>
      <c r="J763" s="6" t="s">
        <v>1276</v>
      </c>
      <c r="K763" s="37" t="s">
        <v>3644</v>
      </c>
      <c r="L763" t="s">
        <v>3667</v>
      </c>
    </row>
    <row r="764" spans="1:12">
      <c r="A764" s="17">
        <v>763</v>
      </c>
      <c r="B764" s="6" t="s">
        <v>1696</v>
      </c>
      <c r="C764" s="7">
        <v>2022003733</v>
      </c>
      <c r="D764" s="7">
        <v>2201010708</v>
      </c>
      <c r="E764" s="7" t="s">
        <v>1802</v>
      </c>
      <c r="F764" s="7" t="e">
        <f>VLOOKUP(C764,'Fast Track '!B:C,2,FALSE)</f>
        <v>#N/A</v>
      </c>
      <c r="G764" s="7" t="s">
        <v>3707</v>
      </c>
      <c r="H764" s="6" t="s">
        <v>1697</v>
      </c>
      <c r="I764" s="6" t="s">
        <v>3058</v>
      </c>
      <c r="J764" s="6" t="s">
        <v>1276</v>
      </c>
      <c r="K764" s="37" t="s">
        <v>3644</v>
      </c>
      <c r="L764" t="s">
        <v>3667</v>
      </c>
    </row>
    <row r="765" spans="1:12">
      <c r="A765" s="17">
        <v>764</v>
      </c>
      <c r="B765" s="6" t="s">
        <v>1299</v>
      </c>
      <c r="C765" s="7">
        <v>2022335852</v>
      </c>
      <c r="D765" s="7">
        <v>2201010739</v>
      </c>
      <c r="E765" s="7" t="s">
        <v>1802</v>
      </c>
      <c r="F765" s="7" t="e">
        <f>VLOOKUP(C765,'Fast Track '!B:C,2,FALSE)</f>
        <v>#N/A</v>
      </c>
      <c r="G765" s="7" t="s">
        <v>3707</v>
      </c>
      <c r="H765" s="6" t="s">
        <v>1300</v>
      </c>
      <c r="I765" s="6" t="s">
        <v>3060</v>
      </c>
      <c r="J765" s="6" t="s">
        <v>1276</v>
      </c>
      <c r="K765" s="37" t="s">
        <v>3644</v>
      </c>
      <c r="L765" t="s">
        <v>3667</v>
      </c>
    </row>
    <row r="766" spans="1:12">
      <c r="A766" s="17">
        <v>765</v>
      </c>
      <c r="B766" s="6" t="s">
        <v>1698</v>
      </c>
      <c r="C766" s="7">
        <v>2022005013</v>
      </c>
      <c r="D766" s="7">
        <v>2201010742</v>
      </c>
      <c r="E766" s="7" t="s">
        <v>1802</v>
      </c>
      <c r="F766" s="7" t="e">
        <f>VLOOKUP(C766,'Fast Track '!B:C,2,FALSE)</f>
        <v>#N/A</v>
      </c>
      <c r="G766" s="7" t="s">
        <v>3707</v>
      </c>
      <c r="H766" s="6" t="s">
        <v>1699</v>
      </c>
      <c r="I766" s="6" t="s">
        <v>3062</v>
      </c>
      <c r="J766" s="6" t="s">
        <v>1276</v>
      </c>
      <c r="K766" s="37" t="s">
        <v>3644</v>
      </c>
      <c r="L766" t="s">
        <v>3667</v>
      </c>
    </row>
    <row r="767" spans="1:12">
      <c r="A767" s="17">
        <v>766</v>
      </c>
      <c r="B767" s="6" t="s">
        <v>1336</v>
      </c>
      <c r="C767" s="7">
        <v>2022520199</v>
      </c>
      <c r="D767" s="7">
        <v>2201010744</v>
      </c>
      <c r="E767" s="7" t="s">
        <v>1802</v>
      </c>
      <c r="F767" s="7" t="e">
        <f>VLOOKUP(C767,'Fast Track '!B:C,2,FALSE)</f>
        <v>#N/A</v>
      </c>
      <c r="G767" s="7" t="s">
        <v>3707</v>
      </c>
      <c r="H767" s="6" t="s">
        <v>1337</v>
      </c>
      <c r="I767" s="6" t="s">
        <v>3064</v>
      </c>
      <c r="J767" s="6" t="s">
        <v>1276</v>
      </c>
      <c r="K767" s="37" t="s">
        <v>3644</v>
      </c>
      <c r="L767" t="s">
        <v>3667</v>
      </c>
    </row>
    <row r="768" spans="1:12">
      <c r="A768" s="17">
        <v>767</v>
      </c>
      <c r="B768" s="6" t="s">
        <v>1314</v>
      </c>
      <c r="C768" s="7">
        <v>2022421811</v>
      </c>
      <c r="D768" s="7">
        <v>2201010758</v>
      </c>
      <c r="E768" s="7" t="s">
        <v>1802</v>
      </c>
      <c r="F768" s="7" t="e">
        <f>VLOOKUP(C768,'Fast Track '!B:C,2,FALSE)</f>
        <v>#N/A</v>
      </c>
      <c r="G768" s="7" t="s">
        <v>3707</v>
      </c>
      <c r="H768" s="6" t="s">
        <v>1315</v>
      </c>
      <c r="I768" s="6" t="s">
        <v>3068</v>
      </c>
      <c r="J768" s="6" t="s">
        <v>1276</v>
      </c>
      <c r="K768" s="37" t="s">
        <v>3644</v>
      </c>
      <c r="L768" t="s">
        <v>3667</v>
      </c>
    </row>
    <row r="769" spans="1:12">
      <c r="A769" s="17">
        <v>768</v>
      </c>
      <c r="B769" s="6" t="s">
        <v>1303</v>
      </c>
      <c r="C769" s="7">
        <v>2022374380</v>
      </c>
      <c r="D769" s="7">
        <v>2201010768</v>
      </c>
      <c r="E769" s="7" t="s">
        <v>1802</v>
      </c>
      <c r="F769" s="7" t="e">
        <f>VLOOKUP(C769,'Fast Track '!B:C,2,FALSE)</f>
        <v>#N/A</v>
      </c>
      <c r="G769" s="7" t="s">
        <v>3707</v>
      </c>
      <c r="H769" s="6" t="s">
        <v>1304</v>
      </c>
      <c r="I769" s="6" t="s">
        <v>3072</v>
      </c>
      <c r="J769" s="6" t="s">
        <v>1276</v>
      </c>
      <c r="K769" s="37" t="s">
        <v>3644</v>
      </c>
      <c r="L769" t="s">
        <v>3667</v>
      </c>
    </row>
    <row r="770" spans="1:12">
      <c r="A770" s="17">
        <v>769</v>
      </c>
      <c r="B770" s="6" t="s">
        <v>1322</v>
      </c>
      <c r="C770" s="7">
        <v>2022495156</v>
      </c>
      <c r="D770" s="7">
        <v>2201010775</v>
      </c>
      <c r="E770" s="7" t="s">
        <v>1802</v>
      </c>
      <c r="F770" s="7" t="e">
        <f>VLOOKUP(C770,'Fast Track '!B:C,2,FALSE)</f>
        <v>#N/A</v>
      </c>
      <c r="G770" s="7" t="s">
        <v>3707</v>
      </c>
      <c r="H770" s="6" t="s">
        <v>1323</v>
      </c>
      <c r="I770" s="6" t="s">
        <v>3074</v>
      </c>
      <c r="J770" s="6" t="s">
        <v>1276</v>
      </c>
      <c r="K770" s="37" t="s">
        <v>3644</v>
      </c>
      <c r="L770" t="s">
        <v>3667</v>
      </c>
    </row>
    <row r="771" spans="1:12">
      <c r="A771" s="17">
        <v>770</v>
      </c>
      <c r="B771" s="6" t="s">
        <v>1795</v>
      </c>
      <c r="C771" s="7">
        <v>2022006597</v>
      </c>
      <c r="D771" s="7">
        <v>2201010802</v>
      </c>
      <c r="E771" s="7" t="s">
        <v>1802</v>
      </c>
      <c r="F771" s="7" t="e">
        <f>VLOOKUP(C771,'Fast Track '!B:C,2,FALSE)</f>
        <v>#N/A</v>
      </c>
      <c r="G771" s="7" t="s">
        <v>3707</v>
      </c>
      <c r="H771" s="6" t="s">
        <v>1796</v>
      </c>
      <c r="I771" s="6" t="s">
        <v>3076</v>
      </c>
      <c r="J771" s="6" t="s">
        <v>1276</v>
      </c>
      <c r="K771" s="37" t="s">
        <v>3644</v>
      </c>
      <c r="L771" t="s">
        <v>3667</v>
      </c>
    </row>
    <row r="772" spans="1:12">
      <c r="A772" s="17">
        <v>771</v>
      </c>
      <c r="B772" s="6" t="s">
        <v>1774</v>
      </c>
      <c r="C772" s="7">
        <v>2022518973</v>
      </c>
      <c r="D772" s="7">
        <v>2201010814</v>
      </c>
      <c r="E772" s="7" t="s">
        <v>1802</v>
      </c>
      <c r="F772" s="7" t="e">
        <f>VLOOKUP(C772,'Fast Track '!B:C,2,FALSE)</f>
        <v>#N/A</v>
      </c>
      <c r="G772" s="7" t="s">
        <v>3707</v>
      </c>
      <c r="H772" s="6" t="s">
        <v>1775</v>
      </c>
      <c r="I772" s="6" t="s">
        <v>3078</v>
      </c>
      <c r="J772" s="6" t="s">
        <v>1276</v>
      </c>
      <c r="K772" s="37" t="s">
        <v>3644</v>
      </c>
      <c r="L772" t="s">
        <v>3667</v>
      </c>
    </row>
    <row r="773" spans="1:12">
      <c r="A773" s="17">
        <v>772</v>
      </c>
      <c r="B773" s="6" t="s">
        <v>1320</v>
      </c>
      <c r="C773" s="7">
        <v>2022490281</v>
      </c>
      <c r="D773" s="7">
        <v>2201010824</v>
      </c>
      <c r="E773" s="7" t="s">
        <v>1802</v>
      </c>
      <c r="F773" s="7" t="e">
        <f>VLOOKUP(C773,'Fast Track '!B:C,2,FALSE)</f>
        <v>#N/A</v>
      </c>
      <c r="G773" s="7" t="s">
        <v>3707</v>
      </c>
      <c r="H773" s="6" t="s">
        <v>1321</v>
      </c>
      <c r="I773" s="6" t="s">
        <v>3080</v>
      </c>
      <c r="J773" s="6" t="s">
        <v>1276</v>
      </c>
      <c r="K773" s="37" t="s">
        <v>3644</v>
      </c>
      <c r="L773" t="s">
        <v>3667</v>
      </c>
    </row>
    <row r="774" spans="1:12">
      <c r="A774" s="17">
        <v>773</v>
      </c>
      <c r="B774" s="6" t="s">
        <v>1710</v>
      </c>
      <c r="C774" s="7">
        <v>2022006563</v>
      </c>
      <c r="D774" s="7">
        <v>2201010942</v>
      </c>
      <c r="E774" s="7" t="s">
        <v>1802</v>
      </c>
      <c r="F774" s="7" t="e">
        <f>VLOOKUP(C774,'Fast Track '!B:C,2,FALSE)</f>
        <v>#N/A</v>
      </c>
      <c r="G774" s="7" t="s">
        <v>3707</v>
      </c>
      <c r="H774" s="6" t="s">
        <v>1711</v>
      </c>
      <c r="I774" s="6" t="s">
        <v>3082</v>
      </c>
      <c r="J774" s="6" t="s">
        <v>1276</v>
      </c>
      <c r="K774" s="37" t="s">
        <v>3644</v>
      </c>
      <c r="L774" t="s">
        <v>3667</v>
      </c>
    </row>
    <row r="775" spans="1:12">
      <c r="A775" s="17">
        <v>774</v>
      </c>
      <c r="B775" s="6" t="s">
        <v>1714</v>
      </c>
      <c r="C775" s="7">
        <v>2022006893</v>
      </c>
      <c r="D775" s="7">
        <v>2201010943</v>
      </c>
      <c r="E775" s="7" t="s">
        <v>1802</v>
      </c>
      <c r="F775" s="7" t="e">
        <f>VLOOKUP(C775,'Fast Track '!B:C,2,FALSE)</f>
        <v>#N/A</v>
      </c>
      <c r="G775" s="7" t="s">
        <v>3707</v>
      </c>
      <c r="H775" s="6" t="s">
        <v>1715</v>
      </c>
      <c r="I775" s="6" t="s">
        <v>3084</v>
      </c>
      <c r="J775" s="6" t="s">
        <v>1276</v>
      </c>
      <c r="K775" s="37" t="s">
        <v>3644</v>
      </c>
      <c r="L775" t="s">
        <v>3667</v>
      </c>
    </row>
    <row r="776" spans="1:12">
      <c r="A776" s="17">
        <v>775</v>
      </c>
      <c r="B776" s="6" t="s">
        <v>1720</v>
      </c>
      <c r="C776" s="7">
        <v>2022007789</v>
      </c>
      <c r="D776" s="7">
        <v>2201010945</v>
      </c>
      <c r="E776" s="7" t="s">
        <v>1802</v>
      </c>
      <c r="F776" s="7" t="str">
        <f>VLOOKUP(C776,'Fast Track '!B:C,2,FALSE)</f>
        <v xml:space="preserve">Fasttrack </v>
      </c>
      <c r="G776" s="7"/>
      <c r="H776" s="6" t="s">
        <v>1721</v>
      </c>
      <c r="I776" s="6" t="s">
        <v>3086</v>
      </c>
      <c r="J776" s="6" t="s">
        <v>1276</v>
      </c>
      <c r="K776" s="37" t="s">
        <v>3644</v>
      </c>
      <c r="L776" t="s">
        <v>3667</v>
      </c>
    </row>
    <row r="777" spans="1:12">
      <c r="A777" s="17">
        <v>776</v>
      </c>
      <c r="B777" s="6" t="s">
        <v>1780</v>
      </c>
      <c r="C777" s="7">
        <v>2022565521</v>
      </c>
      <c r="D777" s="7">
        <v>2201010948</v>
      </c>
      <c r="E777" s="7" t="s">
        <v>1802</v>
      </c>
      <c r="F777" s="7" t="e">
        <f>VLOOKUP(C777,'Fast Track '!B:C,2,FALSE)</f>
        <v>#N/A</v>
      </c>
      <c r="G777" s="7" t="s">
        <v>3707</v>
      </c>
      <c r="H777" s="6" t="s">
        <v>1781</v>
      </c>
      <c r="I777" s="6" t="s">
        <v>3088</v>
      </c>
      <c r="J777" s="6" t="s">
        <v>1276</v>
      </c>
      <c r="K777" s="37" t="s">
        <v>3644</v>
      </c>
      <c r="L777" t="s">
        <v>3667</v>
      </c>
    </row>
    <row r="778" spans="1:12">
      <c r="A778" s="17">
        <v>777</v>
      </c>
      <c r="B778" s="6" t="s">
        <v>1782</v>
      </c>
      <c r="C778" s="7">
        <v>2022573142</v>
      </c>
      <c r="D778" s="7">
        <v>2201010949</v>
      </c>
      <c r="E778" s="7" t="s">
        <v>1802</v>
      </c>
      <c r="F778" s="7" t="e">
        <f>VLOOKUP(C778,'Fast Track '!B:C,2,FALSE)</f>
        <v>#N/A</v>
      </c>
      <c r="G778" s="7" t="s">
        <v>3707</v>
      </c>
      <c r="H778" s="6" t="s">
        <v>1783</v>
      </c>
      <c r="I778" s="6" t="s">
        <v>3090</v>
      </c>
      <c r="J778" s="6" t="s">
        <v>1276</v>
      </c>
      <c r="K778" s="37" t="s">
        <v>3644</v>
      </c>
      <c r="L778" t="s">
        <v>3667</v>
      </c>
    </row>
    <row r="779" spans="1:12">
      <c r="A779" s="17">
        <v>778</v>
      </c>
      <c r="B779" s="6" t="s">
        <v>1784</v>
      </c>
      <c r="C779" s="7">
        <v>2022586591</v>
      </c>
      <c r="D779" s="7">
        <v>2201010950</v>
      </c>
      <c r="E779" s="7" t="s">
        <v>1802</v>
      </c>
      <c r="F779" s="7" t="e">
        <f>VLOOKUP(C779,'Fast Track '!B:C,2,FALSE)</f>
        <v>#N/A</v>
      </c>
      <c r="G779" s="7" t="s">
        <v>3707</v>
      </c>
      <c r="H779" s="6" t="s">
        <v>1785</v>
      </c>
      <c r="I779" s="6" t="s">
        <v>3092</v>
      </c>
      <c r="J779" s="6" t="s">
        <v>1276</v>
      </c>
      <c r="K779" s="37" t="s">
        <v>3644</v>
      </c>
      <c r="L779" t="s">
        <v>3667</v>
      </c>
    </row>
    <row r="780" spans="1:12">
      <c r="A780" s="17">
        <v>779</v>
      </c>
      <c r="B780" s="6" t="s">
        <v>1359</v>
      </c>
      <c r="C780" s="7">
        <v>2022599098</v>
      </c>
      <c r="D780" s="7">
        <v>2201010951</v>
      </c>
      <c r="E780" s="7" t="s">
        <v>1802</v>
      </c>
      <c r="F780" s="7" t="e">
        <f>VLOOKUP(C780,'Fast Track '!B:C,2,FALSE)</f>
        <v>#N/A</v>
      </c>
      <c r="G780" s="7" t="s">
        <v>3707</v>
      </c>
      <c r="H780" s="6" t="s">
        <v>1360</v>
      </c>
      <c r="I780" s="6" t="s">
        <v>3094</v>
      </c>
      <c r="J780" s="6" t="s">
        <v>1276</v>
      </c>
      <c r="K780" s="37" t="s">
        <v>3644</v>
      </c>
      <c r="L780" t="s">
        <v>3667</v>
      </c>
    </row>
    <row r="781" spans="1:12">
      <c r="A781" s="17">
        <v>780</v>
      </c>
      <c r="B781" s="6" t="s">
        <v>1787</v>
      </c>
      <c r="C781" s="7">
        <v>2022618106</v>
      </c>
      <c r="D781" s="7">
        <v>2201010955</v>
      </c>
      <c r="E781" s="7" t="s">
        <v>1802</v>
      </c>
      <c r="F781" s="7" t="e">
        <f>VLOOKUP(C781,'Fast Track '!B:C,2,FALSE)</f>
        <v>#N/A</v>
      </c>
      <c r="G781" s="7" t="s">
        <v>3707</v>
      </c>
      <c r="H781" s="6" t="s">
        <v>1788</v>
      </c>
      <c r="I781" s="6" t="s">
        <v>3100</v>
      </c>
      <c r="J781" s="6" t="s">
        <v>1276</v>
      </c>
      <c r="K781" s="37" t="s">
        <v>3644</v>
      </c>
      <c r="L781" t="s">
        <v>3667</v>
      </c>
    </row>
    <row r="782" spans="1:12">
      <c r="A782" s="17">
        <v>781</v>
      </c>
      <c r="B782" s="6" t="s">
        <v>1607</v>
      </c>
      <c r="C782" s="7">
        <v>2022006231</v>
      </c>
      <c r="D782" s="7">
        <v>2201010016</v>
      </c>
      <c r="E782" s="7" t="s">
        <v>1814</v>
      </c>
      <c r="F782" s="7" t="e">
        <f>VLOOKUP(C782,'Fast Track '!B:C,2,FALSE)</f>
        <v>#N/A</v>
      </c>
      <c r="G782" s="7" t="s">
        <v>3707</v>
      </c>
      <c r="H782" s="6" t="s">
        <v>1608</v>
      </c>
      <c r="I782" s="6" t="s">
        <v>3522</v>
      </c>
      <c r="J782" s="35" t="s">
        <v>131</v>
      </c>
      <c r="K782" s="37" t="s">
        <v>3645</v>
      </c>
      <c r="L782" t="s">
        <v>3671</v>
      </c>
    </row>
    <row r="783" spans="1:12">
      <c r="A783" s="17">
        <v>782</v>
      </c>
      <c r="B783" s="6" t="s">
        <v>1629</v>
      </c>
      <c r="C783" s="7">
        <v>2022405514</v>
      </c>
      <c r="D783" s="7">
        <v>2201010031</v>
      </c>
      <c r="E783" s="7" t="s">
        <v>1814</v>
      </c>
      <c r="F783" s="7" t="e">
        <f>VLOOKUP(C783,'Fast Track '!B:C,2,FALSE)</f>
        <v>#N/A</v>
      </c>
      <c r="G783" s="7" t="s">
        <v>3707</v>
      </c>
      <c r="H783" s="6" t="s">
        <v>1630</v>
      </c>
      <c r="I783" s="6" t="s">
        <v>3526</v>
      </c>
      <c r="J783" s="35" t="s">
        <v>131</v>
      </c>
      <c r="K783" s="37" t="s">
        <v>3645</v>
      </c>
      <c r="L783" t="s">
        <v>3671</v>
      </c>
    </row>
    <row r="784" spans="1:12">
      <c r="A784" s="17">
        <v>783</v>
      </c>
      <c r="B784" s="6" t="s">
        <v>1617</v>
      </c>
      <c r="C784" s="7">
        <v>2022310618</v>
      </c>
      <c r="D784" s="7">
        <v>2201010037</v>
      </c>
      <c r="E784" s="7" t="s">
        <v>1814</v>
      </c>
      <c r="F784" s="7" t="e">
        <f>VLOOKUP(C784,'Fast Track '!B:C,2,FALSE)</f>
        <v>#N/A</v>
      </c>
      <c r="G784" s="7" t="s">
        <v>3707</v>
      </c>
      <c r="H784" s="6" t="s">
        <v>1618</v>
      </c>
      <c r="I784" s="6" t="s">
        <v>3528</v>
      </c>
      <c r="J784" s="35" t="s">
        <v>131</v>
      </c>
      <c r="K784" s="37" t="s">
        <v>3645</v>
      </c>
      <c r="L784" t="s">
        <v>3671</v>
      </c>
    </row>
    <row r="785" spans="1:12">
      <c r="A785" s="17">
        <v>784</v>
      </c>
      <c r="B785" s="6" t="s">
        <v>1651</v>
      </c>
      <c r="C785" s="7">
        <v>2022484226</v>
      </c>
      <c r="D785" s="7">
        <v>2201010040</v>
      </c>
      <c r="E785" s="7" t="s">
        <v>1814</v>
      </c>
      <c r="F785" s="7" t="e">
        <f>VLOOKUP(C785,'Fast Track '!B:C,2,FALSE)</f>
        <v>#N/A</v>
      </c>
      <c r="G785" s="7" t="s">
        <v>3707</v>
      </c>
      <c r="H785" s="6" t="s">
        <v>1652</v>
      </c>
      <c r="I785" s="6" t="s">
        <v>3530</v>
      </c>
      <c r="J785" s="35" t="s">
        <v>131</v>
      </c>
      <c r="K785" s="37" t="s">
        <v>3645</v>
      </c>
      <c r="L785" t="s">
        <v>3671</v>
      </c>
    </row>
    <row r="786" spans="1:12">
      <c r="A786" s="17">
        <v>785</v>
      </c>
      <c r="B786" s="6" t="s">
        <v>1645</v>
      </c>
      <c r="C786" s="7">
        <v>2022474671</v>
      </c>
      <c r="D786" s="7">
        <v>2201010057</v>
      </c>
      <c r="E786" s="7" t="s">
        <v>1814</v>
      </c>
      <c r="F786" s="7" t="e">
        <f>VLOOKUP(C786,'Fast Track '!B:C,2,FALSE)</f>
        <v>#N/A</v>
      </c>
      <c r="G786" s="7" t="s">
        <v>3707</v>
      </c>
      <c r="H786" s="6" t="s">
        <v>1646</v>
      </c>
      <c r="I786" s="6" t="s">
        <v>3532</v>
      </c>
      <c r="J786" s="35" t="s">
        <v>131</v>
      </c>
      <c r="K786" s="37" t="s">
        <v>3645</v>
      </c>
      <c r="L786" t="s">
        <v>3671</v>
      </c>
    </row>
    <row r="787" spans="1:12">
      <c r="A787" s="17">
        <v>786</v>
      </c>
      <c r="B787" s="6" t="s">
        <v>1637</v>
      </c>
      <c r="C787" s="7">
        <v>2022447404</v>
      </c>
      <c r="D787" s="7">
        <v>2201010072</v>
      </c>
      <c r="E787" s="7" t="s">
        <v>1814</v>
      </c>
      <c r="F787" s="7" t="e">
        <f>VLOOKUP(C787,'Fast Track '!B:C,2,FALSE)</f>
        <v>#N/A</v>
      </c>
      <c r="G787" s="7" t="s">
        <v>3707</v>
      </c>
      <c r="H787" s="6" t="s">
        <v>1638</v>
      </c>
      <c r="I787" s="6" t="s">
        <v>3534</v>
      </c>
      <c r="J787" s="35" t="s">
        <v>131</v>
      </c>
      <c r="K787" s="37" t="s">
        <v>3645</v>
      </c>
      <c r="L787" t="s">
        <v>3671</v>
      </c>
    </row>
    <row r="788" spans="1:12">
      <c r="A788" s="17">
        <v>787</v>
      </c>
      <c r="B788" s="6" t="s">
        <v>1641</v>
      </c>
      <c r="C788" s="7">
        <v>2022466374</v>
      </c>
      <c r="D788" s="7">
        <v>2201010142</v>
      </c>
      <c r="E788" s="7" t="s">
        <v>1814</v>
      </c>
      <c r="F788" s="7" t="e">
        <f>VLOOKUP(C788,'Fast Track '!B:C,2,FALSE)</f>
        <v>#N/A</v>
      </c>
      <c r="G788" s="7" t="s">
        <v>3707</v>
      </c>
      <c r="H788" s="6" t="s">
        <v>1642</v>
      </c>
      <c r="I788" s="6" t="s">
        <v>3536</v>
      </c>
      <c r="J788" s="35" t="s">
        <v>131</v>
      </c>
      <c r="K788" s="37" t="s">
        <v>3645</v>
      </c>
      <c r="L788" t="s">
        <v>3671</v>
      </c>
    </row>
    <row r="789" spans="1:12">
      <c r="A789" s="17">
        <v>788</v>
      </c>
      <c r="B789" s="6" t="s">
        <v>1635</v>
      </c>
      <c r="C789" s="7">
        <v>2022440656</v>
      </c>
      <c r="D789" s="7">
        <v>2201010143</v>
      </c>
      <c r="E789" s="7" t="s">
        <v>1814</v>
      </c>
      <c r="F789" s="7" t="e">
        <f>VLOOKUP(C789,'Fast Track '!B:C,2,FALSE)</f>
        <v>#N/A</v>
      </c>
      <c r="G789" s="7" t="s">
        <v>3707</v>
      </c>
      <c r="H789" s="6" t="s">
        <v>1636</v>
      </c>
      <c r="I789" s="6" t="s">
        <v>3538</v>
      </c>
      <c r="J789" s="35" t="s">
        <v>131</v>
      </c>
      <c r="K789" s="37" t="s">
        <v>3645</v>
      </c>
      <c r="L789" t="s">
        <v>3671</v>
      </c>
    </row>
    <row r="790" spans="1:12">
      <c r="A790" s="17">
        <v>789</v>
      </c>
      <c r="B790" s="6" t="s">
        <v>1379</v>
      </c>
      <c r="C790" s="7">
        <v>2022005319</v>
      </c>
      <c r="D790" s="7">
        <v>2201010173</v>
      </c>
      <c r="E790" s="7" t="s">
        <v>1814</v>
      </c>
      <c r="F790" s="7" t="e">
        <f>VLOOKUP(C790,'Fast Track '!B:C,2,FALSE)</f>
        <v>#N/A</v>
      </c>
      <c r="G790" s="7" t="s">
        <v>3707</v>
      </c>
      <c r="H790" s="6" t="s">
        <v>1602</v>
      </c>
      <c r="I790" s="6" t="s">
        <v>3540</v>
      </c>
      <c r="J790" s="35" t="s">
        <v>131</v>
      </c>
      <c r="K790" s="37" t="s">
        <v>3645</v>
      </c>
      <c r="L790" t="s">
        <v>3671</v>
      </c>
    </row>
    <row r="791" spans="1:12">
      <c r="A791" s="17">
        <v>790</v>
      </c>
      <c r="B791" s="6" t="s">
        <v>1598</v>
      </c>
      <c r="C791" s="7">
        <v>2022003898</v>
      </c>
      <c r="D791" s="7">
        <v>2201010198</v>
      </c>
      <c r="E791" s="7" t="s">
        <v>1814</v>
      </c>
      <c r="F791" s="7" t="e">
        <f>VLOOKUP(C791,'Fast Track '!B:C,2,FALSE)</f>
        <v>#N/A</v>
      </c>
      <c r="G791" s="7" t="s">
        <v>3707</v>
      </c>
      <c r="H791" s="6" t="s">
        <v>1599</v>
      </c>
      <c r="I791" s="6" t="s">
        <v>3542</v>
      </c>
      <c r="J791" s="35" t="s">
        <v>131</v>
      </c>
      <c r="K791" s="37" t="s">
        <v>3645</v>
      </c>
      <c r="L791" t="s">
        <v>3671</v>
      </c>
    </row>
    <row r="792" spans="1:12">
      <c r="A792" s="17">
        <v>791</v>
      </c>
      <c r="B792" s="6" t="s">
        <v>1663</v>
      </c>
      <c r="C792" s="7">
        <v>2022512685</v>
      </c>
      <c r="D792" s="7">
        <v>2201010230</v>
      </c>
      <c r="E792" s="7" t="s">
        <v>1814</v>
      </c>
      <c r="F792" s="7" t="e">
        <f>VLOOKUP(C792,'Fast Track '!B:C,2,FALSE)</f>
        <v>#N/A</v>
      </c>
      <c r="G792" s="7" t="s">
        <v>3707</v>
      </c>
      <c r="H792" s="6" t="s">
        <v>1664</v>
      </c>
      <c r="I792" s="6" t="s">
        <v>3544</v>
      </c>
      <c r="J792" s="35" t="s">
        <v>131</v>
      </c>
      <c r="K792" s="37" t="s">
        <v>3645</v>
      </c>
      <c r="L792" t="s">
        <v>3671</v>
      </c>
    </row>
    <row r="793" spans="1:12">
      <c r="A793" s="17">
        <v>792</v>
      </c>
      <c r="B793" s="6" t="s">
        <v>1631</v>
      </c>
      <c r="C793" s="7">
        <v>2022407190</v>
      </c>
      <c r="D793" s="7">
        <v>2201010232</v>
      </c>
      <c r="E793" s="7" t="s">
        <v>1814</v>
      </c>
      <c r="F793" s="7" t="e">
        <f>VLOOKUP(C793,'Fast Track '!B:C,2,FALSE)</f>
        <v>#N/A</v>
      </c>
      <c r="G793" s="7" t="s">
        <v>3707</v>
      </c>
      <c r="H793" s="6" t="s">
        <v>1632</v>
      </c>
      <c r="I793" s="6" t="s">
        <v>3546</v>
      </c>
      <c r="J793" s="35" t="s">
        <v>131</v>
      </c>
      <c r="K793" s="37" t="s">
        <v>3645</v>
      </c>
      <c r="L793" t="s">
        <v>3671</v>
      </c>
    </row>
    <row r="794" spans="1:12">
      <c r="A794" s="17">
        <v>793</v>
      </c>
      <c r="B794" s="6" t="s">
        <v>129</v>
      </c>
      <c r="C794" s="7">
        <v>2022498160</v>
      </c>
      <c r="D794" s="7">
        <v>2201010240</v>
      </c>
      <c r="E794" s="7" t="s">
        <v>1814</v>
      </c>
      <c r="F794" s="7" t="e">
        <f>VLOOKUP(C794,'Fast Track '!B:C,2,FALSE)</f>
        <v>#N/A</v>
      </c>
      <c r="G794" s="7" t="s">
        <v>3707</v>
      </c>
      <c r="H794" s="6" t="s">
        <v>130</v>
      </c>
      <c r="I794" s="6" t="s">
        <v>3548</v>
      </c>
      <c r="J794" s="35" t="s">
        <v>131</v>
      </c>
      <c r="K794" s="37" t="s">
        <v>3645</v>
      </c>
      <c r="L794" t="s">
        <v>3671</v>
      </c>
    </row>
    <row r="795" spans="1:12">
      <c r="A795" s="17">
        <v>794</v>
      </c>
      <c r="B795" s="6" t="s">
        <v>895</v>
      </c>
      <c r="C795" s="7">
        <v>2022319788</v>
      </c>
      <c r="D795" s="7">
        <v>2201010248</v>
      </c>
      <c r="E795" s="7" t="s">
        <v>1814</v>
      </c>
      <c r="F795" s="7" t="e">
        <f>VLOOKUP(C795,'Fast Track '!B:C,2,FALSE)</f>
        <v>#N/A</v>
      </c>
      <c r="G795" s="7" t="s">
        <v>3707</v>
      </c>
      <c r="H795" s="6" t="s">
        <v>896</v>
      </c>
      <c r="I795" s="6" t="s">
        <v>3550</v>
      </c>
      <c r="J795" s="35" t="s">
        <v>131</v>
      </c>
      <c r="K795" s="37" t="s">
        <v>3645</v>
      </c>
      <c r="L795" t="s">
        <v>3671</v>
      </c>
    </row>
    <row r="796" spans="1:12">
      <c r="A796" s="17">
        <v>795</v>
      </c>
      <c r="B796" s="6" t="s">
        <v>1627</v>
      </c>
      <c r="C796" s="7">
        <v>2022395985</v>
      </c>
      <c r="D796" s="7">
        <v>2201010258</v>
      </c>
      <c r="E796" s="7" t="s">
        <v>1814</v>
      </c>
      <c r="F796" s="7" t="e">
        <f>VLOOKUP(C796,'Fast Track '!B:C,2,FALSE)</f>
        <v>#N/A</v>
      </c>
      <c r="G796" s="7" t="s">
        <v>3707</v>
      </c>
      <c r="H796" s="6" t="s">
        <v>1628</v>
      </c>
      <c r="I796" s="6" t="s">
        <v>3552</v>
      </c>
      <c r="J796" s="35" t="s">
        <v>131</v>
      </c>
      <c r="K796" s="37" t="s">
        <v>3645</v>
      </c>
      <c r="L796" t="s">
        <v>3671</v>
      </c>
    </row>
    <row r="797" spans="1:12">
      <c r="A797" s="17">
        <v>796</v>
      </c>
      <c r="B797" s="6" t="s">
        <v>1667</v>
      </c>
      <c r="C797" s="7">
        <v>2022552126</v>
      </c>
      <c r="D797" s="7">
        <v>2201010260</v>
      </c>
      <c r="E797" s="7" t="s">
        <v>1814</v>
      </c>
      <c r="F797" s="7" t="e">
        <f>VLOOKUP(C797,'Fast Track '!B:C,2,FALSE)</f>
        <v>#N/A</v>
      </c>
      <c r="G797" s="7" t="s">
        <v>3707</v>
      </c>
      <c r="H797" s="6" t="s">
        <v>1668</v>
      </c>
      <c r="I797" s="6" t="s">
        <v>3554</v>
      </c>
      <c r="J797" s="35" t="s">
        <v>131</v>
      </c>
      <c r="K797" s="37" t="s">
        <v>3645</v>
      </c>
      <c r="L797" t="s">
        <v>3671</v>
      </c>
    </row>
    <row r="798" spans="1:12">
      <c r="A798" s="17">
        <v>797</v>
      </c>
      <c r="B798" s="6" t="s">
        <v>1657</v>
      </c>
      <c r="C798" s="7">
        <v>2022508051</v>
      </c>
      <c r="D798" s="7">
        <v>2201010301</v>
      </c>
      <c r="E798" s="7" t="s">
        <v>1814</v>
      </c>
      <c r="F798" s="7" t="e">
        <f>VLOOKUP(C798,'Fast Track '!B:C,2,FALSE)</f>
        <v>#N/A</v>
      </c>
      <c r="G798" s="7" t="s">
        <v>3707</v>
      </c>
      <c r="H798" s="6" t="s">
        <v>1658</v>
      </c>
      <c r="I798" s="6" t="s">
        <v>3556</v>
      </c>
      <c r="J798" s="35" t="s">
        <v>131</v>
      </c>
      <c r="K798" s="37" t="s">
        <v>3645</v>
      </c>
      <c r="L798" t="s">
        <v>3671</v>
      </c>
    </row>
    <row r="799" spans="1:12">
      <c r="A799" s="17">
        <v>798</v>
      </c>
      <c r="B799" s="6" t="s">
        <v>1621</v>
      </c>
      <c r="C799" s="7">
        <v>2022346529</v>
      </c>
      <c r="D799" s="7">
        <v>2201010324</v>
      </c>
      <c r="E799" s="7" t="s">
        <v>1814</v>
      </c>
      <c r="F799" s="7" t="e">
        <f>VLOOKUP(C799,'Fast Track '!B:C,2,FALSE)</f>
        <v>#N/A</v>
      </c>
      <c r="G799" s="7" t="s">
        <v>3707</v>
      </c>
      <c r="H799" s="6" t="s">
        <v>1622</v>
      </c>
      <c r="I799" s="6" t="s">
        <v>3558</v>
      </c>
      <c r="J799" s="35" t="s">
        <v>131</v>
      </c>
      <c r="K799" s="37" t="s">
        <v>3645</v>
      </c>
      <c r="L799" t="s">
        <v>3671</v>
      </c>
    </row>
    <row r="800" spans="1:12">
      <c r="A800" s="17">
        <v>799</v>
      </c>
      <c r="B800" s="6" t="s">
        <v>1677</v>
      </c>
      <c r="C800" s="7">
        <v>2022806985</v>
      </c>
      <c r="D800" s="7">
        <v>2201010394</v>
      </c>
      <c r="E800" s="7" t="s">
        <v>1814</v>
      </c>
      <c r="F800" s="7" t="e">
        <f>VLOOKUP(C800,'Fast Track '!B:C,2,FALSE)</f>
        <v>#N/A</v>
      </c>
      <c r="G800" s="7" t="s">
        <v>3707</v>
      </c>
      <c r="H800" s="6" t="s">
        <v>1678</v>
      </c>
      <c r="I800" s="6" t="s">
        <v>3560</v>
      </c>
      <c r="J800" s="35" t="s">
        <v>131</v>
      </c>
      <c r="K800" s="37" t="s">
        <v>3645</v>
      </c>
      <c r="L800" t="s">
        <v>3671</v>
      </c>
    </row>
    <row r="801" spans="1:12">
      <c r="A801" s="17">
        <v>800</v>
      </c>
      <c r="B801" s="6" t="s">
        <v>1600</v>
      </c>
      <c r="C801" s="7">
        <v>2022004628</v>
      </c>
      <c r="D801" s="7">
        <v>2201010465</v>
      </c>
      <c r="E801" s="7" t="s">
        <v>1814</v>
      </c>
      <c r="F801" s="7" t="e">
        <f>VLOOKUP(C801,'Fast Track '!B:C,2,FALSE)</f>
        <v>#N/A</v>
      </c>
      <c r="G801" s="7" t="s">
        <v>3707</v>
      </c>
      <c r="H801" s="6" t="s">
        <v>1601</v>
      </c>
      <c r="I801" s="6" t="s">
        <v>3564</v>
      </c>
      <c r="J801" s="35" t="s">
        <v>131</v>
      </c>
      <c r="K801" s="37" t="s">
        <v>3645</v>
      </c>
      <c r="L801" t="s">
        <v>3671</v>
      </c>
    </row>
    <row r="802" spans="1:12">
      <c r="A802" s="17">
        <v>801</v>
      </c>
      <c r="B802" s="6" t="s">
        <v>1665</v>
      </c>
      <c r="C802" s="7">
        <v>2022515845</v>
      </c>
      <c r="D802" s="7">
        <v>2201010470</v>
      </c>
      <c r="E802" s="7" t="s">
        <v>1814</v>
      </c>
      <c r="F802" s="7" t="e">
        <f>VLOOKUP(C802,'Fast Track '!B:C,2,FALSE)</f>
        <v>#N/A</v>
      </c>
      <c r="G802" s="7" t="s">
        <v>3707</v>
      </c>
      <c r="H802" s="6" t="s">
        <v>1666</v>
      </c>
      <c r="I802" s="6" t="s">
        <v>3566</v>
      </c>
      <c r="J802" s="35" t="s">
        <v>131</v>
      </c>
      <c r="K802" s="37" t="s">
        <v>3645</v>
      </c>
      <c r="L802" t="s">
        <v>3671</v>
      </c>
    </row>
    <row r="803" spans="1:12">
      <c r="A803" s="17">
        <v>802</v>
      </c>
      <c r="B803" s="6" t="s">
        <v>1661</v>
      </c>
      <c r="C803" s="7">
        <v>2022512684</v>
      </c>
      <c r="D803" s="7">
        <v>2201010493</v>
      </c>
      <c r="E803" s="7" t="s">
        <v>1814</v>
      </c>
      <c r="F803" s="7" t="e">
        <f>VLOOKUP(C803,'Fast Track '!B:C,2,FALSE)</f>
        <v>#N/A</v>
      </c>
      <c r="G803" s="7" t="s">
        <v>3707</v>
      </c>
      <c r="H803" s="6" t="s">
        <v>1662</v>
      </c>
      <c r="I803" s="6" t="s">
        <v>3568</v>
      </c>
      <c r="J803" s="35" t="s">
        <v>131</v>
      </c>
      <c r="K803" s="37" t="s">
        <v>3645</v>
      </c>
      <c r="L803" t="s">
        <v>3671</v>
      </c>
    </row>
    <row r="804" spans="1:12">
      <c r="A804" s="17">
        <v>803</v>
      </c>
      <c r="B804" s="6" t="s">
        <v>1619</v>
      </c>
      <c r="C804" s="7">
        <v>2022313141</v>
      </c>
      <c r="D804" s="7">
        <v>2201010511</v>
      </c>
      <c r="E804" s="7" t="s">
        <v>1814</v>
      </c>
      <c r="F804" s="7" t="e">
        <f>VLOOKUP(C804,'Fast Track '!B:C,2,FALSE)</f>
        <v>#N/A</v>
      </c>
      <c r="G804" s="7" t="s">
        <v>3707</v>
      </c>
      <c r="H804" s="6" t="s">
        <v>1620</v>
      </c>
      <c r="I804" s="6" t="s">
        <v>3570</v>
      </c>
      <c r="J804" s="35" t="s">
        <v>131</v>
      </c>
      <c r="K804" s="37" t="s">
        <v>3644</v>
      </c>
      <c r="L804" t="s">
        <v>3671</v>
      </c>
    </row>
    <row r="805" spans="1:12">
      <c r="A805" s="17">
        <v>804</v>
      </c>
      <c r="B805" s="6" t="s">
        <v>1649</v>
      </c>
      <c r="C805" s="7">
        <v>2022482472</v>
      </c>
      <c r="D805" s="7">
        <v>2201010542</v>
      </c>
      <c r="E805" s="7" t="s">
        <v>1814</v>
      </c>
      <c r="F805" s="7" t="e">
        <f>VLOOKUP(C805,'Fast Track '!B:C,2,FALSE)</f>
        <v>#N/A</v>
      </c>
      <c r="G805" s="7" t="s">
        <v>3707</v>
      </c>
      <c r="H805" s="6" t="s">
        <v>1650</v>
      </c>
      <c r="I805" s="6" t="s">
        <v>3572</v>
      </c>
      <c r="J805" s="35" t="s">
        <v>131</v>
      </c>
      <c r="K805" s="37" t="s">
        <v>3644</v>
      </c>
      <c r="L805" t="s">
        <v>3671</v>
      </c>
    </row>
    <row r="806" spans="1:12">
      <c r="A806" s="17">
        <v>805</v>
      </c>
      <c r="B806" s="6" t="s">
        <v>1605</v>
      </c>
      <c r="C806" s="7">
        <v>2022005894</v>
      </c>
      <c r="D806" s="7">
        <v>2201010554</v>
      </c>
      <c r="E806" s="7" t="s">
        <v>1814</v>
      </c>
      <c r="F806" s="7" t="e">
        <f>VLOOKUP(C806,'Fast Track '!B:C,2,FALSE)</f>
        <v>#N/A</v>
      </c>
      <c r="G806" s="7" t="s">
        <v>3707</v>
      </c>
      <c r="H806" s="6" t="s">
        <v>1606</v>
      </c>
      <c r="I806" s="6" t="s">
        <v>3574</v>
      </c>
      <c r="J806" s="35" t="s">
        <v>131</v>
      </c>
      <c r="K806" s="37" t="s">
        <v>3644</v>
      </c>
      <c r="L806" t="s">
        <v>3671</v>
      </c>
    </row>
    <row r="807" spans="1:12">
      <c r="A807" s="17">
        <v>806</v>
      </c>
      <c r="B807" s="6" t="s">
        <v>1655</v>
      </c>
      <c r="C807" s="7">
        <v>2022506566</v>
      </c>
      <c r="D807" s="7">
        <v>2201010610</v>
      </c>
      <c r="E807" s="7" t="s">
        <v>1814</v>
      </c>
      <c r="F807" s="7" t="e">
        <f>VLOOKUP(C807,'Fast Track '!B:C,2,FALSE)</f>
        <v>#N/A</v>
      </c>
      <c r="G807" s="7" t="s">
        <v>3707</v>
      </c>
      <c r="H807" s="6" t="s">
        <v>1656</v>
      </c>
      <c r="I807" s="6" t="s">
        <v>3576</v>
      </c>
      <c r="J807" s="35" t="s">
        <v>131</v>
      </c>
      <c r="K807" s="37" t="s">
        <v>3644</v>
      </c>
      <c r="L807" t="s">
        <v>3671</v>
      </c>
    </row>
    <row r="808" spans="1:12">
      <c r="A808" s="17">
        <v>807</v>
      </c>
      <c r="B808" s="6" t="s">
        <v>1659</v>
      </c>
      <c r="C808" s="7">
        <v>2022509145</v>
      </c>
      <c r="D808" s="7">
        <v>2201010627</v>
      </c>
      <c r="E808" s="7" t="s">
        <v>1814</v>
      </c>
      <c r="F808" s="7" t="e">
        <f>VLOOKUP(C808,'Fast Track '!B:C,2,FALSE)</f>
        <v>#N/A</v>
      </c>
      <c r="G808" s="7" t="s">
        <v>3707</v>
      </c>
      <c r="H808" s="6" t="s">
        <v>1660</v>
      </c>
      <c r="I808" s="6" t="s">
        <v>3578</v>
      </c>
      <c r="J808" s="35" t="s">
        <v>131</v>
      </c>
      <c r="K808" s="37" t="s">
        <v>3644</v>
      </c>
      <c r="L808" t="s">
        <v>3671</v>
      </c>
    </row>
    <row r="809" spans="1:12">
      <c r="A809" s="17">
        <v>808</v>
      </c>
      <c r="B809" s="6" t="s">
        <v>1391</v>
      </c>
      <c r="C809" s="7">
        <v>2022001202</v>
      </c>
      <c r="D809" s="7">
        <v>2201010640</v>
      </c>
      <c r="E809" s="7" t="s">
        <v>1814</v>
      </c>
      <c r="F809" s="7" t="e">
        <f>VLOOKUP(C809,'Fast Track '!B:C,2,FALSE)</f>
        <v>#N/A</v>
      </c>
      <c r="G809" s="7" t="s">
        <v>3707</v>
      </c>
      <c r="H809" s="6" t="s">
        <v>1392</v>
      </c>
      <c r="I809" s="6" t="s">
        <v>3580</v>
      </c>
      <c r="J809" s="35" t="s">
        <v>131</v>
      </c>
      <c r="K809" s="37" t="s">
        <v>3644</v>
      </c>
      <c r="L809" t="s">
        <v>3671</v>
      </c>
    </row>
    <row r="810" spans="1:12">
      <c r="A810" s="17">
        <v>809</v>
      </c>
      <c r="B810" s="6" t="s">
        <v>1603</v>
      </c>
      <c r="C810" s="7">
        <v>2022005556</v>
      </c>
      <c r="D810" s="7">
        <v>2201010703</v>
      </c>
      <c r="E810" s="7" t="s">
        <v>1814</v>
      </c>
      <c r="F810" s="7" t="e">
        <f>VLOOKUP(C810,'Fast Track '!B:C,2,FALSE)</f>
        <v>#N/A</v>
      </c>
      <c r="G810" s="7" t="s">
        <v>3707</v>
      </c>
      <c r="H810" s="6" t="s">
        <v>1604</v>
      </c>
      <c r="I810" s="6" t="s">
        <v>3582</v>
      </c>
      <c r="J810" s="35" t="s">
        <v>131</v>
      </c>
      <c r="K810" s="37" t="s">
        <v>3644</v>
      </c>
      <c r="L810" t="s">
        <v>3671</v>
      </c>
    </row>
    <row r="811" spans="1:12">
      <c r="A811" s="17">
        <v>810</v>
      </c>
      <c r="B811" s="6" t="s">
        <v>1623</v>
      </c>
      <c r="C811" s="7">
        <v>2022350649</v>
      </c>
      <c r="D811" s="7">
        <v>2201010714</v>
      </c>
      <c r="E811" s="7" t="s">
        <v>1814</v>
      </c>
      <c r="F811" s="7" t="e">
        <f>VLOOKUP(C811,'Fast Track '!B:C,2,FALSE)</f>
        <v>#N/A</v>
      </c>
      <c r="G811" s="7" t="s">
        <v>3707</v>
      </c>
      <c r="H811" s="6" t="s">
        <v>1624</v>
      </c>
      <c r="I811" s="6" t="s">
        <v>3584</v>
      </c>
      <c r="J811" s="35" t="s">
        <v>131</v>
      </c>
      <c r="K811" s="37" t="s">
        <v>3644</v>
      </c>
      <c r="L811" t="s">
        <v>3671</v>
      </c>
    </row>
    <row r="812" spans="1:12">
      <c r="A812" s="17">
        <v>811</v>
      </c>
      <c r="B812" s="6" t="s">
        <v>1679</v>
      </c>
      <c r="C812" s="7">
        <v>2022817674</v>
      </c>
      <c r="D812" s="7">
        <v>2201010752</v>
      </c>
      <c r="E812" s="7" t="s">
        <v>1814</v>
      </c>
      <c r="F812" s="7" t="e">
        <f>VLOOKUP(C812,'Fast Track '!B:C,2,FALSE)</f>
        <v>#N/A</v>
      </c>
      <c r="G812" s="7" t="s">
        <v>3707</v>
      </c>
      <c r="H812" s="6" t="s">
        <v>1680</v>
      </c>
      <c r="I812" s="6" t="s">
        <v>3586</v>
      </c>
      <c r="J812" s="35" t="s">
        <v>131</v>
      </c>
      <c r="K812" s="37" t="s">
        <v>3644</v>
      </c>
      <c r="L812" t="s">
        <v>3671</v>
      </c>
    </row>
    <row r="813" spans="1:12">
      <c r="A813" s="17">
        <v>812</v>
      </c>
      <c r="B813" s="6" t="s">
        <v>1633</v>
      </c>
      <c r="C813" s="7">
        <v>2022439682</v>
      </c>
      <c r="D813" s="7">
        <v>2201010753</v>
      </c>
      <c r="E813" s="7" t="s">
        <v>1814</v>
      </c>
      <c r="F813" s="7" t="e">
        <f>VLOOKUP(C813,'Fast Track '!B:C,2,FALSE)</f>
        <v>#N/A</v>
      </c>
      <c r="G813" s="7" t="s">
        <v>3707</v>
      </c>
      <c r="H813" s="6" t="s">
        <v>1634</v>
      </c>
      <c r="I813" s="6" t="s">
        <v>3588</v>
      </c>
      <c r="J813" s="35" t="s">
        <v>131</v>
      </c>
      <c r="K813" s="37" t="s">
        <v>3644</v>
      </c>
      <c r="L813" t="s">
        <v>3671</v>
      </c>
    </row>
    <row r="814" spans="1:12">
      <c r="A814" s="17">
        <v>813</v>
      </c>
      <c r="B814" s="6" t="s">
        <v>1609</v>
      </c>
      <c r="C814" s="7">
        <v>2022006271</v>
      </c>
      <c r="D814" s="7">
        <v>2201010769</v>
      </c>
      <c r="E814" s="7" t="s">
        <v>1814</v>
      </c>
      <c r="F814" s="7" t="e">
        <f>VLOOKUP(C814,'Fast Track '!B:C,2,FALSE)</f>
        <v>#N/A</v>
      </c>
      <c r="G814" s="7" t="s">
        <v>3707</v>
      </c>
      <c r="H814" s="6" t="s">
        <v>1610</v>
      </c>
      <c r="I814" s="6" t="s">
        <v>3590</v>
      </c>
      <c r="J814" s="35" t="s">
        <v>131</v>
      </c>
      <c r="K814" s="37" t="s">
        <v>3644</v>
      </c>
      <c r="L814" t="s">
        <v>3671</v>
      </c>
    </row>
    <row r="815" spans="1:12">
      <c r="A815" s="17">
        <v>814</v>
      </c>
      <c r="B815" s="6" t="s">
        <v>1594</v>
      </c>
      <c r="C815" s="7">
        <v>2022003490</v>
      </c>
      <c r="D815" s="7">
        <v>2201010783</v>
      </c>
      <c r="E815" s="7" t="s">
        <v>1814</v>
      </c>
      <c r="F815" s="7" t="e">
        <f>VLOOKUP(C815,'Fast Track '!B:C,2,FALSE)</f>
        <v>#N/A</v>
      </c>
      <c r="G815" s="7" t="s">
        <v>3707</v>
      </c>
      <c r="H815" s="6" t="s">
        <v>1595</v>
      </c>
      <c r="I815" s="6" t="s">
        <v>3592</v>
      </c>
      <c r="J815" s="35" t="s">
        <v>131</v>
      </c>
      <c r="K815" s="37" t="s">
        <v>3644</v>
      </c>
      <c r="L815" t="s">
        <v>3671</v>
      </c>
    </row>
    <row r="816" spans="1:12">
      <c r="A816" s="17">
        <v>815</v>
      </c>
      <c r="B816" s="6" t="s">
        <v>1653</v>
      </c>
      <c r="C816" s="7">
        <v>2022492708</v>
      </c>
      <c r="D816" s="7">
        <v>2201010785</v>
      </c>
      <c r="E816" s="7" t="s">
        <v>1814</v>
      </c>
      <c r="F816" s="7" t="e">
        <f>VLOOKUP(C816,'Fast Track '!B:C,2,FALSE)</f>
        <v>#N/A</v>
      </c>
      <c r="G816" s="7" t="s">
        <v>3707</v>
      </c>
      <c r="H816" s="6" t="s">
        <v>1654</v>
      </c>
      <c r="I816" s="6" t="s">
        <v>3594</v>
      </c>
      <c r="J816" s="35" t="s">
        <v>131</v>
      </c>
      <c r="K816" s="37" t="s">
        <v>3644</v>
      </c>
      <c r="L816" t="s">
        <v>3671</v>
      </c>
    </row>
    <row r="817" spans="1:12">
      <c r="A817" s="17">
        <v>816</v>
      </c>
      <c r="B817" s="6" t="s">
        <v>1673</v>
      </c>
      <c r="C817" s="7">
        <v>2022801912</v>
      </c>
      <c r="D817" s="7">
        <v>2201010803</v>
      </c>
      <c r="E817" s="7" t="s">
        <v>1814</v>
      </c>
      <c r="F817" s="7" t="e">
        <f>VLOOKUP(C817,'Fast Track '!B:C,2,FALSE)</f>
        <v>#N/A</v>
      </c>
      <c r="G817" s="7" t="s">
        <v>3707</v>
      </c>
      <c r="H817" s="6" t="s">
        <v>1674</v>
      </c>
      <c r="I817" s="6" t="s">
        <v>3596</v>
      </c>
      <c r="J817" s="35" t="s">
        <v>131</v>
      </c>
      <c r="K817" s="37" t="s">
        <v>3644</v>
      </c>
      <c r="L817" t="s">
        <v>3671</v>
      </c>
    </row>
    <row r="818" spans="1:12">
      <c r="A818" s="17">
        <v>817</v>
      </c>
      <c r="B818" s="6" t="s">
        <v>1675</v>
      </c>
      <c r="C818" s="7">
        <v>2022805927</v>
      </c>
      <c r="D818" s="7">
        <v>2201010819</v>
      </c>
      <c r="E818" s="7" t="s">
        <v>1814</v>
      </c>
      <c r="F818" s="7" t="e">
        <f>VLOOKUP(C818,'Fast Track '!B:C,2,FALSE)</f>
        <v>#N/A</v>
      </c>
      <c r="G818" s="7" t="s">
        <v>3707</v>
      </c>
      <c r="H818" s="6" t="s">
        <v>1676</v>
      </c>
      <c r="I818" s="6" t="s">
        <v>3598</v>
      </c>
      <c r="J818" s="35" t="s">
        <v>131</v>
      </c>
      <c r="K818" s="37" t="s">
        <v>3644</v>
      </c>
      <c r="L818" t="s">
        <v>3671</v>
      </c>
    </row>
    <row r="819" spans="1:12">
      <c r="A819" s="17">
        <v>818</v>
      </c>
      <c r="B819" s="6" t="s">
        <v>175</v>
      </c>
      <c r="C819" s="7">
        <v>2022387644</v>
      </c>
      <c r="D819" s="7">
        <v>2201010982</v>
      </c>
      <c r="E819" s="7" t="s">
        <v>1814</v>
      </c>
      <c r="F819" s="7" t="e">
        <f>VLOOKUP(C819,'Fast Track '!B:C,2,FALSE)</f>
        <v>#N/A</v>
      </c>
      <c r="G819" s="7" t="s">
        <v>3707</v>
      </c>
      <c r="H819" s="6" t="s">
        <v>1455</v>
      </c>
      <c r="I819" s="6" t="s">
        <v>3600</v>
      </c>
      <c r="J819" s="35" t="s">
        <v>131</v>
      </c>
      <c r="K819" s="37" t="s">
        <v>3644</v>
      </c>
      <c r="L819" t="s">
        <v>3671</v>
      </c>
    </row>
    <row r="820" spans="1:12">
      <c r="A820" s="17">
        <v>819</v>
      </c>
      <c r="B820" s="6" t="s">
        <v>1669</v>
      </c>
      <c r="C820" s="7">
        <v>2022570125</v>
      </c>
      <c r="D820" s="7">
        <v>2201010983</v>
      </c>
      <c r="E820" s="7" t="s">
        <v>1814</v>
      </c>
      <c r="F820" s="7" t="e">
        <f>VLOOKUP(C820,'Fast Track '!B:C,2,FALSE)</f>
        <v>#N/A</v>
      </c>
      <c r="G820" s="7" t="s">
        <v>3707</v>
      </c>
      <c r="H820" s="6" t="s">
        <v>1670</v>
      </c>
      <c r="I820" s="6" t="s">
        <v>3602</v>
      </c>
      <c r="J820" s="35" t="s">
        <v>131</v>
      </c>
      <c r="K820" s="37" t="s">
        <v>3644</v>
      </c>
      <c r="L820" t="s">
        <v>3671</v>
      </c>
    </row>
    <row r="821" spans="1:12">
      <c r="A821" s="17">
        <v>820</v>
      </c>
      <c r="B821" s="6" t="s">
        <v>1671</v>
      </c>
      <c r="C821" s="7">
        <v>2022572570</v>
      </c>
      <c r="D821" s="7">
        <v>2201010984</v>
      </c>
      <c r="E821" s="7" t="s">
        <v>1814</v>
      </c>
      <c r="F821" s="7" t="e">
        <f>VLOOKUP(C821,'Fast Track '!B:C,2,FALSE)</f>
        <v>#N/A</v>
      </c>
      <c r="G821" s="7" t="s">
        <v>3707</v>
      </c>
      <c r="H821" s="6" t="s">
        <v>1672</v>
      </c>
      <c r="I821" s="6" t="s">
        <v>3604</v>
      </c>
      <c r="J821" s="35" t="s">
        <v>131</v>
      </c>
      <c r="K821" s="37" t="s">
        <v>3644</v>
      </c>
      <c r="L821" t="s">
        <v>3671</v>
      </c>
    </row>
    <row r="822" spans="1:12">
      <c r="A822" s="17">
        <v>821</v>
      </c>
      <c r="B822" s="6" t="s">
        <v>1683</v>
      </c>
      <c r="C822" s="7">
        <v>2022836076</v>
      </c>
      <c r="D822" s="7">
        <v>2201010986</v>
      </c>
      <c r="E822" s="7" t="s">
        <v>1814</v>
      </c>
      <c r="F822" s="7" t="e">
        <f>VLOOKUP(C822,'Fast Track '!B:C,2,FALSE)</f>
        <v>#N/A</v>
      </c>
      <c r="G822" s="7" t="s">
        <v>3707</v>
      </c>
      <c r="H822" s="6" t="s">
        <v>1684</v>
      </c>
      <c r="I822" s="6" t="s">
        <v>3606</v>
      </c>
      <c r="J822" s="35" t="s">
        <v>131</v>
      </c>
      <c r="K822" s="37" t="s">
        <v>3644</v>
      </c>
      <c r="L822" t="s">
        <v>3671</v>
      </c>
    </row>
    <row r="823" spans="1:12">
      <c r="A823" s="17">
        <v>822</v>
      </c>
      <c r="B823" s="6" t="s">
        <v>1685</v>
      </c>
      <c r="C823" s="7">
        <v>2022836286</v>
      </c>
      <c r="D823" s="7">
        <v>2201010987</v>
      </c>
      <c r="E823" s="7" t="s">
        <v>1814</v>
      </c>
      <c r="F823" s="7" t="e">
        <f>VLOOKUP(C823,'Fast Track '!B:C,2,FALSE)</f>
        <v>#N/A</v>
      </c>
      <c r="G823" s="7" t="s">
        <v>3707</v>
      </c>
      <c r="H823" s="6" t="s">
        <v>1686</v>
      </c>
      <c r="I823" s="6" t="s">
        <v>3608</v>
      </c>
      <c r="J823" s="35" t="s">
        <v>131</v>
      </c>
      <c r="K823" s="37" t="s">
        <v>3644</v>
      </c>
      <c r="L823" t="s">
        <v>3671</v>
      </c>
    </row>
    <row r="824" spans="1:12">
      <c r="A824" s="17">
        <v>823</v>
      </c>
      <c r="B824" s="6" t="s">
        <v>1687</v>
      </c>
      <c r="C824" s="7">
        <v>2022837222</v>
      </c>
      <c r="D824" s="7">
        <v>2201010988</v>
      </c>
      <c r="E824" s="7" t="s">
        <v>1814</v>
      </c>
      <c r="F824" s="7" t="e">
        <f>VLOOKUP(C824,'Fast Track '!B:C,2,FALSE)</f>
        <v>#N/A</v>
      </c>
      <c r="G824" s="7" t="s">
        <v>3707</v>
      </c>
      <c r="H824" s="6" t="s">
        <v>1688</v>
      </c>
      <c r="I824" s="6" t="s">
        <v>3610</v>
      </c>
      <c r="J824" s="35" t="s">
        <v>131</v>
      </c>
      <c r="K824" s="37" t="s">
        <v>3644</v>
      </c>
      <c r="L824" t="s">
        <v>3671</v>
      </c>
    </row>
    <row r="825" spans="1:12">
      <c r="A825" s="17">
        <v>824</v>
      </c>
      <c r="B825" s="6" t="s">
        <v>1441</v>
      </c>
      <c r="C825" s="7">
        <v>2022305070</v>
      </c>
      <c r="D825" s="7">
        <v>2201010580</v>
      </c>
      <c r="E825" s="7" t="s">
        <v>1814</v>
      </c>
      <c r="F825" s="7" t="e">
        <f>VLOOKUP(C825,'Fast Track '!B:C,2,FALSE)</f>
        <v>#N/A</v>
      </c>
      <c r="G825" s="7" t="s">
        <v>3707</v>
      </c>
      <c r="H825" s="6" t="s">
        <v>1442</v>
      </c>
      <c r="I825" s="6" t="s">
        <v>3354</v>
      </c>
      <c r="J825" s="35" t="s">
        <v>131</v>
      </c>
      <c r="K825" s="37" t="s">
        <v>3644</v>
      </c>
      <c r="L825" t="s">
        <v>3671</v>
      </c>
    </row>
    <row r="826" spans="1:12">
      <c r="A826" s="17">
        <v>825</v>
      </c>
      <c r="B826" s="6" t="s">
        <v>1529</v>
      </c>
      <c r="C826" s="7">
        <v>2022007017</v>
      </c>
      <c r="D826" s="7">
        <v>2201010351</v>
      </c>
      <c r="E826" s="7" t="s">
        <v>1814</v>
      </c>
      <c r="F826" s="7" t="e">
        <f>VLOOKUP(C826,'Fast Track '!B:C,2,FALSE)</f>
        <v>#N/A</v>
      </c>
      <c r="G826" s="7" t="s">
        <v>3707</v>
      </c>
      <c r="H826" s="6" t="s">
        <v>1530</v>
      </c>
      <c r="I826" s="6" t="s">
        <v>3478</v>
      </c>
      <c r="J826" s="35" t="s">
        <v>131</v>
      </c>
      <c r="K826" s="37" t="s">
        <v>3644</v>
      </c>
      <c r="L826" t="s">
        <v>3671</v>
      </c>
    </row>
    <row r="827" spans="1:12">
      <c r="A827" s="17">
        <v>826</v>
      </c>
      <c r="B827" s="6" t="s">
        <v>1513</v>
      </c>
      <c r="C827" s="7">
        <v>2022001453</v>
      </c>
      <c r="D827" s="7">
        <v>2201010766</v>
      </c>
      <c r="E827" s="7" t="s">
        <v>1814</v>
      </c>
      <c r="F827" s="7" t="e">
        <f>VLOOKUP(C827,'Fast Track '!B:C,2,FALSE)</f>
        <v>#N/A</v>
      </c>
      <c r="G827" s="7" t="s">
        <v>3707</v>
      </c>
      <c r="H827" s="6" t="s">
        <v>1514</v>
      </c>
      <c r="I827" s="6" t="s">
        <v>3480</v>
      </c>
      <c r="J827" s="35" t="s">
        <v>131</v>
      </c>
      <c r="K827" s="37" t="s">
        <v>3644</v>
      </c>
      <c r="L827" t="s">
        <v>3671</v>
      </c>
    </row>
    <row r="828" spans="1:12">
      <c r="A828" s="17">
        <v>827</v>
      </c>
      <c r="B828" s="6" t="s">
        <v>1531</v>
      </c>
      <c r="C828" s="7">
        <v>2022007457</v>
      </c>
      <c r="D828" s="7">
        <v>2201010980</v>
      </c>
      <c r="E828" s="7" t="s">
        <v>1814</v>
      </c>
      <c r="F828" s="7" t="e">
        <f>VLOOKUP(C828,'Fast Track '!B:C,2,FALSE)</f>
        <v>#N/A</v>
      </c>
      <c r="G828" s="7" t="s">
        <v>3707</v>
      </c>
      <c r="H828" s="6" t="s">
        <v>1532</v>
      </c>
      <c r="I828" s="6" t="s">
        <v>3482</v>
      </c>
      <c r="J828" s="35" t="s">
        <v>131</v>
      </c>
      <c r="K828" s="37" t="s">
        <v>3644</v>
      </c>
      <c r="L828" t="s">
        <v>3671</v>
      </c>
    </row>
    <row r="829" spans="1:12" ht="15.5">
      <c r="A829" s="17">
        <v>828</v>
      </c>
      <c r="B829" s="17" t="s">
        <v>945</v>
      </c>
      <c r="C829" s="17">
        <v>2022432518</v>
      </c>
      <c r="D829" s="17">
        <v>2201010676</v>
      </c>
      <c r="E829" s="7" t="s">
        <v>3646</v>
      </c>
      <c r="F829" s="17" t="e">
        <f>VLOOKUP(C829,'Fast Track '!B:C,2,FALSE)</f>
        <v>#N/A</v>
      </c>
      <c r="G829" s="17" t="s">
        <v>3692</v>
      </c>
      <c r="H829" s="17" t="s">
        <v>946</v>
      </c>
      <c r="I829" s="17" t="s">
        <v>1890</v>
      </c>
      <c r="J829" s="17" t="s">
        <v>15</v>
      </c>
      <c r="L829" s="66" t="s">
        <v>3672</v>
      </c>
    </row>
    <row r="830" spans="1:12" ht="15.5">
      <c r="A830" s="17">
        <v>829</v>
      </c>
      <c r="B830" s="17" t="s">
        <v>975</v>
      </c>
      <c r="C830" s="17">
        <v>2022517301</v>
      </c>
      <c r="D830" s="17">
        <v>2201010730</v>
      </c>
      <c r="E830" s="7" t="s">
        <v>3646</v>
      </c>
      <c r="F830" s="17" t="e">
        <f>VLOOKUP(C830,'Fast Track '!B:C,2,FALSE)</f>
        <v>#N/A</v>
      </c>
      <c r="G830" s="17" t="s">
        <v>3692</v>
      </c>
      <c r="H830" s="17" t="s">
        <v>976</v>
      </c>
      <c r="I830" s="17" t="s">
        <v>1902</v>
      </c>
      <c r="J830" s="17" t="s">
        <v>15</v>
      </c>
      <c r="L830" s="66" t="s">
        <v>3672</v>
      </c>
    </row>
    <row r="831" spans="1:12" ht="15.5">
      <c r="A831" s="17">
        <v>830</v>
      </c>
      <c r="B831" s="17" t="s">
        <v>1010</v>
      </c>
      <c r="C831" s="17">
        <v>2023583466</v>
      </c>
      <c r="D831" s="17">
        <v>2301017012</v>
      </c>
      <c r="E831" s="7" t="s">
        <v>3646</v>
      </c>
      <c r="F831" s="17" t="e">
        <f>VLOOKUP(C831,'Fast Track '!B:C,2,FALSE)</f>
        <v>#N/A</v>
      </c>
      <c r="G831" s="17" t="s">
        <v>3692</v>
      </c>
      <c r="H831" s="17" t="s">
        <v>1011</v>
      </c>
      <c r="I831" s="17" t="s">
        <v>1940</v>
      </c>
      <c r="J831" s="17" t="s">
        <v>15</v>
      </c>
      <c r="L831" s="66" t="s">
        <v>3672</v>
      </c>
    </row>
    <row r="832" spans="1:12" ht="15.5">
      <c r="A832" s="17">
        <v>831</v>
      </c>
      <c r="B832" s="17" t="s">
        <v>1006</v>
      </c>
      <c r="C832" s="17">
        <v>2023500162</v>
      </c>
      <c r="D832" s="17">
        <v>2301017020</v>
      </c>
      <c r="E832" s="7" t="s">
        <v>3646</v>
      </c>
      <c r="F832" s="17" t="e">
        <f>VLOOKUP(C832,'Fast Track '!B:C,2,FALSE)</f>
        <v>#N/A</v>
      </c>
      <c r="G832" s="17" t="s">
        <v>3692</v>
      </c>
      <c r="H832" s="17" t="s">
        <v>1007</v>
      </c>
      <c r="I832" s="17" t="s">
        <v>1944</v>
      </c>
      <c r="J832" s="17" t="s">
        <v>15</v>
      </c>
      <c r="L832" s="66" t="s">
        <v>3672</v>
      </c>
    </row>
    <row r="833" spans="1:12" ht="15.5">
      <c r="A833" s="17">
        <v>832</v>
      </c>
      <c r="B833" s="17" t="s">
        <v>1018</v>
      </c>
      <c r="C833" s="17">
        <v>2022565603</v>
      </c>
      <c r="D833" s="17">
        <v>2201010257</v>
      </c>
      <c r="E833" s="7" t="s">
        <v>3646</v>
      </c>
      <c r="F833" s="17" t="e">
        <f>VLOOKUP(C833,'Fast Track '!B:C,2,FALSE)</f>
        <v>#N/A</v>
      </c>
      <c r="G833" s="17" t="s">
        <v>3692</v>
      </c>
      <c r="H833" s="17" t="s">
        <v>1019</v>
      </c>
      <c r="I833" s="17" t="s">
        <v>1973</v>
      </c>
      <c r="J833" s="17" t="s">
        <v>15</v>
      </c>
      <c r="L833" s="66" t="s">
        <v>3672</v>
      </c>
    </row>
    <row r="834" spans="1:12" ht="15.5">
      <c r="A834" s="17">
        <v>833</v>
      </c>
      <c r="B834" s="17" t="s">
        <v>1108</v>
      </c>
      <c r="C834" s="17">
        <v>2022532088</v>
      </c>
      <c r="D834" s="17">
        <v>2201010378</v>
      </c>
      <c r="E834" s="7" t="s">
        <v>3646</v>
      </c>
      <c r="F834" s="17" t="e">
        <f>VLOOKUP(C834,'Fast Track '!B:C,2,FALSE)</f>
        <v>#N/A</v>
      </c>
      <c r="G834" s="17" t="s">
        <v>3692</v>
      </c>
      <c r="H834" s="17" t="s">
        <v>1109</v>
      </c>
      <c r="I834" s="17" t="s">
        <v>1993</v>
      </c>
      <c r="J834" s="17" t="s">
        <v>15</v>
      </c>
      <c r="L834" s="66" t="s">
        <v>3672</v>
      </c>
    </row>
    <row r="835" spans="1:12" ht="15.5">
      <c r="A835" s="17">
        <v>834</v>
      </c>
      <c r="B835" s="17" t="s">
        <v>306</v>
      </c>
      <c r="C835" s="17">
        <v>2022372515</v>
      </c>
      <c r="D835" s="17">
        <v>2201010518</v>
      </c>
      <c r="E835" s="7" t="s">
        <v>3646</v>
      </c>
      <c r="F835" s="17" t="e">
        <f>VLOOKUP(C835,'Fast Track '!B:C,2,FALSE)</f>
        <v>#N/A</v>
      </c>
      <c r="G835" s="17" t="s">
        <v>3692</v>
      </c>
      <c r="H835" s="17" t="s">
        <v>307</v>
      </c>
      <c r="I835" s="17" t="s">
        <v>2123</v>
      </c>
      <c r="J835" s="17" t="s">
        <v>15</v>
      </c>
      <c r="L835" s="66" t="s">
        <v>3672</v>
      </c>
    </row>
    <row r="836" spans="1:12" ht="15.5">
      <c r="A836" s="17">
        <v>835</v>
      </c>
      <c r="B836" s="17" t="s">
        <v>610</v>
      </c>
      <c r="C836" s="17">
        <v>2022516167</v>
      </c>
      <c r="D836" s="17">
        <v>2201010073</v>
      </c>
      <c r="E836" s="7" t="s">
        <v>3646</v>
      </c>
      <c r="F836" s="17" t="e">
        <f>VLOOKUP(C836,'Fast Track '!B:C,2,FALSE)</f>
        <v>#N/A</v>
      </c>
      <c r="G836" s="17" t="s">
        <v>3692</v>
      </c>
      <c r="H836" s="17" t="s">
        <v>611</v>
      </c>
      <c r="I836" s="17" t="s">
        <v>2350</v>
      </c>
      <c r="J836" s="17" t="s">
        <v>15</v>
      </c>
      <c r="L836" s="66" t="s">
        <v>3672</v>
      </c>
    </row>
    <row r="837" spans="1:12" ht="15.5">
      <c r="A837" s="17">
        <v>836</v>
      </c>
      <c r="B837" s="17" t="s">
        <v>583</v>
      </c>
      <c r="C837" s="17">
        <v>2022455176</v>
      </c>
      <c r="D837" s="17">
        <v>2201010326</v>
      </c>
      <c r="E837" s="7" t="s">
        <v>3646</v>
      </c>
      <c r="F837" s="17" t="e">
        <f>VLOOKUP(C837,'Fast Track '!B:C,2,FALSE)</f>
        <v>#N/A</v>
      </c>
      <c r="G837" s="17" t="s">
        <v>3692</v>
      </c>
      <c r="H837" s="17" t="s">
        <v>584</v>
      </c>
      <c r="I837" s="17" t="s">
        <v>2378</v>
      </c>
      <c r="J837" s="17" t="s">
        <v>15</v>
      </c>
      <c r="L837" s="66" t="s">
        <v>3672</v>
      </c>
    </row>
    <row r="838" spans="1:12" ht="15.5">
      <c r="A838" s="17">
        <v>837</v>
      </c>
      <c r="B838" s="17" t="s">
        <v>753</v>
      </c>
      <c r="C838" s="17">
        <v>2022836012</v>
      </c>
      <c r="D838" s="17">
        <v>2201010405</v>
      </c>
      <c r="E838" s="7" t="s">
        <v>3646</v>
      </c>
      <c r="F838" s="17" t="e">
        <f>VLOOKUP(C838,'Fast Track '!B:C,2,FALSE)</f>
        <v>#N/A</v>
      </c>
      <c r="G838" s="17" t="s">
        <v>3692</v>
      </c>
      <c r="H838" s="17" t="s">
        <v>754</v>
      </c>
      <c r="I838" s="17" t="s">
        <v>2508</v>
      </c>
      <c r="J838" s="17" t="s">
        <v>15</v>
      </c>
      <c r="L838" s="66" t="s">
        <v>3672</v>
      </c>
    </row>
    <row r="839" spans="1:12" ht="15.5">
      <c r="A839" s="17">
        <v>838</v>
      </c>
      <c r="B839" s="17" t="s">
        <v>747</v>
      </c>
      <c r="C839" s="17">
        <v>2022832236</v>
      </c>
      <c r="D839" s="17">
        <v>2201010443</v>
      </c>
      <c r="E839" s="7" t="s">
        <v>3646</v>
      </c>
      <c r="F839" s="17" t="e">
        <f>VLOOKUP(C839,'Fast Track '!B:C,2,FALSE)</f>
        <v>#N/A</v>
      </c>
      <c r="G839" s="17" t="s">
        <v>3692</v>
      </c>
      <c r="H839" s="17" t="s">
        <v>748</v>
      </c>
      <c r="I839" s="17" t="s">
        <v>2516</v>
      </c>
      <c r="J839" s="17" t="s">
        <v>15</v>
      </c>
      <c r="L839" s="66" t="s">
        <v>3672</v>
      </c>
    </row>
    <row r="840" spans="1:12" ht="15.5">
      <c r="A840" s="17">
        <v>839</v>
      </c>
      <c r="B840" s="17" t="s">
        <v>335</v>
      </c>
      <c r="C840" s="17">
        <v>2022481225</v>
      </c>
      <c r="D840" s="17">
        <v>2201010652</v>
      </c>
      <c r="E840" s="7" t="s">
        <v>3646</v>
      </c>
      <c r="F840" s="17" t="e">
        <f>VLOOKUP(C840,'Fast Track '!B:C,2,FALSE)</f>
        <v>#N/A</v>
      </c>
      <c r="G840" s="17" t="s">
        <v>3692</v>
      </c>
      <c r="H840" s="17" t="s">
        <v>336</v>
      </c>
      <c r="I840" s="17" t="s">
        <v>2147</v>
      </c>
      <c r="J840" s="17" t="s">
        <v>15</v>
      </c>
      <c r="L840" s="66" t="s">
        <v>3672</v>
      </c>
    </row>
    <row r="841" spans="1:12" ht="15.5">
      <c r="A841" s="17">
        <v>840</v>
      </c>
      <c r="B841" s="17" t="s">
        <v>549</v>
      </c>
      <c r="C841" s="17">
        <v>2022006210</v>
      </c>
      <c r="D841" s="17">
        <v>2201010109</v>
      </c>
      <c r="E841" s="7" t="s">
        <v>3646</v>
      </c>
      <c r="F841" s="17" t="e">
        <f>VLOOKUP(C841,'Fast Track '!B:C,2,FALSE)</f>
        <v>#N/A</v>
      </c>
      <c r="G841" s="17" t="s">
        <v>3692</v>
      </c>
      <c r="H841" s="17" t="s">
        <v>550</v>
      </c>
      <c r="I841" s="17" t="s">
        <v>2352</v>
      </c>
      <c r="J841" s="17" t="s">
        <v>15</v>
      </c>
      <c r="L841" s="66" t="s">
        <v>3672</v>
      </c>
    </row>
    <row r="842" spans="1:12" ht="15.5">
      <c r="A842" s="17">
        <v>841</v>
      </c>
      <c r="B842" s="17" t="s">
        <v>381</v>
      </c>
      <c r="C842" s="17">
        <v>2023205860</v>
      </c>
      <c r="D842" s="17">
        <v>2301017011</v>
      </c>
      <c r="E842" s="7" t="s">
        <v>3646</v>
      </c>
      <c r="F842" s="17" t="e">
        <f>VLOOKUP(C842,'Fast Track '!B:C,2,FALSE)</f>
        <v>#N/A</v>
      </c>
      <c r="G842" s="17" t="s">
        <v>3692</v>
      </c>
      <c r="H842" s="17" t="s">
        <v>382</v>
      </c>
      <c r="I842" s="17" t="s">
        <v>2197</v>
      </c>
      <c r="J842" s="17" t="s">
        <v>15</v>
      </c>
      <c r="L842" s="66" t="s">
        <v>3672</v>
      </c>
    </row>
    <row r="843" spans="1:12" ht="15.5">
      <c r="A843" s="17">
        <v>842</v>
      </c>
      <c r="B843" s="17" t="s">
        <v>440</v>
      </c>
      <c r="C843" s="17">
        <v>2022433429</v>
      </c>
      <c r="D843" s="17">
        <v>2201010083</v>
      </c>
      <c r="E843" s="7" t="s">
        <v>3646</v>
      </c>
      <c r="F843" s="17" t="e">
        <f>VLOOKUP(C843,'Fast Track '!B:C,2,FALSE)</f>
        <v>#N/A</v>
      </c>
      <c r="G843" s="17" t="s">
        <v>3692</v>
      </c>
      <c r="H843" s="17" t="s">
        <v>441</v>
      </c>
      <c r="I843" s="17" t="s">
        <v>2213</v>
      </c>
      <c r="J843" s="17" t="s">
        <v>15</v>
      </c>
      <c r="L843" s="66" t="s">
        <v>3672</v>
      </c>
    </row>
    <row r="844" spans="1:12" ht="15.5">
      <c r="A844" s="17">
        <v>843</v>
      </c>
      <c r="B844" s="17" t="s">
        <v>442</v>
      </c>
      <c r="C844" s="17">
        <v>2022443216</v>
      </c>
      <c r="D844" s="17">
        <v>2201010545</v>
      </c>
      <c r="E844" s="7" t="s">
        <v>3646</v>
      </c>
      <c r="F844" s="17" t="e">
        <f>VLOOKUP(C844,'Fast Track '!B:C,2,FALSE)</f>
        <v>#N/A</v>
      </c>
      <c r="G844" s="17" t="s">
        <v>3692</v>
      </c>
      <c r="H844" s="17" t="s">
        <v>443</v>
      </c>
      <c r="I844" s="17" t="s">
        <v>2272</v>
      </c>
      <c r="J844" s="17" t="s">
        <v>15</v>
      </c>
      <c r="L844" s="66" t="s">
        <v>3672</v>
      </c>
    </row>
    <row r="845" spans="1:12" ht="15.5">
      <c r="A845" s="17">
        <v>844</v>
      </c>
      <c r="B845" s="17" t="s">
        <v>394</v>
      </c>
      <c r="C845" s="17">
        <v>2022001775</v>
      </c>
      <c r="D845" s="17">
        <v>2201010641</v>
      </c>
      <c r="E845" s="7" t="s">
        <v>3646</v>
      </c>
      <c r="F845" s="17" t="e">
        <f>VLOOKUP(C845,'Fast Track '!B:C,2,FALSE)</f>
        <v>#N/A</v>
      </c>
      <c r="G845" s="17" t="s">
        <v>3692</v>
      </c>
      <c r="H845" s="17" t="s">
        <v>395</v>
      </c>
      <c r="I845" s="17" t="s">
        <v>2290</v>
      </c>
      <c r="J845" s="17" t="s">
        <v>15</v>
      </c>
      <c r="L845" s="66" t="s">
        <v>3672</v>
      </c>
    </row>
    <row r="846" spans="1:12" ht="15.5">
      <c r="A846" s="17">
        <v>845</v>
      </c>
      <c r="B846" s="17" t="s">
        <v>643</v>
      </c>
      <c r="C846" s="17">
        <v>2022006402</v>
      </c>
      <c r="D846" s="17">
        <v>2201010229</v>
      </c>
      <c r="E846" s="7" t="s">
        <v>3646</v>
      </c>
      <c r="F846" s="17" t="e">
        <f>VLOOKUP(C846,'Fast Track '!B:C,2,FALSE)</f>
        <v>#N/A</v>
      </c>
      <c r="G846" s="17" t="s">
        <v>3692</v>
      </c>
      <c r="H846" s="17" t="s">
        <v>644</v>
      </c>
      <c r="I846" s="17" t="s">
        <v>2362</v>
      </c>
      <c r="J846" s="17" t="s">
        <v>15</v>
      </c>
      <c r="L846" s="66" t="s">
        <v>3672</v>
      </c>
    </row>
    <row r="847" spans="1:12" ht="15.5">
      <c r="A847" s="17">
        <v>846</v>
      </c>
      <c r="B847" s="17" t="s">
        <v>442</v>
      </c>
      <c r="C847" s="17">
        <v>2022459779</v>
      </c>
      <c r="D847" s="17">
        <v>2201010546</v>
      </c>
      <c r="E847" s="7" t="s">
        <v>3646</v>
      </c>
      <c r="F847" s="17" t="e">
        <f>VLOOKUP(C847,'Fast Track '!B:C,2,FALSE)</f>
        <v>#N/A</v>
      </c>
      <c r="G847" s="17" t="s">
        <v>3692</v>
      </c>
      <c r="H847" s="17" t="s">
        <v>585</v>
      </c>
      <c r="I847" s="17" t="s">
        <v>2404</v>
      </c>
      <c r="J847" s="17" t="s">
        <v>15</v>
      </c>
      <c r="L847" s="66" t="s">
        <v>3672</v>
      </c>
    </row>
    <row r="848" spans="1:12" ht="15.5">
      <c r="A848" s="17">
        <v>847</v>
      </c>
      <c r="B848" s="17" t="s">
        <v>569</v>
      </c>
      <c r="C848" s="17">
        <v>2022378413</v>
      </c>
      <c r="D848" s="17">
        <v>2201010659</v>
      </c>
      <c r="E848" s="7" t="s">
        <v>3646</v>
      </c>
      <c r="F848" s="17" t="e">
        <f>VLOOKUP(C848,'Fast Track '!B:C,2,FALSE)</f>
        <v>#N/A</v>
      </c>
      <c r="G848" s="17" t="s">
        <v>3692</v>
      </c>
      <c r="H848" s="17" t="s">
        <v>570</v>
      </c>
      <c r="I848" s="17" t="s">
        <v>2424</v>
      </c>
      <c r="J848" s="17" t="s">
        <v>15</v>
      </c>
      <c r="L848" s="66" t="s">
        <v>3672</v>
      </c>
    </row>
    <row r="849" spans="1:12" ht="15.5">
      <c r="A849" s="17">
        <v>848</v>
      </c>
      <c r="B849" s="17" t="s">
        <v>631</v>
      </c>
      <c r="C849" s="17">
        <v>2022559297</v>
      </c>
      <c r="D849" s="17">
        <v>2201010066</v>
      </c>
      <c r="E849" s="7" t="s">
        <v>3646</v>
      </c>
      <c r="F849" s="17" t="e">
        <f>VLOOKUP(C849,'Fast Track '!B:C,2,FALSE)</f>
        <v>#N/A</v>
      </c>
      <c r="G849" s="17" t="s">
        <v>3692</v>
      </c>
      <c r="H849" s="17" t="s">
        <v>632</v>
      </c>
      <c r="I849" s="17" t="s">
        <v>2348</v>
      </c>
      <c r="J849" s="17" t="s">
        <v>15</v>
      </c>
      <c r="L849" s="66" t="s">
        <v>3672</v>
      </c>
    </row>
    <row r="850" spans="1:12" ht="15.5">
      <c r="A850" s="17">
        <v>849</v>
      </c>
      <c r="B850" s="17" t="s">
        <v>724</v>
      </c>
      <c r="C850" s="17">
        <v>2022540836</v>
      </c>
      <c r="D850" s="17">
        <v>2201010879</v>
      </c>
      <c r="E850" s="7" t="s">
        <v>3646</v>
      </c>
      <c r="F850" s="17" t="e">
        <f>VLOOKUP(C850,'Fast Track '!B:C,2,FALSE)</f>
        <v>#N/A</v>
      </c>
      <c r="G850" s="17" t="s">
        <v>3692</v>
      </c>
      <c r="H850" s="17" t="s">
        <v>725</v>
      </c>
      <c r="I850" s="17" t="s">
        <v>2574</v>
      </c>
      <c r="J850" s="17" t="s">
        <v>15</v>
      </c>
      <c r="L850" s="66" t="s">
        <v>3672</v>
      </c>
    </row>
    <row r="851" spans="1:12" ht="15.5">
      <c r="A851" s="17">
        <v>850</v>
      </c>
      <c r="B851" s="17" t="s">
        <v>109</v>
      </c>
      <c r="C851" s="17">
        <v>2022511372</v>
      </c>
      <c r="D851" s="17">
        <v>2201010225</v>
      </c>
      <c r="E851" s="7" t="s">
        <v>3646</v>
      </c>
      <c r="F851" s="17" t="e">
        <f>VLOOKUP(C851,'Fast Track '!B:C,2,FALSE)</f>
        <v>#N/A</v>
      </c>
      <c r="G851" s="17" t="s">
        <v>3692</v>
      </c>
      <c r="H851" s="17" t="s">
        <v>110</v>
      </c>
      <c r="I851" s="17" t="s">
        <v>2646</v>
      </c>
      <c r="J851" s="17" t="s">
        <v>15</v>
      </c>
      <c r="L851" s="66" t="s">
        <v>3672</v>
      </c>
    </row>
    <row r="852" spans="1:12" ht="15.5">
      <c r="A852" s="17">
        <v>851</v>
      </c>
      <c r="B852" s="17" t="s">
        <v>37</v>
      </c>
      <c r="C852" s="17">
        <v>2022004614</v>
      </c>
      <c r="D852" s="17">
        <v>2201010561</v>
      </c>
      <c r="E852" s="7" t="s">
        <v>3646</v>
      </c>
      <c r="F852" s="17" t="e">
        <f>VLOOKUP(C852,'Fast Track '!B:C,2,FALSE)</f>
        <v>#N/A</v>
      </c>
      <c r="G852" s="17" t="s">
        <v>3692</v>
      </c>
      <c r="H852" s="17" t="s">
        <v>38</v>
      </c>
      <c r="I852" s="17" t="s">
        <v>2680</v>
      </c>
      <c r="J852" s="17" t="s">
        <v>15</v>
      </c>
      <c r="L852" s="66" t="s">
        <v>3672</v>
      </c>
    </row>
    <row r="853" spans="1:12" ht="15.5">
      <c r="A853" s="17">
        <v>852</v>
      </c>
      <c r="B853" s="17" t="s">
        <v>780</v>
      </c>
      <c r="C853" s="17">
        <v>2023526347</v>
      </c>
      <c r="D853" s="17">
        <v>2301017007</v>
      </c>
      <c r="E853" s="7" t="s">
        <v>3646</v>
      </c>
      <c r="F853" s="17" t="e">
        <f>VLOOKUP(C853,'Fast Track '!B:C,2,FALSE)</f>
        <v>#N/A</v>
      </c>
      <c r="G853" s="17" t="s">
        <v>3692</v>
      </c>
      <c r="H853" s="17" t="s">
        <v>781</v>
      </c>
      <c r="I853" s="17" t="s">
        <v>2067</v>
      </c>
      <c r="J853" s="17" t="s">
        <v>15</v>
      </c>
      <c r="L853" s="66" t="s">
        <v>3672</v>
      </c>
    </row>
    <row r="854" spans="1:12" ht="15.5">
      <c r="A854" s="17">
        <v>853</v>
      </c>
      <c r="B854" s="17" t="s">
        <v>80</v>
      </c>
      <c r="C854" s="17">
        <v>2022458909</v>
      </c>
      <c r="D854" s="17">
        <v>2201010311</v>
      </c>
      <c r="E854" s="7" t="s">
        <v>3646</v>
      </c>
      <c r="F854" s="17" t="e">
        <f>VLOOKUP(C854,'Fast Track '!B:C,2,FALSE)</f>
        <v>#N/A</v>
      </c>
      <c r="G854" s="17" t="s">
        <v>3692</v>
      </c>
      <c r="H854" s="17" t="s">
        <v>81</v>
      </c>
      <c r="I854" s="17" t="s">
        <v>2652</v>
      </c>
      <c r="J854" s="17" t="s">
        <v>15</v>
      </c>
      <c r="L854" s="66" t="s">
        <v>3672</v>
      </c>
    </row>
    <row r="855" spans="1:12" ht="15.5">
      <c r="A855" s="17">
        <v>854</v>
      </c>
      <c r="B855" s="17" t="s">
        <v>76</v>
      </c>
      <c r="C855" s="17">
        <v>2022436300</v>
      </c>
      <c r="D855" s="17">
        <v>2201010356</v>
      </c>
      <c r="E855" s="7" t="s">
        <v>3646</v>
      </c>
      <c r="F855" s="17" t="e">
        <f>VLOOKUP(C855,'Fast Track '!B:C,2,FALSE)</f>
        <v>#N/A</v>
      </c>
      <c r="G855" s="17" t="s">
        <v>3692</v>
      </c>
      <c r="H855" s="17" t="s">
        <v>77</v>
      </c>
      <c r="I855" s="17" t="s">
        <v>2656</v>
      </c>
      <c r="J855" s="17" t="s">
        <v>15</v>
      </c>
      <c r="L855" s="66" t="s">
        <v>3672</v>
      </c>
    </row>
    <row r="856" spans="1:12" ht="15.5">
      <c r="A856" s="17">
        <v>855</v>
      </c>
      <c r="B856" s="17" t="s">
        <v>191</v>
      </c>
      <c r="C856" s="17">
        <v>2022416656</v>
      </c>
      <c r="D856" s="17">
        <v>2201010169</v>
      </c>
      <c r="E856" s="7" t="s">
        <v>3646</v>
      </c>
      <c r="F856" s="17" t="e">
        <f>VLOOKUP(C856,'Fast Track '!B:C,2,FALSE)</f>
        <v>#N/A</v>
      </c>
      <c r="G856" s="17" t="s">
        <v>3692</v>
      </c>
      <c r="H856" s="17" t="s">
        <v>192</v>
      </c>
      <c r="I856" s="17" t="s">
        <v>2743</v>
      </c>
      <c r="J856" s="17" t="s">
        <v>15</v>
      </c>
      <c r="L856" s="66" t="s">
        <v>3672</v>
      </c>
    </row>
    <row r="857" spans="1:12" ht="15.5">
      <c r="A857" s="17">
        <v>856</v>
      </c>
      <c r="B857" s="17" t="s">
        <v>249</v>
      </c>
      <c r="C857" s="17">
        <v>2022832635</v>
      </c>
      <c r="D857" s="17">
        <v>2201010406</v>
      </c>
      <c r="E857" s="7" t="s">
        <v>3646</v>
      </c>
      <c r="F857" s="17" t="e">
        <f>VLOOKUP(C857,'Fast Track '!B:C,2,FALSE)</f>
        <v>#N/A</v>
      </c>
      <c r="G857" s="17" t="s">
        <v>3692</v>
      </c>
      <c r="H857" s="17" t="s">
        <v>250</v>
      </c>
      <c r="I857" s="17" t="s">
        <v>2763</v>
      </c>
      <c r="J857" s="17" t="s">
        <v>15</v>
      </c>
      <c r="L857" s="66" t="s">
        <v>3672</v>
      </c>
    </row>
    <row r="858" spans="1:12" ht="15.5">
      <c r="A858" s="17">
        <v>857</v>
      </c>
      <c r="B858" s="6" t="s">
        <v>1227</v>
      </c>
      <c r="C858" s="7">
        <v>2022543048</v>
      </c>
      <c r="D858" s="7">
        <v>2201010315</v>
      </c>
      <c r="E858" s="7" t="s">
        <v>3646</v>
      </c>
      <c r="F858" s="17" t="e">
        <f>VLOOKUP(C858,'Fast Track '!B:C,2,FALSE)</f>
        <v>#N/A</v>
      </c>
      <c r="G858" s="17" t="s">
        <v>3692</v>
      </c>
      <c r="H858" s="6" t="s">
        <v>1228</v>
      </c>
      <c r="I858" s="6" t="s">
        <v>2896</v>
      </c>
      <c r="J858" s="6" t="s">
        <v>532</v>
      </c>
      <c r="L858" s="66" t="s">
        <v>3672</v>
      </c>
    </row>
    <row r="859" spans="1:12" ht="15.5">
      <c r="A859" s="17">
        <v>858</v>
      </c>
      <c r="B859" s="6" t="s">
        <v>1160</v>
      </c>
      <c r="C859" s="7">
        <v>2022321571</v>
      </c>
      <c r="D859" s="7">
        <v>2201010336</v>
      </c>
      <c r="E859" s="7" t="s">
        <v>3646</v>
      </c>
      <c r="F859" s="17" t="e">
        <f>VLOOKUP(C859,'Fast Track '!B:C,2,FALSE)</f>
        <v>#N/A</v>
      </c>
      <c r="G859" s="17" t="s">
        <v>3692</v>
      </c>
      <c r="H859" s="6" t="s">
        <v>1161</v>
      </c>
      <c r="I859" s="6" t="s">
        <v>2900</v>
      </c>
      <c r="J859" s="6" t="s">
        <v>532</v>
      </c>
      <c r="L859" s="66" t="s">
        <v>3672</v>
      </c>
    </row>
    <row r="860" spans="1:12" ht="15.5">
      <c r="A860" s="17">
        <v>859</v>
      </c>
      <c r="B860" s="6" t="s">
        <v>1146</v>
      </c>
      <c r="C860" s="7">
        <v>2022005401</v>
      </c>
      <c r="D860" s="7">
        <v>2201010341</v>
      </c>
      <c r="E860" s="7" t="s">
        <v>3646</v>
      </c>
      <c r="F860" s="17" t="e">
        <f>VLOOKUP(C860,'Fast Track '!B:C,2,FALSE)</f>
        <v>#N/A</v>
      </c>
      <c r="G860" s="17" t="s">
        <v>3692</v>
      </c>
      <c r="H860" s="6" t="s">
        <v>1147</v>
      </c>
      <c r="I860" s="6" t="s">
        <v>2904</v>
      </c>
      <c r="J860" s="6" t="s">
        <v>532</v>
      </c>
      <c r="L860" s="66" t="s">
        <v>3672</v>
      </c>
    </row>
    <row r="861" spans="1:12" ht="15.5">
      <c r="A861" s="17">
        <v>860</v>
      </c>
      <c r="B861" s="6" t="s">
        <v>1199</v>
      </c>
      <c r="C861" s="7">
        <v>2022464237</v>
      </c>
      <c r="D861" s="7">
        <v>2201010411</v>
      </c>
      <c r="E861" s="7" t="s">
        <v>3646</v>
      </c>
      <c r="F861" s="17" t="e">
        <f>VLOOKUP(C861,'Fast Track '!B:C,2,FALSE)</f>
        <v>#N/A</v>
      </c>
      <c r="G861" s="17" t="s">
        <v>3692</v>
      </c>
      <c r="H861" s="6" t="s">
        <v>1200</v>
      </c>
      <c r="I861" s="6" t="s">
        <v>2910</v>
      </c>
      <c r="J861" s="6" t="s">
        <v>532</v>
      </c>
      <c r="L861" s="66" t="s">
        <v>3672</v>
      </c>
    </row>
    <row r="862" spans="1:12" ht="15.5">
      <c r="A862" s="17">
        <v>861</v>
      </c>
      <c r="B862" s="6" t="s">
        <v>1185</v>
      </c>
      <c r="C862" s="7">
        <v>2022442734</v>
      </c>
      <c r="D862" s="7">
        <v>2201010662</v>
      </c>
      <c r="E862" s="7" t="s">
        <v>3646</v>
      </c>
      <c r="F862" s="17" t="e">
        <f>VLOOKUP(C862,'Fast Track '!B:C,2,FALSE)</f>
        <v>#N/A</v>
      </c>
      <c r="G862" s="17" t="s">
        <v>3692</v>
      </c>
      <c r="H862" s="6" t="s">
        <v>1186</v>
      </c>
      <c r="I862" s="6" t="s">
        <v>2934</v>
      </c>
      <c r="J862" s="6" t="s">
        <v>532</v>
      </c>
      <c r="L862" s="66" t="s">
        <v>3672</v>
      </c>
    </row>
    <row r="863" spans="1:12" ht="15.5">
      <c r="A863" s="17">
        <v>862</v>
      </c>
      <c r="B863" s="6" t="s">
        <v>1158</v>
      </c>
      <c r="C863" s="7">
        <v>2022306140</v>
      </c>
      <c r="D863" s="7">
        <v>2201010674</v>
      </c>
      <c r="E863" s="7" t="s">
        <v>3646</v>
      </c>
      <c r="F863" s="17" t="e">
        <f>VLOOKUP(C863,'Fast Track '!B:C,2,FALSE)</f>
        <v>#N/A</v>
      </c>
      <c r="G863" s="17" t="s">
        <v>3692</v>
      </c>
      <c r="H863" s="6" t="s">
        <v>1159</v>
      </c>
      <c r="I863" s="6" t="s">
        <v>2936</v>
      </c>
      <c r="J863" s="6" t="s">
        <v>532</v>
      </c>
      <c r="L863" s="66" t="s">
        <v>3672</v>
      </c>
    </row>
    <row r="864" spans="1:12" ht="15.5">
      <c r="A864" s="17">
        <v>863</v>
      </c>
      <c r="B864" s="6" t="s">
        <v>1150</v>
      </c>
      <c r="C864" s="7">
        <v>2022006059</v>
      </c>
      <c r="D864" s="7">
        <v>2201010738</v>
      </c>
      <c r="E864" s="7" t="s">
        <v>3646</v>
      </c>
      <c r="F864" s="17" t="e">
        <f>VLOOKUP(C864,'Fast Track '!B:C,2,FALSE)</f>
        <v>#N/A</v>
      </c>
      <c r="G864" s="17" t="s">
        <v>3692</v>
      </c>
      <c r="H864" s="6" t="s">
        <v>1151</v>
      </c>
      <c r="I864" s="6" t="s">
        <v>2942</v>
      </c>
      <c r="J864" s="6" t="s">
        <v>532</v>
      </c>
      <c r="L864" s="66" t="s">
        <v>3672</v>
      </c>
    </row>
    <row r="865" spans="1:12" ht="15.5">
      <c r="A865" s="17">
        <v>864</v>
      </c>
      <c r="B865" s="6" t="s">
        <v>1268</v>
      </c>
      <c r="C865" s="7">
        <v>2021390811</v>
      </c>
      <c r="D865" s="7">
        <v>210101238</v>
      </c>
      <c r="E865" s="7" t="s">
        <v>3646</v>
      </c>
      <c r="F865" s="17" t="e">
        <f>VLOOKUP(C865,'Fast Track '!B:C,2,FALSE)</f>
        <v>#N/A</v>
      </c>
      <c r="G865" s="17" t="s">
        <v>3692</v>
      </c>
      <c r="H865" s="6" t="s">
        <v>1269</v>
      </c>
      <c r="I865" s="6" t="s">
        <v>3120</v>
      </c>
      <c r="J865" s="6" t="s">
        <v>532</v>
      </c>
      <c r="L865" s="66" t="s">
        <v>3672</v>
      </c>
    </row>
    <row r="866" spans="1:12" ht="15.5">
      <c r="A866" s="17">
        <v>865</v>
      </c>
      <c r="B866" s="6" t="s">
        <v>1266</v>
      </c>
      <c r="C866" s="7">
        <v>2021369165</v>
      </c>
      <c r="D866" s="7">
        <v>2101134004</v>
      </c>
      <c r="E866" s="7" t="s">
        <v>3646</v>
      </c>
      <c r="F866" s="17" t="e">
        <f>VLOOKUP(C866,'Fast Track '!B:C,2,FALSE)</f>
        <v>#N/A</v>
      </c>
      <c r="G866" s="17" t="s">
        <v>3692</v>
      </c>
      <c r="H866" s="11" t="s">
        <v>1267</v>
      </c>
      <c r="I866" s="6" t="s">
        <v>3122</v>
      </c>
      <c r="J866" s="6" t="s">
        <v>532</v>
      </c>
      <c r="L866" s="66" t="s">
        <v>3672</v>
      </c>
    </row>
    <row r="867" spans="1:12" ht="15.5">
      <c r="A867" s="17">
        <v>866</v>
      </c>
      <c r="B867" s="6" t="s">
        <v>1287</v>
      </c>
      <c r="C867" s="7">
        <v>2022006849</v>
      </c>
      <c r="D867" s="7">
        <v>2201010092</v>
      </c>
      <c r="E867" s="7" t="s">
        <v>3646</v>
      </c>
      <c r="F867" s="17" t="e">
        <f>VLOOKUP(C867,'Fast Track '!B:C,2,FALSE)</f>
        <v>#N/A</v>
      </c>
      <c r="G867" s="17" t="s">
        <v>3692</v>
      </c>
      <c r="H867" s="6" t="s">
        <v>1288</v>
      </c>
      <c r="I867" s="6" t="s">
        <v>3126</v>
      </c>
      <c r="J867" s="6" t="s">
        <v>532</v>
      </c>
      <c r="L867" s="66" t="s">
        <v>3672</v>
      </c>
    </row>
    <row r="868" spans="1:12" ht="15.5">
      <c r="A868" s="17">
        <v>867</v>
      </c>
      <c r="B868" s="6" t="s">
        <v>1270</v>
      </c>
      <c r="C868" s="7">
        <v>2022000628</v>
      </c>
      <c r="D868" s="7">
        <v>2201010313</v>
      </c>
      <c r="E868" s="7" t="s">
        <v>3646</v>
      </c>
      <c r="F868" s="17" t="e">
        <f>VLOOKUP(C868,'Fast Track '!B:C,2,FALSE)</f>
        <v>#N/A</v>
      </c>
      <c r="G868" s="17" t="s">
        <v>3692</v>
      </c>
      <c r="H868" s="6" t="s">
        <v>1271</v>
      </c>
      <c r="I868" s="6" t="s">
        <v>3144</v>
      </c>
      <c r="J868" s="6" t="s">
        <v>532</v>
      </c>
      <c r="L868" s="66" t="s">
        <v>3672</v>
      </c>
    </row>
    <row r="869" spans="1:12" ht="15.5">
      <c r="A869" s="17">
        <v>868</v>
      </c>
      <c r="B869" s="6" t="s">
        <v>1351</v>
      </c>
      <c r="C869" s="7">
        <v>2022563312</v>
      </c>
      <c r="D869" s="7">
        <v>2201010532</v>
      </c>
      <c r="E869" s="7" t="s">
        <v>3646</v>
      </c>
      <c r="F869" s="17" t="e">
        <f>VLOOKUP(C869,'Fast Track '!B:C,2,FALSE)</f>
        <v>#N/A</v>
      </c>
      <c r="G869" s="17" t="s">
        <v>3692</v>
      </c>
      <c r="H869" s="6" t="s">
        <v>1352</v>
      </c>
      <c r="I869" s="6" t="s">
        <v>3162</v>
      </c>
      <c r="J869" s="6" t="s">
        <v>532</v>
      </c>
      <c r="L869" s="66" t="s">
        <v>3672</v>
      </c>
    </row>
    <row r="870" spans="1:12" ht="15.5">
      <c r="A870" s="17">
        <v>869</v>
      </c>
      <c r="B870" s="6" t="s">
        <v>1364</v>
      </c>
      <c r="C870" s="7">
        <v>2022368174</v>
      </c>
      <c r="D870" s="7">
        <v>2201010728</v>
      </c>
      <c r="E870" s="7" t="s">
        <v>3646</v>
      </c>
      <c r="F870" s="17" t="e">
        <f>VLOOKUP(C870,'Fast Track '!B:C,2,FALSE)</f>
        <v>#N/A</v>
      </c>
      <c r="G870" s="17" t="s">
        <v>3692</v>
      </c>
      <c r="H870" s="6" t="s">
        <v>1365</v>
      </c>
      <c r="I870" s="6" t="s">
        <v>3176</v>
      </c>
      <c r="J870" s="6" t="s">
        <v>532</v>
      </c>
      <c r="L870" s="66" t="s">
        <v>3672</v>
      </c>
    </row>
    <row r="871" spans="1:12" ht="15.5">
      <c r="A871" s="17">
        <v>870</v>
      </c>
      <c r="B871" s="6" t="s">
        <v>1291</v>
      </c>
      <c r="C871" s="7">
        <v>2022007387</v>
      </c>
      <c r="D871" s="7">
        <v>2201010925</v>
      </c>
      <c r="E871" s="7" t="s">
        <v>3646</v>
      </c>
      <c r="F871" s="17" t="e">
        <f>VLOOKUP(C871,'Fast Track '!B:C,2,FALSE)</f>
        <v>#N/A</v>
      </c>
      <c r="G871" s="17" t="s">
        <v>3692</v>
      </c>
      <c r="H871" s="6" t="s">
        <v>1292</v>
      </c>
      <c r="I871" s="6" t="s">
        <v>3186</v>
      </c>
      <c r="J871" s="6" t="s">
        <v>532</v>
      </c>
      <c r="L871" s="66" t="s">
        <v>3672</v>
      </c>
    </row>
    <row r="872" spans="1:12" ht="15.5">
      <c r="A872" s="17">
        <v>871</v>
      </c>
      <c r="B872" s="6" t="s">
        <v>1547</v>
      </c>
      <c r="C872" s="7">
        <v>2022386358</v>
      </c>
      <c r="D872" s="7">
        <v>2201010033</v>
      </c>
      <c r="E872" s="7" t="s">
        <v>3646</v>
      </c>
      <c r="F872" s="17" t="e">
        <f>VLOOKUP(C872,'Fast Track '!B:C,2,FALSE)</f>
        <v>#N/A</v>
      </c>
      <c r="G872" s="17" t="s">
        <v>3692</v>
      </c>
      <c r="H872" s="6" t="s">
        <v>1548</v>
      </c>
      <c r="I872" s="6" t="s">
        <v>3386</v>
      </c>
      <c r="J872" s="6" t="s">
        <v>532</v>
      </c>
      <c r="L872" s="66" t="s">
        <v>3672</v>
      </c>
    </row>
    <row r="873" spans="1:12" ht="15.5">
      <c r="A873" s="17">
        <v>872</v>
      </c>
      <c r="B873" s="6" t="s">
        <v>850</v>
      </c>
      <c r="C873" s="7">
        <v>2022398713</v>
      </c>
      <c r="D873" s="7">
        <v>2201010017</v>
      </c>
      <c r="E873" s="7" t="s">
        <v>3646</v>
      </c>
      <c r="F873" s="17" t="e">
        <f>VLOOKUP(C873,'Fast Track '!B:C,2,FALSE)</f>
        <v>#N/A</v>
      </c>
      <c r="G873" s="17" t="s">
        <v>3692</v>
      </c>
      <c r="H873" s="6" t="s">
        <v>851</v>
      </c>
      <c r="I873" s="6" t="s">
        <v>3240</v>
      </c>
      <c r="J873" s="6" t="s">
        <v>532</v>
      </c>
      <c r="L873" s="66" t="s">
        <v>3672</v>
      </c>
    </row>
    <row r="874" spans="1:12" ht="15.5">
      <c r="A874" s="17">
        <v>873</v>
      </c>
      <c r="B874" s="6" t="s">
        <v>1385</v>
      </c>
      <c r="C874" s="7">
        <v>2022508386</v>
      </c>
      <c r="D874" s="7">
        <v>2201010025</v>
      </c>
      <c r="E874" s="7" t="s">
        <v>3646</v>
      </c>
      <c r="F874" s="17" t="e">
        <f>VLOOKUP(C874,'Fast Track '!B:C,2,FALSE)</f>
        <v>#N/A</v>
      </c>
      <c r="G874" s="17" t="s">
        <v>3692</v>
      </c>
      <c r="H874" s="6" t="s">
        <v>1386</v>
      </c>
      <c r="I874" s="6" t="s">
        <v>3242</v>
      </c>
      <c r="J874" s="6" t="s">
        <v>532</v>
      </c>
      <c r="L874" s="66" t="s">
        <v>3672</v>
      </c>
    </row>
    <row r="875" spans="1:12" ht="15.5">
      <c r="A875" s="17">
        <v>874</v>
      </c>
      <c r="B875" s="6" t="s">
        <v>846</v>
      </c>
      <c r="C875" s="7">
        <v>2022361815</v>
      </c>
      <c r="D875" s="7">
        <v>2201010195</v>
      </c>
      <c r="E875" s="7" t="s">
        <v>3646</v>
      </c>
      <c r="F875" s="17" t="e">
        <f>VLOOKUP(C875,'Fast Track '!B:C,2,FALSE)</f>
        <v>#N/A</v>
      </c>
      <c r="G875" s="17" t="s">
        <v>3692</v>
      </c>
      <c r="H875" s="6" t="s">
        <v>847</v>
      </c>
      <c r="I875" s="6" t="s">
        <v>3258</v>
      </c>
      <c r="J875" s="6" t="s">
        <v>532</v>
      </c>
      <c r="L875" s="66" t="s">
        <v>3672</v>
      </c>
    </row>
    <row r="876" spans="1:12" ht="15.5">
      <c r="A876" s="17">
        <v>875</v>
      </c>
      <c r="B876" s="6" t="s">
        <v>860</v>
      </c>
      <c r="C876" s="7">
        <v>2022451626</v>
      </c>
      <c r="D876" s="7">
        <v>2201010471</v>
      </c>
      <c r="E876" s="7" t="s">
        <v>3646</v>
      </c>
      <c r="F876" s="17" t="e">
        <f>VLOOKUP(C876,'Fast Track '!B:C,2,FALSE)</f>
        <v>#N/A</v>
      </c>
      <c r="G876" s="17" t="s">
        <v>3692</v>
      </c>
      <c r="H876" s="6" t="s">
        <v>861</v>
      </c>
      <c r="I876" s="6" t="s">
        <v>3278</v>
      </c>
      <c r="J876" s="6" t="s">
        <v>532</v>
      </c>
      <c r="L876" s="66" t="s">
        <v>3672</v>
      </c>
    </row>
    <row r="877" spans="1:12" ht="15.5">
      <c r="A877" s="17">
        <v>876</v>
      </c>
      <c r="B877" s="6" t="s">
        <v>880</v>
      </c>
      <c r="C877" s="7">
        <v>2022548738</v>
      </c>
      <c r="D877" s="7">
        <v>2201010578</v>
      </c>
      <c r="E877" s="7" t="s">
        <v>3646</v>
      </c>
      <c r="F877" s="17" t="e">
        <f>VLOOKUP(C877,'Fast Track '!B:C,2,FALSE)</f>
        <v>#N/A</v>
      </c>
      <c r="G877" s="17" t="s">
        <v>3692</v>
      </c>
      <c r="H877" s="6" t="s">
        <v>881</v>
      </c>
      <c r="I877" s="6" t="s">
        <v>3288</v>
      </c>
      <c r="J877" s="6" t="s">
        <v>532</v>
      </c>
      <c r="L877" s="66" t="s">
        <v>3672</v>
      </c>
    </row>
    <row r="878" spans="1:12" ht="15.5">
      <c r="A878" s="17">
        <v>877</v>
      </c>
      <c r="B878" s="6" t="s">
        <v>854</v>
      </c>
      <c r="C878" s="7">
        <v>2022409813</v>
      </c>
      <c r="D878" s="7">
        <v>2201010702</v>
      </c>
      <c r="E878" s="7" t="s">
        <v>3646</v>
      </c>
      <c r="F878" s="17" t="e">
        <f>VLOOKUP(C878,'Fast Track '!B:C,2,FALSE)</f>
        <v>#N/A</v>
      </c>
      <c r="G878" s="17" t="s">
        <v>3692</v>
      </c>
      <c r="H878" s="6" t="s">
        <v>855</v>
      </c>
      <c r="I878" s="6" t="s">
        <v>3304</v>
      </c>
      <c r="J878" s="6" t="s">
        <v>532</v>
      </c>
      <c r="L878" s="66" t="s">
        <v>3672</v>
      </c>
    </row>
    <row r="879" spans="1:12" ht="15.5">
      <c r="A879" s="17">
        <v>878</v>
      </c>
      <c r="B879" s="6" t="s">
        <v>1527</v>
      </c>
      <c r="C879" s="7">
        <v>2022006170</v>
      </c>
      <c r="D879" s="7">
        <v>2201010761</v>
      </c>
      <c r="E879" s="7" t="s">
        <v>3646</v>
      </c>
      <c r="F879" s="17" t="e">
        <f>VLOOKUP(C879,'Fast Track '!B:C,2,FALSE)</f>
        <v>#N/A</v>
      </c>
      <c r="G879" s="17" t="s">
        <v>3692</v>
      </c>
      <c r="H879" s="6" t="s">
        <v>1528</v>
      </c>
      <c r="I879" s="6" t="s">
        <v>3416</v>
      </c>
      <c r="J879" s="6" t="s">
        <v>532</v>
      </c>
      <c r="L879" s="66" t="s">
        <v>3672</v>
      </c>
    </row>
    <row r="880" spans="1:12" ht="15.5">
      <c r="A880" s="17">
        <v>879</v>
      </c>
      <c r="B880" s="6" t="s">
        <v>1767</v>
      </c>
      <c r="C880" s="7">
        <v>2022477719</v>
      </c>
      <c r="D880" s="7">
        <v>2201010759</v>
      </c>
      <c r="E880" s="7" t="s">
        <v>3646</v>
      </c>
      <c r="F880" s="17" t="e">
        <f>VLOOKUP(C880,'Fast Track '!B:C,2,FALSE)</f>
        <v>#N/A</v>
      </c>
      <c r="G880" s="17" t="s">
        <v>3692</v>
      </c>
      <c r="H880" s="6" t="s">
        <v>1768</v>
      </c>
      <c r="I880" s="6" t="s">
        <v>3070</v>
      </c>
      <c r="J880" s="6" t="s">
        <v>1276</v>
      </c>
      <c r="L880" s="66" t="s">
        <v>3672</v>
      </c>
    </row>
    <row r="881" spans="1:12" ht="15.5">
      <c r="A881" s="17">
        <v>880</v>
      </c>
      <c r="B881" s="6" t="s">
        <v>1366</v>
      </c>
      <c r="C881" s="7">
        <v>2022603519</v>
      </c>
      <c r="D881" s="7">
        <v>2201010952</v>
      </c>
      <c r="E881" s="7" t="s">
        <v>3646</v>
      </c>
      <c r="F881" s="17" t="e">
        <f>VLOOKUP(C881,'Fast Track '!B:C,2,FALSE)</f>
        <v>#N/A</v>
      </c>
      <c r="G881" s="17" t="s">
        <v>3692</v>
      </c>
      <c r="H881" s="6" t="s">
        <v>1367</v>
      </c>
      <c r="I881" s="6" t="s">
        <v>3096</v>
      </c>
      <c r="J881" s="6" t="s">
        <v>1276</v>
      </c>
      <c r="L881" s="66" t="s">
        <v>3672</v>
      </c>
    </row>
    <row r="882" spans="1:12" ht="15.5">
      <c r="A882" s="17">
        <v>881</v>
      </c>
      <c r="B882" s="6" t="s">
        <v>705</v>
      </c>
      <c r="C882" s="7">
        <v>2022617520</v>
      </c>
      <c r="D882" s="7">
        <v>2201010954</v>
      </c>
      <c r="E882" s="7" t="s">
        <v>3646</v>
      </c>
      <c r="F882" s="17" t="e">
        <f>VLOOKUP(C882,'Fast Track '!B:C,2,FALSE)</f>
        <v>#N/A</v>
      </c>
      <c r="G882" s="17" t="s">
        <v>3692</v>
      </c>
      <c r="H882" s="6" t="s">
        <v>1786</v>
      </c>
      <c r="I882" s="6" t="s">
        <v>3098</v>
      </c>
      <c r="J882" s="6" t="s">
        <v>1276</v>
      </c>
      <c r="L882" s="66" t="s">
        <v>3672</v>
      </c>
    </row>
    <row r="883" spans="1:12" ht="15.5">
      <c r="A883" s="17">
        <v>882</v>
      </c>
      <c r="B883" s="6" t="s">
        <v>1706</v>
      </c>
      <c r="C883" s="7">
        <v>2022005947</v>
      </c>
      <c r="D883" s="7">
        <v>2201010179</v>
      </c>
      <c r="E883" s="7" t="s">
        <v>3646</v>
      </c>
      <c r="F883" s="17" t="e">
        <f>VLOOKUP(C883,'Fast Track '!B:C,2,FALSE)</f>
        <v>#N/A</v>
      </c>
      <c r="G883" s="17" t="s">
        <v>3692</v>
      </c>
      <c r="H883" s="6" t="s">
        <v>1707</v>
      </c>
      <c r="I883" s="6" t="s">
        <v>3200</v>
      </c>
      <c r="J883" s="6" t="s">
        <v>1276</v>
      </c>
      <c r="L883" s="66" t="s">
        <v>3672</v>
      </c>
    </row>
    <row r="884" spans="1:12" ht="15.5">
      <c r="A884" s="17">
        <v>883</v>
      </c>
      <c r="B884" s="6" t="s">
        <v>1490</v>
      </c>
      <c r="C884" s="7">
        <v>2022603988</v>
      </c>
      <c r="D884" s="7">
        <v>2201010953</v>
      </c>
      <c r="E884" s="7" t="s">
        <v>3646</v>
      </c>
      <c r="F884" s="17" t="e">
        <f>VLOOKUP(C884,'Fast Track '!B:C,2,FALSE)</f>
        <v>#N/A</v>
      </c>
      <c r="G884" s="17" t="s">
        <v>3692</v>
      </c>
      <c r="H884" s="6" t="s">
        <v>1491</v>
      </c>
      <c r="I884" s="6" t="s">
        <v>3334</v>
      </c>
      <c r="J884" s="6" t="s">
        <v>1276</v>
      </c>
      <c r="L884" s="66" t="s">
        <v>3672</v>
      </c>
    </row>
    <row r="885" spans="1:12" ht="15.5">
      <c r="A885" s="17">
        <v>884</v>
      </c>
      <c r="B885" s="6" t="s">
        <v>1439</v>
      </c>
      <c r="C885" s="7">
        <v>2022008213</v>
      </c>
      <c r="D885" s="7">
        <v>2201010981</v>
      </c>
      <c r="E885" s="7" t="s">
        <v>3646</v>
      </c>
      <c r="F885" s="17" t="e">
        <f>VLOOKUP(C885,'Fast Track '!B:C,2,FALSE)</f>
        <v>#N/A</v>
      </c>
      <c r="G885" s="17" t="s">
        <v>3692</v>
      </c>
      <c r="H885" s="6" t="s">
        <v>1440</v>
      </c>
      <c r="I885" s="6" t="s">
        <v>3336</v>
      </c>
      <c r="J885" s="6" t="s">
        <v>1276</v>
      </c>
      <c r="L885" s="66" t="s">
        <v>3672</v>
      </c>
    </row>
    <row r="886" spans="1:12" ht="15.5">
      <c r="A886" s="17">
        <v>885</v>
      </c>
      <c r="B886" s="6" t="s">
        <v>1643</v>
      </c>
      <c r="C886" s="7">
        <v>2022473539</v>
      </c>
      <c r="D886" s="7">
        <v>2201010019</v>
      </c>
      <c r="E886" s="7" t="s">
        <v>3646</v>
      </c>
      <c r="F886" s="17" t="e">
        <f>VLOOKUP(C886,'Fast Track '!B:C,2,FALSE)</f>
        <v>#N/A</v>
      </c>
      <c r="G886" s="17" t="s">
        <v>3692</v>
      </c>
      <c r="H886" s="6" t="s">
        <v>1644</v>
      </c>
      <c r="I886" s="6" t="s">
        <v>3524</v>
      </c>
      <c r="J886" s="6" t="s">
        <v>131</v>
      </c>
      <c r="L886" s="66" t="s">
        <v>3672</v>
      </c>
    </row>
    <row r="887" spans="1:12" ht="15.5">
      <c r="A887" s="17">
        <v>886</v>
      </c>
      <c r="B887" s="6" t="s">
        <v>1647</v>
      </c>
      <c r="C887" s="7">
        <v>2022476924</v>
      </c>
      <c r="D887" s="7">
        <v>2201010449</v>
      </c>
      <c r="E887" s="7" t="s">
        <v>3646</v>
      </c>
      <c r="F887" s="17" t="e">
        <f>VLOOKUP(C887,'Fast Track '!B:C,2,FALSE)</f>
        <v>#N/A</v>
      </c>
      <c r="G887" s="17" t="s">
        <v>3692</v>
      </c>
      <c r="H887" s="6" t="s">
        <v>1648</v>
      </c>
      <c r="I887" s="6" t="s">
        <v>3562</v>
      </c>
      <c r="J887" s="6" t="s">
        <v>131</v>
      </c>
      <c r="L887" s="66" t="s">
        <v>3672</v>
      </c>
    </row>
    <row r="888" spans="1:12" ht="15.5">
      <c r="A888" s="17">
        <v>887</v>
      </c>
      <c r="B888" s="6" t="s">
        <v>1613</v>
      </c>
      <c r="C888" s="7">
        <v>2022007628</v>
      </c>
      <c r="D888" s="7">
        <v>2201010978</v>
      </c>
      <c r="E888" s="7" t="s">
        <v>3646</v>
      </c>
      <c r="F888" s="17" t="e">
        <f>VLOOKUP(C888,'Fast Track '!B:C,2,FALSE)</f>
        <v>#N/A</v>
      </c>
      <c r="G888" s="17" t="s">
        <v>3692</v>
      </c>
      <c r="H888" s="6" t="s">
        <v>1614</v>
      </c>
      <c r="I888" s="6" t="s">
        <v>3518</v>
      </c>
      <c r="J888" s="6" t="s">
        <v>1372</v>
      </c>
      <c r="L888" s="66" t="s">
        <v>3672</v>
      </c>
    </row>
    <row r="889" spans="1:12" ht="15.5">
      <c r="A889" s="17">
        <v>888</v>
      </c>
      <c r="B889" s="6" t="s">
        <v>1515</v>
      </c>
      <c r="C889" s="7">
        <v>2022003323</v>
      </c>
      <c r="D889" s="7">
        <v>2201010065</v>
      </c>
      <c r="E889" s="7" t="s">
        <v>3646</v>
      </c>
      <c r="F889" s="17" t="e">
        <f>VLOOKUP(C889,'Fast Track '!B:C,2,FALSE)</f>
        <v>#N/A</v>
      </c>
      <c r="G889" s="17" t="s">
        <v>3692</v>
      </c>
      <c r="H889" s="6" t="s">
        <v>1516</v>
      </c>
      <c r="I889" s="6" t="s">
        <v>3356</v>
      </c>
      <c r="J889" s="6" t="s">
        <v>1401</v>
      </c>
      <c r="L889" s="66" t="s">
        <v>3672</v>
      </c>
    </row>
  </sheetData>
  <conditionalFormatting sqref="C58:C59">
    <cfRule type="duplicateValues" dxfId="316" priority="171"/>
  </conditionalFormatting>
  <conditionalFormatting sqref="C58:C59">
    <cfRule type="duplicateValues" dxfId="315" priority="168"/>
  </conditionalFormatting>
  <conditionalFormatting sqref="C58:D59">
    <cfRule type="duplicateValues" dxfId="314" priority="169"/>
    <cfRule type="duplicateValues" dxfId="313" priority="170"/>
  </conditionalFormatting>
  <conditionalFormatting sqref="C60:C65">
    <cfRule type="duplicateValues" dxfId="312" priority="167"/>
  </conditionalFormatting>
  <conditionalFormatting sqref="C60:C65">
    <cfRule type="duplicateValues" dxfId="311" priority="164"/>
  </conditionalFormatting>
  <conditionalFormatting sqref="C60:D65">
    <cfRule type="duplicateValues" dxfId="310" priority="165"/>
    <cfRule type="duplicateValues" dxfId="309" priority="166"/>
  </conditionalFormatting>
  <conditionalFormatting sqref="C1">
    <cfRule type="duplicateValues" dxfId="308" priority="172"/>
  </conditionalFormatting>
  <conditionalFormatting sqref="C1:D1">
    <cfRule type="duplicateValues" dxfId="307" priority="173"/>
    <cfRule type="duplicateValues" dxfId="306" priority="174"/>
  </conditionalFormatting>
  <conditionalFormatting sqref="K88:K89">
    <cfRule type="uniqueValues" dxfId="305" priority="159"/>
  </conditionalFormatting>
  <conditionalFormatting sqref="K85:K86">
    <cfRule type="uniqueValues" dxfId="304" priority="160"/>
  </conditionalFormatting>
  <conditionalFormatting sqref="C254:C275">
    <cfRule type="duplicateValues" dxfId="303" priority="150"/>
  </conditionalFormatting>
  <conditionalFormatting sqref="C254:D275">
    <cfRule type="duplicateValues" dxfId="302" priority="151"/>
    <cfRule type="duplicateValues" dxfId="301" priority="152"/>
  </conditionalFormatting>
  <conditionalFormatting sqref="C334:C340">
    <cfRule type="duplicateValues" dxfId="300" priority="146"/>
  </conditionalFormatting>
  <conditionalFormatting sqref="C334:C340">
    <cfRule type="duplicateValues" dxfId="299" priority="143"/>
  </conditionalFormatting>
  <conditionalFormatting sqref="C334:D340">
    <cfRule type="duplicateValues" dxfId="298" priority="144"/>
    <cfRule type="duplicateValues" dxfId="297" priority="145"/>
  </conditionalFormatting>
  <conditionalFormatting sqref="K341:K350">
    <cfRule type="uniqueValues" dxfId="296" priority="138"/>
  </conditionalFormatting>
  <conditionalFormatting sqref="K354:K361">
    <cfRule type="uniqueValues" dxfId="295" priority="137"/>
  </conditionalFormatting>
  <conditionalFormatting sqref="K371">
    <cfRule type="uniqueValues" dxfId="294" priority="136"/>
  </conditionalFormatting>
  <conditionalFormatting sqref="K362:K370">
    <cfRule type="uniqueValues" dxfId="293" priority="139"/>
  </conditionalFormatting>
  <conditionalFormatting sqref="C528">
    <cfRule type="duplicateValues" dxfId="292" priority="123"/>
  </conditionalFormatting>
  <conditionalFormatting sqref="C528">
    <cfRule type="duplicateValues" dxfId="291" priority="120"/>
  </conditionalFormatting>
  <conditionalFormatting sqref="C528:D528">
    <cfRule type="duplicateValues" dxfId="290" priority="121"/>
    <cfRule type="duplicateValues" dxfId="289" priority="122"/>
  </conditionalFormatting>
  <conditionalFormatting sqref="C532">
    <cfRule type="duplicateValues" dxfId="288" priority="117"/>
  </conditionalFormatting>
  <conditionalFormatting sqref="C532:D532">
    <cfRule type="duplicateValues" dxfId="287" priority="118"/>
    <cfRule type="duplicateValues" dxfId="286" priority="119"/>
  </conditionalFormatting>
  <conditionalFormatting sqref="C531">
    <cfRule type="duplicateValues" dxfId="285" priority="114"/>
  </conditionalFormatting>
  <conditionalFormatting sqref="C531:D531">
    <cfRule type="duplicateValues" dxfId="284" priority="115"/>
    <cfRule type="duplicateValues" dxfId="283" priority="116"/>
  </conditionalFormatting>
  <conditionalFormatting sqref="C529">
    <cfRule type="duplicateValues" dxfId="282" priority="113"/>
  </conditionalFormatting>
  <conditionalFormatting sqref="C529">
    <cfRule type="duplicateValues" dxfId="281" priority="110"/>
  </conditionalFormatting>
  <conditionalFormatting sqref="C529:D529">
    <cfRule type="duplicateValues" dxfId="280" priority="111"/>
    <cfRule type="duplicateValues" dxfId="279" priority="112"/>
  </conditionalFormatting>
  <conditionalFormatting sqref="C530">
    <cfRule type="duplicateValues" dxfId="278" priority="109"/>
  </conditionalFormatting>
  <conditionalFormatting sqref="C530">
    <cfRule type="duplicateValues" dxfId="277" priority="106"/>
  </conditionalFormatting>
  <conditionalFormatting sqref="C530:D530">
    <cfRule type="duplicateValues" dxfId="276" priority="107"/>
    <cfRule type="duplicateValues" dxfId="275" priority="108"/>
  </conditionalFormatting>
  <conditionalFormatting sqref="C535">
    <cfRule type="duplicateValues" dxfId="274" priority="105"/>
  </conditionalFormatting>
  <conditionalFormatting sqref="C535">
    <cfRule type="duplicateValues" dxfId="273" priority="102"/>
  </conditionalFormatting>
  <conditionalFormatting sqref="C535:D535">
    <cfRule type="duplicateValues" dxfId="272" priority="103"/>
    <cfRule type="duplicateValues" dxfId="271" priority="104"/>
  </conditionalFormatting>
  <conditionalFormatting sqref="C555">
    <cfRule type="duplicateValues" dxfId="270" priority="101"/>
  </conditionalFormatting>
  <conditionalFormatting sqref="C555">
    <cfRule type="duplicateValues" dxfId="269" priority="98"/>
  </conditionalFormatting>
  <conditionalFormatting sqref="C555:D555">
    <cfRule type="duplicateValues" dxfId="268" priority="99"/>
    <cfRule type="duplicateValues" dxfId="267" priority="100"/>
  </conditionalFormatting>
  <conditionalFormatting sqref="C581:D595 C597:D600">
    <cfRule type="duplicateValues" dxfId="266" priority="124"/>
    <cfRule type="duplicateValues" dxfId="265" priority="125"/>
  </conditionalFormatting>
  <conditionalFormatting sqref="C556:C580 C527 C533:C534 C536:C554">
    <cfRule type="duplicateValues" dxfId="264" priority="126"/>
  </conditionalFormatting>
  <conditionalFormatting sqref="C581:C595 C597:C600">
    <cfRule type="duplicateValues" dxfId="263" priority="127"/>
  </conditionalFormatting>
  <conditionalFormatting sqref="C556:D580 C527:D527 C536:D554 C533:D534">
    <cfRule type="duplicateValues" dxfId="262" priority="128"/>
    <cfRule type="duplicateValues" dxfId="261" priority="129"/>
  </conditionalFormatting>
  <conditionalFormatting sqref="C609:D610">
    <cfRule type="duplicateValues" dxfId="260" priority="84"/>
    <cfRule type="duplicateValues" dxfId="259" priority="85"/>
  </conditionalFormatting>
  <conditionalFormatting sqref="C635:C649">
    <cfRule type="duplicateValues" dxfId="258" priority="86"/>
  </conditionalFormatting>
  <conditionalFormatting sqref="C635:D649">
    <cfRule type="duplicateValues" dxfId="257" priority="87"/>
    <cfRule type="duplicateValues" dxfId="256" priority="88"/>
  </conditionalFormatting>
  <conditionalFormatting sqref="C601:D608 C611:D634">
    <cfRule type="duplicateValues" dxfId="255" priority="89"/>
    <cfRule type="duplicateValues" dxfId="254" priority="90"/>
  </conditionalFormatting>
  <conditionalFormatting sqref="C650:C658">
    <cfRule type="duplicateValues" dxfId="253" priority="94"/>
  </conditionalFormatting>
  <conditionalFormatting sqref="C650:D658">
    <cfRule type="duplicateValues" dxfId="252" priority="95"/>
    <cfRule type="duplicateValues" dxfId="251" priority="96"/>
  </conditionalFormatting>
  <conditionalFormatting sqref="C601:C634">
    <cfRule type="duplicateValues" dxfId="250" priority="97"/>
  </conditionalFormatting>
  <conditionalFormatting sqref="C700:C704">
    <cfRule type="duplicateValues" dxfId="249" priority="74"/>
  </conditionalFormatting>
  <conditionalFormatting sqref="C700:C704">
    <cfRule type="duplicateValues" dxfId="248" priority="71"/>
  </conditionalFormatting>
  <conditionalFormatting sqref="C700:D704">
    <cfRule type="duplicateValues" dxfId="247" priority="72"/>
    <cfRule type="duplicateValues" dxfId="246" priority="73"/>
  </conditionalFormatting>
  <conditionalFormatting sqref="C705">
    <cfRule type="duplicateValues" dxfId="245" priority="70"/>
  </conditionalFormatting>
  <conditionalFormatting sqref="C705">
    <cfRule type="duplicateValues" dxfId="244" priority="67"/>
  </conditionalFormatting>
  <conditionalFormatting sqref="C705:D705">
    <cfRule type="duplicateValues" dxfId="243" priority="68"/>
    <cfRule type="duplicateValues" dxfId="242" priority="69"/>
  </conditionalFormatting>
  <conditionalFormatting sqref="C706">
    <cfRule type="duplicateValues" dxfId="241" priority="66"/>
  </conditionalFormatting>
  <conditionalFormatting sqref="C706">
    <cfRule type="duplicateValues" dxfId="240" priority="63"/>
  </conditionalFormatting>
  <conditionalFormatting sqref="C706:D706">
    <cfRule type="duplicateValues" dxfId="239" priority="64"/>
    <cfRule type="duplicateValues" dxfId="238" priority="65"/>
  </conditionalFormatting>
  <conditionalFormatting sqref="C707">
    <cfRule type="duplicateValues" dxfId="237" priority="60"/>
  </conditionalFormatting>
  <conditionalFormatting sqref="C707:D707">
    <cfRule type="duplicateValues" dxfId="236" priority="61"/>
    <cfRule type="duplicateValues" dxfId="235" priority="62"/>
  </conditionalFormatting>
  <conditionalFormatting sqref="C696:C699">
    <cfRule type="duplicateValues" dxfId="234" priority="75"/>
  </conditionalFormatting>
  <conditionalFormatting sqref="C696:D699">
    <cfRule type="duplicateValues" dxfId="233" priority="76"/>
    <cfRule type="duplicateValues" dxfId="232" priority="77"/>
  </conditionalFormatting>
  <conditionalFormatting sqref="C708:C722">
    <cfRule type="duplicateValues" dxfId="231" priority="81"/>
  </conditionalFormatting>
  <conditionalFormatting sqref="C708:D722">
    <cfRule type="duplicateValues" dxfId="230" priority="82"/>
    <cfRule type="duplicateValues" dxfId="229" priority="83"/>
  </conditionalFormatting>
  <conditionalFormatting sqref="C659:D695">
    <cfRule type="duplicateValues" dxfId="228" priority="980"/>
    <cfRule type="duplicateValues" dxfId="227" priority="981"/>
  </conditionalFormatting>
  <conditionalFormatting sqref="C659:C695">
    <cfRule type="duplicateValues" dxfId="226" priority="982"/>
  </conditionalFormatting>
  <conditionalFormatting sqref="C723:C781">
    <cfRule type="duplicateValues" dxfId="225" priority="983"/>
  </conditionalFormatting>
  <conditionalFormatting sqref="C723:D781">
    <cfRule type="duplicateValues" dxfId="224" priority="984"/>
    <cfRule type="duplicateValues" dxfId="223" priority="985"/>
  </conditionalFormatting>
  <conditionalFormatting sqref="C825:C828">
    <cfRule type="duplicateValues" dxfId="222" priority="53"/>
  </conditionalFormatting>
  <conditionalFormatting sqref="C825:C828">
    <cfRule type="duplicateValues" dxfId="221" priority="50"/>
  </conditionalFormatting>
  <conditionalFormatting sqref="C825:D828">
    <cfRule type="duplicateValues" dxfId="220" priority="51"/>
    <cfRule type="duplicateValues" dxfId="219" priority="52"/>
  </conditionalFormatting>
  <conditionalFormatting sqref="C782:D824">
    <cfRule type="duplicateValues" dxfId="218" priority="986"/>
    <cfRule type="duplicateValues" dxfId="217" priority="987"/>
  </conditionalFormatting>
  <conditionalFormatting sqref="C782:C824">
    <cfRule type="duplicateValues" dxfId="216" priority="988"/>
  </conditionalFormatting>
  <conditionalFormatting sqref="C858:C864">
    <cfRule type="duplicateValues" dxfId="215" priority="38"/>
  </conditionalFormatting>
  <conditionalFormatting sqref="C858:D864">
    <cfRule type="duplicateValues" dxfId="214" priority="39"/>
    <cfRule type="duplicateValues" dxfId="213" priority="40"/>
  </conditionalFormatting>
  <conditionalFormatting sqref="C865:D871">
    <cfRule type="duplicateValues" dxfId="212" priority="35"/>
    <cfRule type="duplicateValues" dxfId="211" priority="36"/>
  </conditionalFormatting>
  <conditionalFormatting sqref="C865:C871">
    <cfRule type="duplicateValues" dxfId="210" priority="37"/>
  </conditionalFormatting>
  <conditionalFormatting sqref="C872">
    <cfRule type="duplicateValues" dxfId="209" priority="32"/>
  </conditionalFormatting>
  <conditionalFormatting sqref="C872:D872">
    <cfRule type="duplicateValues" dxfId="208" priority="33"/>
    <cfRule type="duplicateValues" dxfId="207" priority="34"/>
  </conditionalFormatting>
  <conditionalFormatting sqref="C873:C878">
    <cfRule type="duplicateValues" dxfId="206" priority="29"/>
  </conditionalFormatting>
  <conditionalFormatting sqref="C873:D878">
    <cfRule type="duplicateValues" dxfId="205" priority="30"/>
    <cfRule type="duplicateValues" dxfId="204" priority="31"/>
  </conditionalFormatting>
  <conditionalFormatting sqref="C879">
    <cfRule type="duplicateValues" dxfId="203" priority="28"/>
  </conditionalFormatting>
  <conditionalFormatting sqref="C879">
    <cfRule type="duplicateValues" dxfId="202" priority="25"/>
  </conditionalFormatting>
  <conditionalFormatting sqref="C879:D879">
    <cfRule type="duplicateValues" dxfId="201" priority="26"/>
    <cfRule type="duplicateValues" dxfId="200" priority="27"/>
  </conditionalFormatting>
  <conditionalFormatting sqref="C880:C882">
    <cfRule type="duplicateValues" dxfId="199" priority="22"/>
  </conditionalFormatting>
  <conditionalFormatting sqref="C880:D882">
    <cfRule type="duplicateValues" dxfId="198" priority="23"/>
    <cfRule type="duplicateValues" dxfId="197" priority="24"/>
  </conditionalFormatting>
  <conditionalFormatting sqref="C883:C885">
    <cfRule type="duplicateValues" dxfId="196" priority="19"/>
  </conditionalFormatting>
  <conditionalFormatting sqref="C883:D885">
    <cfRule type="duplicateValues" dxfId="195" priority="20"/>
    <cfRule type="duplicateValues" dxfId="194" priority="21"/>
  </conditionalFormatting>
  <conditionalFormatting sqref="C886:C887">
    <cfRule type="duplicateValues" dxfId="193" priority="16"/>
  </conditionalFormatting>
  <conditionalFormatting sqref="C886:D887">
    <cfRule type="duplicateValues" dxfId="192" priority="17"/>
    <cfRule type="duplicateValues" dxfId="191" priority="18"/>
  </conditionalFormatting>
  <conditionalFormatting sqref="C889">
    <cfRule type="duplicateValues" dxfId="190" priority="15"/>
  </conditionalFormatting>
  <conditionalFormatting sqref="C889">
    <cfRule type="duplicateValues" dxfId="189" priority="12"/>
  </conditionalFormatting>
  <conditionalFormatting sqref="C889:D889">
    <cfRule type="duplicateValues" dxfId="188" priority="13"/>
    <cfRule type="duplicateValues" dxfId="187" priority="14"/>
  </conditionalFormatting>
  <conditionalFormatting sqref="C888">
    <cfRule type="duplicateValues" dxfId="186" priority="47"/>
  </conditionalFormatting>
  <conditionalFormatting sqref="C888:D888">
    <cfRule type="duplicateValues" dxfId="185" priority="48"/>
    <cfRule type="duplicateValues" dxfId="184" priority="49"/>
  </conditionalFormatting>
  <conditionalFormatting sqref="C596">
    <cfRule type="duplicateValues" dxfId="183" priority="10"/>
  </conditionalFormatting>
  <conditionalFormatting sqref="C596">
    <cfRule type="duplicateValues" dxfId="182" priority="7"/>
  </conditionalFormatting>
  <conditionalFormatting sqref="C596:D596">
    <cfRule type="duplicateValues" dxfId="181" priority="8"/>
    <cfRule type="duplicateValues" dxfId="180" priority="9"/>
  </conditionalFormatting>
  <conditionalFormatting sqref="E596 A890:XFD1048576 I829:J889 A1:XFD4 B66:K269 L32:L269 L723:L828 B270:L595 N66:XFD889 I597:K828 B597:H889 L597:L658 B5:XFD65 A5:A889">
    <cfRule type="duplicateValues" dxfId="179" priority="990"/>
  </conditionalFormatting>
  <conditionalFormatting sqref="C123:C129">
    <cfRule type="duplicateValues" dxfId="178" priority="991"/>
  </conditionalFormatting>
  <conditionalFormatting sqref="C123:D129">
    <cfRule type="duplicateValues" dxfId="177" priority="993"/>
    <cfRule type="duplicateValues" dxfId="176" priority="994"/>
  </conditionalFormatting>
  <conditionalFormatting sqref="L659 L661 L663 L665 L667 L669 L671 L673 L675 L677 L679 L681 L683 L685 L687 L689 L691 L693 L695 L697 L699 L701 L703 L705 L707 L709 L711 L713 L715 L717 L719 L721">
    <cfRule type="duplicateValues" dxfId="175" priority="6"/>
  </conditionalFormatting>
  <conditionalFormatting sqref="L660 L662 L664 L666 L668 L670 L672 L674 L676 L678 L680 L682 L684 L686 L688 L690 L692 L694 L696 L698 L700 L702 L704 L706 L708 L710 L712 L714 L716 L718 L720 L722">
    <cfRule type="duplicateValues" dxfId="174" priority="5"/>
  </conditionalFormatting>
  <conditionalFormatting sqref="L829 L831 L833 L835 L837 L839 L841 L843 L845 L847 L849 L851 L853 L855 L857 L859 L861 L863 L865 L867 L869 L871 L873 L875 L877 L879 L881 L883 L885 L887 L889">
    <cfRule type="duplicateValues" dxfId="173" priority="4"/>
  </conditionalFormatting>
  <conditionalFormatting sqref="L829">
    <cfRule type="duplicateValues" dxfId="172" priority="3"/>
  </conditionalFormatting>
  <conditionalFormatting sqref="L596 L830 L832 L834 L836 L838 L840 L842 L844 L846 L848 L850 L852 L854 L856 L858 L860 L862 L864 L866 L868 L870 L872 L874 L876 L878 L880 L882 L884 L886 L888">
    <cfRule type="duplicateValues" dxfId="171" priority="2"/>
  </conditionalFormatting>
  <conditionalFormatting sqref="L830">
    <cfRule type="duplicateValues" dxfId="170" priority="1"/>
  </conditionalFormatting>
  <dataValidations count="1">
    <dataValidation type="list" allowBlank="1" showErrorMessage="1" sqref="K2:K595 K597:K828">
      <formula1>"G1,G2"</formula1>
    </dataValidation>
  </dataValidations>
  <hyperlinks>
    <hyperlink ref="H464" r:id="rId1"/>
    <hyperlink ref="H602" r:id="rId2"/>
    <hyperlink ref="H605" r:id="rId3"/>
    <hyperlink ref="H646" r:id="rId4"/>
    <hyperlink ref="H659" r:id="rId5"/>
    <hyperlink ref="H866" r:id="rId6"/>
    <hyperlink ref="H454" r:id="rId7"/>
    <hyperlink ref="H455" r:id="rId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
  <sheetViews>
    <sheetView topLeftCell="G19" workbookViewId="0">
      <selection activeCell="N36" sqref="N36"/>
    </sheetView>
  </sheetViews>
  <sheetFormatPr defaultRowHeight="14.5"/>
  <cols>
    <col min="1" max="13" width="20.453125" style="17" customWidth="1"/>
  </cols>
  <sheetData>
    <row r="1" spans="1:12">
      <c r="A1" s="17" t="s">
        <v>3696</v>
      </c>
      <c r="B1" s="17" t="s">
        <v>3697</v>
      </c>
      <c r="C1" s="17" t="s">
        <v>3698</v>
      </c>
      <c r="D1" s="17" t="s">
        <v>3699</v>
      </c>
      <c r="E1" s="17" t="s">
        <v>2</v>
      </c>
      <c r="F1" s="17" t="s">
        <v>3700</v>
      </c>
      <c r="G1" s="17" t="s">
        <v>3701</v>
      </c>
      <c r="H1" s="17" t="s">
        <v>3702</v>
      </c>
      <c r="I1" s="17" t="s">
        <v>3703</v>
      </c>
      <c r="J1" s="17" t="s">
        <v>3704</v>
      </c>
      <c r="K1" s="17" t="s">
        <v>1820</v>
      </c>
      <c r="L1" s="17" t="s">
        <v>3705</v>
      </c>
    </row>
    <row r="2" spans="1:12">
      <c r="A2" s="17">
        <v>1</v>
      </c>
      <c r="B2" s="17">
        <v>2022498812</v>
      </c>
      <c r="C2" s="17" t="s">
        <v>3698</v>
      </c>
      <c r="D2" s="17">
        <v>2201010796</v>
      </c>
      <c r="E2" s="17" t="s">
        <v>343</v>
      </c>
      <c r="F2" s="17" t="s">
        <v>13</v>
      </c>
      <c r="G2" s="17" t="s">
        <v>15</v>
      </c>
      <c r="I2" s="17" t="s">
        <v>344</v>
      </c>
      <c r="J2" s="17" t="s">
        <v>2174</v>
      </c>
      <c r="K2" s="17" t="s">
        <v>2175</v>
      </c>
      <c r="L2" s="17" t="s">
        <v>3706</v>
      </c>
    </row>
    <row r="3" spans="1:12">
      <c r="A3" s="17">
        <v>2</v>
      </c>
      <c r="B3" s="17">
        <v>2022003923</v>
      </c>
      <c r="C3" s="17" t="s">
        <v>3698</v>
      </c>
      <c r="D3" s="17">
        <v>2022003923</v>
      </c>
      <c r="E3" s="17" t="s">
        <v>1044</v>
      </c>
      <c r="F3" s="17" t="s">
        <v>13</v>
      </c>
      <c r="G3" s="17" t="s">
        <v>15</v>
      </c>
      <c r="I3" s="17" t="s">
        <v>1045</v>
      </c>
      <c r="J3" s="17" t="s">
        <v>2048</v>
      </c>
      <c r="K3" s="17" t="s">
        <v>2049</v>
      </c>
      <c r="L3" s="17" t="s">
        <v>3706</v>
      </c>
    </row>
    <row r="4" spans="1:12">
      <c r="A4" s="17">
        <v>3</v>
      </c>
      <c r="B4" s="17">
        <v>2022418998</v>
      </c>
      <c r="C4" s="17" t="s">
        <v>3698</v>
      </c>
      <c r="D4" s="17">
        <v>2201010756</v>
      </c>
      <c r="E4" s="17" t="s">
        <v>310</v>
      </c>
      <c r="F4" s="17" t="s">
        <v>13</v>
      </c>
      <c r="G4" s="17" t="s">
        <v>15</v>
      </c>
      <c r="I4" s="17" t="s">
        <v>311</v>
      </c>
      <c r="J4" s="17" t="s">
        <v>2162</v>
      </c>
      <c r="K4" s="17" t="s">
        <v>2163</v>
      </c>
      <c r="L4" s="17" t="s">
        <v>3706</v>
      </c>
    </row>
    <row r="5" spans="1:12">
      <c r="A5" s="17">
        <v>4</v>
      </c>
      <c r="B5" s="17">
        <v>2022506580</v>
      </c>
      <c r="C5" s="17" t="s">
        <v>3698</v>
      </c>
      <c r="D5" s="17">
        <v>2201010556</v>
      </c>
      <c r="E5" s="17" t="s">
        <v>353</v>
      </c>
      <c r="F5" s="17" t="s">
        <v>13</v>
      </c>
      <c r="G5" s="17" t="s">
        <v>15</v>
      </c>
      <c r="I5" s="17" t="s">
        <v>354</v>
      </c>
      <c r="J5" s="17" t="s">
        <v>2128</v>
      </c>
      <c r="K5" s="17" t="s">
        <v>2129</v>
      </c>
      <c r="L5" s="17" t="s">
        <v>3706</v>
      </c>
    </row>
    <row r="6" spans="1:12">
      <c r="A6" s="17">
        <v>5</v>
      </c>
      <c r="B6" s="17">
        <v>2022492018</v>
      </c>
      <c r="C6" s="17" t="s">
        <v>3698</v>
      </c>
      <c r="D6" s="17">
        <v>2201010489</v>
      </c>
      <c r="E6" s="17" t="s">
        <v>1102</v>
      </c>
      <c r="F6" s="17" t="s">
        <v>13</v>
      </c>
      <c r="G6" s="17" t="s">
        <v>15</v>
      </c>
      <c r="I6" s="17" t="s">
        <v>1103</v>
      </c>
      <c r="J6" s="17" t="s">
        <v>2012</v>
      </c>
      <c r="K6" s="17" t="s">
        <v>2013</v>
      </c>
      <c r="L6" s="17" t="s">
        <v>3706</v>
      </c>
    </row>
    <row r="7" spans="1:12">
      <c r="A7" s="17">
        <v>6</v>
      </c>
      <c r="B7" s="17">
        <v>2022395305</v>
      </c>
      <c r="C7" s="17" t="s">
        <v>3698</v>
      </c>
      <c r="D7" s="17">
        <v>2201010140</v>
      </c>
      <c r="E7" s="17" t="s">
        <v>62</v>
      </c>
      <c r="F7" s="17" t="s">
        <v>13</v>
      </c>
      <c r="G7" s="17" t="s">
        <v>15</v>
      </c>
      <c r="I7" s="17" t="s">
        <v>63</v>
      </c>
      <c r="J7" s="17" t="s">
        <v>2631</v>
      </c>
      <c r="K7" s="17" t="s">
        <v>2632</v>
      </c>
      <c r="L7" s="17" t="s">
        <v>3706</v>
      </c>
    </row>
    <row r="8" spans="1:12">
      <c r="A8" s="17">
        <v>7</v>
      </c>
      <c r="B8" s="17">
        <v>2022004547</v>
      </c>
      <c r="C8" s="17" t="s">
        <v>3698</v>
      </c>
      <c r="D8" s="17">
        <v>2201010635</v>
      </c>
      <c r="E8" s="17" t="s">
        <v>907</v>
      </c>
      <c r="F8" s="17" t="s">
        <v>13</v>
      </c>
      <c r="G8" s="17" t="s">
        <v>15</v>
      </c>
      <c r="I8" s="17" t="s">
        <v>908</v>
      </c>
      <c r="J8" s="17" t="s">
        <v>1879</v>
      </c>
      <c r="K8" s="17" t="s">
        <v>1880</v>
      </c>
      <c r="L8" s="17" t="s">
        <v>3706</v>
      </c>
    </row>
    <row r="9" spans="1:12">
      <c r="A9" s="17">
        <v>8</v>
      </c>
      <c r="B9" s="17">
        <v>2022423199</v>
      </c>
      <c r="C9" s="17" t="s">
        <v>3698</v>
      </c>
      <c r="D9" s="17">
        <v>2201010812</v>
      </c>
      <c r="E9" s="17" t="s">
        <v>68</v>
      </c>
      <c r="F9" s="17" t="s">
        <v>13</v>
      </c>
      <c r="G9" s="17" t="s">
        <v>15</v>
      </c>
      <c r="I9" s="17" t="s">
        <v>69</v>
      </c>
      <c r="J9" s="17" t="s">
        <v>2702</v>
      </c>
      <c r="K9" s="17" t="s">
        <v>2703</v>
      </c>
      <c r="L9" s="17" t="s">
        <v>3706</v>
      </c>
    </row>
    <row r="10" spans="1:12">
      <c r="A10" s="17">
        <v>9</v>
      </c>
      <c r="B10" s="17">
        <v>2022552819</v>
      </c>
      <c r="C10" s="17" t="s">
        <v>3698</v>
      </c>
      <c r="D10" s="17">
        <v>2201010005</v>
      </c>
      <c r="E10" s="17" t="s">
        <v>505</v>
      </c>
      <c r="F10" s="17" t="s">
        <v>13</v>
      </c>
      <c r="G10" s="17" t="s">
        <v>15</v>
      </c>
      <c r="I10" s="17" t="s">
        <v>506</v>
      </c>
      <c r="J10" s="17" t="s">
        <v>2200</v>
      </c>
      <c r="K10" s="17" t="s">
        <v>2201</v>
      </c>
      <c r="L10" s="17" t="s">
        <v>3706</v>
      </c>
    </row>
    <row r="11" spans="1:12">
      <c r="A11" s="17">
        <v>10</v>
      </c>
      <c r="B11" s="17">
        <v>2022003580</v>
      </c>
      <c r="C11" s="17" t="s">
        <v>3698</v>
      </c>
      <c r="D11" s="17">
        <v>2201010782</v>
      </c>
      <c r="E11" s="17" t="s">
        <v>400</v>
      </c>
      <c r="F11" s="17" t="s">
        <v>13</v>
      </c>
      <c r="G11" s="17" t="s">
        <v>15</v>
      </c>
      <c r="I11" s="17" t="s">
        <v>401</v>
      </c>
      <c r="J11" s="17" t="s">
        <v>2311</v>
      </c>
      <c r="K11" s="17" t="s">
        <v>2312</v>
      </c>
      <c r="L11" s="17" t="s">
        <v>3706</v>
      </c>
    </row>
    <row r="12" spans="1:12">
      <c r="A12" s="17">
        <v>11</v>
      </c>
      <c r="B12" s="17">
        <v>2022502947</v>
      </c>
      <c r="C12" s="17" t="s">
        <v>3698</v>
      </c>
      <c r="D12" s="17">
        <v>2201010698</v>
      </c>
      <c r="E12" s="17" t="s">
        <v>471</v>
      </c>
      <c r="F12" s="17" t="s">
        <v>13</v>
      </c>
      <c r="G12" s="17" t="s">
        <v>15</v>
      </c>
      <c r="I12" s="17" t="s">
        <v>472</v>
      </c>
      <c r="J12" s="17" t="s">
        <v>2297</v>
      </c>
      <c r="K12" s="17" t="s">
        <v>2298</v>
      </c>
      <c r="L12" s="17" t="s">
        <v>3706</v>
      </c>
    </row>
    <row r="13" spans="1:12">
      <c r="A13" s="17">
        <v>12</v>
      </c>
      <c r="B13" s="17">
        <v>2022405479</v>
      </c>
      <c r="C13" s="17" t="s">
        <v>3698</v>
      </c>
      <c r="D13" s="17">
        <v>2201010062</v>
      </c>
      <c r="E13" s="17" t="s">
        <v>432</v>
      </c>
      <c r="F13" s="17" t="s">
        <v>13</v>
      </c>
      <c r="G13" s="17" t="s">
        <v>15</v>
      </c>
      <c r="I13" s="17" t="s">
        <v>433</v>
      </c>
      <c r="J13" s="17" t="s">
        <v>2206</v>
      </c>
      <c r="K13" s="17" t="s">
        <v>2207</v>
      </c>
      <c r="L13" s="17" t="s">
        <v>3706</v>
      </c>
    </row>
    <row r="14" spans="1:12">
      <c r="A14" s="17">
        <v>13</v>
      </c>
      <c r="B14" s="17">
        <v>2022544783</v>
      </c>
      <c r="C14" s="17" t="s">
        <v>3698</v>
      </c>
      <c r="D14" s="17">
        <v>2201010481</v>
      </c>
      <c r="E14" s="17" t="s">
        <v>503</v>
      </c>
      <c r="F14" s="17" t="s">
        <v>13</v>
      </c>
      <c r="G14" s="17" t="s">
        <v>15</v>
      </c>
      <c r="I14" s="17" t="s">
        <v>504</v>
      </c>
      <c r="J14" s="17" t="s">
        <v>2267</v>
      </c>
      <c r="K14" s="17" t="s">
        <v>2268</v>
      </c>
      <c r="L14" s="17" t="s">
        <v>3706</v>
      </c>
    </row>
    <row r="15" spans="1:12">
      <c r="A15" s="17">
        <v>14</v>
      </c>
      <c r="B15" s="17">
        <v>2022507647</v>
      </c>
      <c r="C15" s="17" t="s">
        <v>3698</v>
      </c>
      <c r="D15" s="17">
        <v>2201010353</v>
      </c>
      <c r="E15" s="17" t="s">
        <v>1106</v>
      </c>
      <c r="F15" s="17" t="s">
        <v>13</v>
      </c>
      <c r="G15" s="17" t="s">
        <v>15</v>
      </c>
      <c r="I15" s="17" t="s">
        <v>1107</v>
      </c>
      <c r="J15" s="17" t="s">
        <v>1982</v>
      </c>
      <c r="K15" s="17" t="s">
        <v>1983</v>
      </c>
      <c r="L15" s="17" t="s">
        <v>3706</v>
      </c>
    </row>
    <row r="16" spans="1:12">
      <c r="A16" s="17">
        <v>15</v>
      </c>
      <c r="B16" s="17">
        <v>2022007306</v>
      </c>
      <c r="C16" s="17" t="s">
        <v>3698</v>
      </c>
      <c r="D16" s="17">
        <v>2022007306</v>
      </c>
      <c r="E16" s="17" t="s">
        <v>695</v>
      </c>
      <c r="F16" s="17" t="s">
        <v>13</v>
      </c>
      <c r="G16" s="17" t="s">
        <v>15</v>
      </c>
      <c r="I16" s="17" t="s">
        <v>696</v>
      </c>
      <c r="J16" s="17" t="s">
        <v>2551</v>
      </c>
      <c r="K16" s="17" t="s">
        <v>2552</v>
      </c>
      <c r="L16" s="17" t="s">
        <v>3706</v>
      </c>
    </row>
    <row r="17" spans="1:12">
      <c r="A17" s="17">
        <v>16</v>
      </c>
      <c r="B17" s="17">
        <v>2022478036</v>
      </c>
      <c r="C17" s="17" t="s">
        <v>3698</v>
      </c>
      <c r="D17" s="17">
        <v>2201010605</v>
      </c>
      <c r="E17" s="17" t="s">
        <v>961</v>
      </c>
      <c r="F17" s="17" t="s">
        <v>13</v>
      </c>
      <c r="G17" s="17" t="s">
        <v>15</v>
      </c>
      <c r="I17" s="17" t="s">
        <v>962</v>
      </c>
      <c r="J17" s="17" t="s">
        <v>1875</v>
      </c>
      <c r="K17" s="17" t="s">
        <v>1876</v>
      </c>
      <c r="L17" s="17" t="s">
        <v>3706</v>
      </c>
    </row>
    <row r="18" spans="1:12">
      <c r="A18" s="17">
        <v>17</v>
      </c>
      <c r="B18" s="17">
        <v>2022834464</v>
      </c>
      <c r="C18" s="17" t="s">
        <v>3698</v>
      </c>
      <c r="D18" s="17">
        <v>2201010437</v>
      </c>
      <c r="E18" s="17" t="s">
        <v>251</v>
      </c>
      <c r="F18" s="17" t="s">
        <v>13</v>
      </c>
      <c r="G18" s="17" t="s">
        <v>15</v>
      </c>
      <c r="I18" s="17" t="s">
        <v>252</v>
      </c>
      <c r="J18" s="17" t="s">
        <v>2764</v>
      </c>
      <c r="K18" s="17" t="s">
        <v>2765</v>
      </c>
      <c r="L18" s="17" t="s">
        <v>3706</v>
      </c>
    </row>
    <row r="19" spans="1:12">
      <c r="A19" s="17">
        <v>18</v>
      </c>
      <c r="B19" s="17">
        <v>2022577648</v>
      </c>
      <c r="C19" s="17" t="s">
        <v>3698</v>
      </c>
      <c r="D19" s="17">
        <v>2201010102</v>
      </c>
      <c r="E19" s="17" t="s">
        <v>231</v>
      </c>
      <c r="F19" s="17" t="s">
        <v>13</v>
      </c>
      <c r="G19" s="17" t="s">
        <v>15</v>
      </c>
      <c r="I19" s="17" t="s">
        <v>232</v>
      </c>
      <c r="J19" s="17" t="s">
        <v>2736</v>
      </c>
      <c r="K19" s="17" t="s">
        <v>2737</v>
      </c>
      <c r="L19" s="17" t="s">
        <v>3706</v>
      </c>
    </row>
    <row r="20" spans="1:12">
      <c r="A20" s="17">
        <v>19</v>
      </c>
      <c r="B20" s="17">
        <v>2022561225</v>
      </c>
      <c r="C20" s="17" t="s">
        <v>3698</v>
      </c>
      <c r="D20" s="17">
        <v>2201010750</v>
      </c>
      <c r="E20" s="17" t="s">
        <v>225</v>
      </c>
      <c r="F20" s="17" t="s">
        <v>13</v>
      </c>
      <c r="G20" s="17" t="s">
        <v>15</v>
      </c>
      <c r="I20" s="17" t="s">
        <v>226</v>
      </c>
      <c r="J20" s="17" t="s">
        <v>2822</v>
      </c>
      <c r="K20" s="17" t="s">
        <v>2823</v>
      </c>
      <c r="L20" s="17" t="s">
        <v>3706</v>
      </c>
    </row>
    <row r="21" spans="1:12">
      <c r="A21" s="17">
        <v>20</v>
      </c>
      <c r="B21" s="17">
        <v>2022427832</v>
      </c>
      <c r="C21" s="17" t="s">
        <v>3698</v>
      </c>
      <c r="D21" s="17">
        <v>2201010809</v>
      </c>
      <c r="E21" s="17" t="s">
        <v>858</v>
      </c>
      <c r="F21" s="17" t="s">
        <v>13</v>
      </c>
      <c r="G21" s="17" t="s">
        <v>532</v>
      </c>
      <c r="I21" s="17" t="s">
        <v>859</v>
      </c>
      <c r="J21" s="17" t="s">
        <v>3311</v>
      </c>
      <c r="K21" s="17" t="s">
        <v>3312</v>
      </c>
      <c r="L21" s="17" t="s">
        <v>3706</v>
      </c>
    </row>
    <row r="22" spans="1:12">
      <c r="A22" s="17">
        <v>21</v>
      </c>
      <c r="B22" s="17">
        <v>2022507071</v>
      </c>
      <c r="C22" s="17" t="s">
        <v>3698</v>
      </c>
      <c r="D22" s="17">
        <v>2201010461</v>
      </c>
      <c r="E22" s="17" t="s">
        <v>1566</v>
      </c>
      <c r="F22" s="17" t="s">
        <v>13</v>
      </c>
      <c r="G22" s="17" t="s">
        <v>532</v>
      </c>
      <c r="I22" s="17" t="s">
        <v>1567</v>
      </c>
      <c r="J22" s="17" t="s">
        <v>3405</v>
      </c>
      <c r="K22" s="17" t="s">
        <v>3406</v>
      </c>
      <c r="L22" s="17" t="s">
        <v>3706</v>
      </c>
    </row>
    <row r="23" spans="1:12">
      <c r="A23" s="17">
        <v>22</v>
      </c>
      <c r="B23" s="17">
        <v>2022503936</v>
      </c>
      <c r="C23" s="17" t="s">
        <v>3698</v>
      </c>
      <c r="D23" s="17">
        <v>2201010368</v>
      </c>
      <c r="E23" s="17" t="s">
        <v>1560</v>
      </c>
      <c r="F23" s="17" t="s">
        <v>13</v>
      </c>
      <c r="G23" s="17" t="s">
        <v>532</v>
      </c>
      <c r="I23" s="17" t="s">
        <v>1561</v>
      </c>
      <c r="J23" s="17" t="s">
        <v>3401</v>
      </c>
      <c r="K23" s="17" t="s">
        <v>3402</v>
      </c>
      <c r="L23" s="17" t="s">
        <v>3706</v>
      </c>
    </row>
    <row r="24" spans="1:12">
      <c r="A24" s="17">
        <v>23</v>
      </c>
      <c r="B24" s="17">
        <v>2022434098</v>
      </c>
      <c r="C24" s="17" t="s">
        <v>3698</v>
      </c>
      <c r="D24" s="17">
        <v>2201010727</v>
      </c>
      <c r="E24" s="17" t="s">
        <v>1258</v>
      </c>
      <c r="F24" s="17" t="s">
        <v>13</v>
      </c>
      <c r="G24" s="17" t="s">
        <v>532</v>
      </c>
      <c r="I24" s="17" t="s">
        <v>1259</v>
      </c>
      <c r="J24" s="17" t="s">
        <v>3173</v>
      </c>
      <c r="K24" s="17" t="s">
        <v>3174</v>
      </c>
      <c r="L24" s="17" t="s">
        <v>3706</v>
      </c>
    </row>
    <row r="25" spans="1:12">
      <c r="A25" s="17">
        <v>24</v>
      </c>
      <c r="B25" s="17">
        <v>2022361106</v>
      </c>
      <c r="C25" s="17" t="s">
        <v>3698</v>
      </c>
      <c r="D25" s="17">
        <v>2201010482</v>
      </c>
      <c r="E25" s="17" t="s">
        <v>844</v>
      </c>
      <c r="F25" s="17" t="s">
        <v>13</v>
      </c>
      <c r="G25" s="17" t="s">
        <v>532</v>
      </c>
      <c r="I25" s="17" t="s">
        <v>845</v>
      </c>
      <c r="J25" s="17" t="s">
        <v>3281</v>
      </c>
      <c r="K25" s="17" t="s">
        <v>3282</v>
      </c>
      <c r="L25" s="17" t="s">
        <v>3706</v>
      </c>
    </row>
    <row r="26" spans="1:12">
      <c r="A26" s="17">
        <v>25</v>
      </c>
      <c r="B26" s="17">
        <v>2022002243</v>
      </c>
      <c r="C26" s="17" t="s">
        <v>3698</v>
      </c>
      <c r="D26" s="17">
        <v>2201010462</v>
      </c>
      <c r="E26" s="17" t="s">
        <v>1130</v>
      </c>
      <c r="F26" s="17" t="s">
        <v>13</v>
      </c>
      <c r="G26" s="17" t="s">
        <v>532</v>
      </c>
      <c r="I26" s="17" t="s">
        <v>1131</v>
      </c>
      <c r="J26" s="17" t="s">
        <v>2917</v>
      </c>
      <c r="K26" s="17" t="s">
        <v>2918</v>
      </c>
      <c r="L26" s="17" t="s">
        <v>3706</v>
      </c>
    </row>
    <row r="27" spans="1:12">
      <c r="A27" s="17">
        <v>26</v>
      </c>
      <c r="B27" s="17">
        <v>2022003160</v>
      </c>
      <c r="C27" s="17" t="s">
        <v>3698</v>
      </c>
      <c r="D27" s="17">
        <v>2201010002</v>
      </c>
      <c r="E27" s="17" t="s">
        <v>1134</v>
      </c>
      <c r="F27" s="17" t="s">
        <v>13</v>
      </c>
      <c r="G27" s="17" t="s">
        <v>532</v>
      </c>
      <c r="I27" s="17" t="s">
        <v>1135</v>
      </c>
      <c r="J27" s="17" t="s">
        <v>2845</v>
      </c>
      <c r="K27" s="17" t="s">
        <v>2846</v>
      </c>
      <c r="L27" s="17" t="s">
        <v>3706</v>
      </c>
    </row>
    <row r="28" spans="1:12">
      <c r="A28" s="17">
        <v>27</v>
      </c>
      <c r="B28" s="17">
        <v>2022544917</v>
      </c>
      <c r="C28" s="17" t="s">
        <v>3698</v>
      </c>
      <c r="D28" s="17">
        <v>2201010582</v>
      </c>
      <c r="E28" s="17" t="s">
        <v>1229</v>
      </c>
      <c r="F28" s="17" t="s">
        <v>13</v>
      </c>
      <c r="G28" s="17" t="s">
        <v>532</v>
      </c>
      <c r="I28" s="17" t="s">
        <v>1230</v>
      </c>
      <c r="J28" s="17" t="s">
        <v>2923</v>
      </c>
      <c r="K28" s="17" t="s">
        <v>2924</v>
      </c>
      <c r="L28" s="17" t="s">
        <v>3706</v>
      </c>
    </row>
    <row r="29" spans="1:12">
      <c r="A29" s="17">
        <v>28</v>
      </c>
      <c r="B29" s="17">
        <v>2022520080</v>
      </c>
      <c r="C29" s="17" t="s">
        <v>3698</v>
      </c>
      <c r="D29" s="17">
        <v>2201010206</v>
      </c>
      <c r="E29" s="17" t="s">
        <v>1223</v>
      </c>
      <c r="F29" s="17" t="s">
        <v>13</v>
      </c>
      <c r="G29" s="17" t="s">
        <v>532</v>
      </c>
      <c r="I29" s="17" t="s">
        <v>1224</v>
      </c>
      <c r="J29" s="17" t="s">
        <v>2879</v>
      </c>
      <c r="K29" s="17" t="s">
        <v>2880</v>
      </c>
      <c r="L29" s="17" t="s">
        <v>3706</v>
      </c>
    </row>
    <row r="30" spans="1:12">
      <c r="A30" s="17">
        <v>29</v>
      </c>
      <c r="B30" s="17">
        <v>2022007789</v>
      </c>
      <c r="C30" s="17" t="s">
        <v>3698</v>
      </c>
      <c r="D30" s="17">
        <v>2022007789</v>
      </c>
      <c r="E30" s="17" t="s">
        <v>1720</v>
      </c>
      <c r="F30" s="17" t="s">
        <v>13</v>
      </c>
      <c r="G30" s="17" t="s">
        <v>1276</v>
      </c>
      <c r="I30" s="17" t="s">
        <v>1721</v>
      </c>
      <c r="J30" s="17" t="s">
        <v>3085</v>
      </c>
      <c r="K30" s="17" t="s">
        <v>3086</v>
      </c>
      <c r="L30" s="17" t="s">
        <v>3706</v>
      </c>
    </row>
    <row r="31" spans="1:12">
      <c r="A31" s="17">
        <v>30</v>
      </c>
      <c r="B31" s="17">
        <v>2022006289</v>
      </c>
      <c r="C31" s="17" t="s">
        <v>3698</v>
      </c>
      <c r="D31" s="17">
        <v>2022006289</v>
      </c>
      <c r="E31" s="17" t="s">
        <v>1417</v>
      </c>
      <c r="F31" s="17" t="s">
        <v>13</v>
      </c>
      <c r="G31" s="17" t="s">
        <v>1396</v>
      </c>
      <c r="I31" s="17" t="s">
        <v>1418</v>
      </c>
      <c r="J31" s="17" t="s">
        <v>3337</v>
      </c>
      <c r="K31" s="17" t="s">
        <v>3338</v>
      </c>
      <c r="L31" s="17" t="s">
        <v>3706</v>
      </c>
    </row>
    <row r="32" spans="1:12">
      <c r="A32" s="17">
        <v>31</v>
      </c>
      <c r="B32" s="17">
        <v>2022601278</v>
      </c>
      <c r="C32" s="17" t="s">
        <v>3698</v>
      </c>
      <c r="D32" s="17">
        <v>2022601278</v>
      </c>
      <c r="E32" s="17" t="s">
        <v>1488</v>
      </c>
      <c r="F32" s="17" t="s">
        <v>13</v>
      </c>
      <c r="G32" s="17" t="s">
        <v>1401</v>
      </c>
      <c r="I32" s="17" t="s">
        <v>1489</v>
      </c>
      <c r="J32" s="17" t="s">
        <v>3229</v>
      </c>
      <c r="K32" s="17" t="s">
        <v>3230</v>
      </c>
      <c r="L32" s="17" t="s">
        <v>3706</v>
      </c>
    </row>
    <row r="33" spans="1:12">
      <c r="A33" s="17">
        <v>32</v>
      </c>
      <c r="B33" s="17">
        <v>2022007217</v>
      </c>
      <c r="C33" s="17" t="s">
        <v>3698</v>
      </c>
      <c r="D33" s="17">
        <v>2022007217</v>
      </c>
      <c r="E33" s="17" t="s">
        <v>1429</v>
      </c>
      <c r="F33" s="17" t="s">
        <v>13</v>
      </c>
      <c r="G33" s="17" t="s">
        <v>1401</v>
      </c>
      <c r="I33" s="17" t="s">
        <v>1430</v>
      </c>
      <c r="J33" s="17" t="s">
        <v>3373</v>
      </c>
      <c r="K33" s="17" t="s">
        <v>3374</v>
      </c>
      <c r="L33" s="17" t="s">
        <v>3706</v>
      </c>
    </row>
    <row r="34" spans="1:12">
      <c r="A34" s="17">
        <v>33</v>
      </c>
      <c r="B34" s="17">
        <v>2022594965</v>
      </c>
      <c r="C34" s="17" t="s">
        <v>3698</v>
      </c>
      <c r="D34" s="17">
        <v>2022594965</v>
      </c>
      <c r="E34" s="17" t="s">
        <v>1584</v>
      </c>
      <c r="F34" s="17" t="s">
        <v>13</v>
      </c>
      <c r="G34" s="17" t="s">
        <v>1401</v>
      </c>
      <c r="I34" s="17" t="s">
        <v>1585</v>
      </c>
      <c r="J34" s="17" t="s">
        <v>3377</v>
      </c>
      <c r="K34" s="17" t="s">
        <v>3378</v>
      </c>
      <c r="L34" s="17" t="s">
        <v>3706</v>
      </c>
    </row>
    <row r="35" spans="1:12">
      <c r="A35" s="17">
        <v>34</v>
      </c>
      <c r="B35" s="17">
        <v>2022006750</v>
      </c>
      <c r="C35" s="17" t="s">
        <v>3698</v>
      </c>
      <c r="D35" s="17">
        <v>2201010282</v>
      </c>
      <c r="E35" s="17" t="s">
        <v>1421</v>
      </c>
      <c r="F35" s="17" t="s">
        <v>13</v>
      </c>
      <c r="G35" s="17" t="s">
        <v>1372</v>
      </c>
      <c r="I35" s="17" t="s">
        <v>1422</v>
      </c>
      <c r="J35" s="17" t="s">
        <v>3345</v>
      </c>
      <c r="K35" s="17" t="s">
        <v>3346</v>
      </c>
      <c r="L35" s="17" t="s">
        <v>3706</v>
      </c>
    </row>
    <row r="36" spans="1:12">
      <c r="A36" s="17">
        <v>35</v>
      </c>
      <c r="B36" s="17">
        <v>2022316318</v>
      </c>
      <c r="C36" s="17" t="s">
        <v>3698</v>
      </c>
      <c r="D36" s="17">
        <v>2201010765</v>
      </c>
      <c r="E36" s="17" t="s">
        <v>1541</v>
      </c>
      <c r="F36" s="17" t="s">
        <v>13</v>
      </c>
      <c r="G36" s="17" t="s">
        <v>1372</v>
      </c>
      <c r="I36" s="17" t="s">
        <v>1542</v>
      </c>
      <c r="J36" s="17" t="s">
        <v>3473</v>
      </c>
      <c r="K36" s="17" t="s">
        <v>3474</v>
      </c>
      <c r="L36" s="17" t="s">
        <v>3706</v>
      </c>
    </row>
    <row r="37" spans="1:12">
      <c r="A37" s="17">
        <v>36</v>
      </c>
      <c r="B37" s="17">
        <v>2022579523</v>
      </c>
      <c r="C37" s="17" t="s">
        <v>3698</v>
      </c>
      <c r="D37" s="17">
        <v>2022579523</v>
      </c>
      <c r="E37" s="17" t="s">
        <v>1484</v>
      </c>
      <c r="F37" s="17" t="s">
        <v>13</v>
      </c>
      <c r="G37" s="17" t="s">
        <v>1372</v>
      </c>
      <c r="I37" s="17" t="s">
        <v>1485</v>
      </c>
      <c r="J37" s="17" t="s">
        <v>3351</v>
      </c>
      <c r="K37" s="17" t="s">
        <v>3352</v>
      </c>
      <c r="L37" s="17" t="s">
        <v>3706</v>
      </c>
    </row>
    <row r="38" spans="1:12">
      <c r="A38" s="17">
        <v>37</v>
      </c>
      <c r="B38" s="17">
        <v>2022447868</v>
      </c>
      <c r="C38" s="17" t="s">
        <v>3698</v>
      </c>
      <c r="D38" s="17">
        <v>2201010637</v>
      </c>
      <c r="E38" s="17" t="s">
        <v>1639</v>
      </c>
      <c r="F38" s="17" t="s">
        <v>13</v>
      </c>
      <c r="G38" s="17" t="s">
        <v>1372</v>
      </c>
      <c r="I38" s="17" t="s">
        <v>1640</v>
      </c>
      <c r="J38" s="17" t="s">
        <v>3511</v>
      </c>
      <c r="K38" s="17" t="s">
        <v>3512</v>
      </c>
      <c r="L38" s="17" t="s">
        <v>3706</v>
      </c>
    </row>
    <row r="39" spans="1:12">
      <c r="A39" s="17">
        <v>38</v>
      </c>
      <c r="B39" s="17">
        <v>2022004439</v>
      </c>
      <c r="C39" s="17" t="s">
        <v>3698</v>
      </c>
      <c r="D39" s="17">
        <v>2201010221</v>
      </c>
      <c r="E39" s="17" t="s">
        <v>1402</v>
      </c>
      <c r="F39" s="17" t="s">
        <v>13</v>
      </c>
      <c r="G39" s="17" t="s">
        <v>1372</v>
      </c>
      <c r="I39" s="17" t="s">
        <v>1403</v>
      </c>
      <c r="J39" s="17" t="s">
        <v>3463</v>
      </c>
      <c r="K39" s="17" t="s">
        <v>3464</v>
      </c>
      <c r="L39" s="17" t="s">
        <v>3706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L65"/>
  <sheetViews>
    <sheetView topLeftCell="A44" zoomScale="85" zoomScaleNormal="85" workbookViewId="0">
      <selection activeCell="G2" sqref="A1:L65"/>
    </sheetView>
  </sheetViews>
  <sheetFormatPr defaultRowHeight="14.5"/>
  <cols>
    <col min="2" max="2" width="30.08984375" bestFit="1" customWidth="1"/>
    <col min="3" max="3" width="18.1796875" customWidth="1"/>
    <col min="4" max="4" width="11.6328125" bestFit="1" customWidth="1"/>
    <col min="5" max="6" width="20.54296875" customWidth="1"/>
    <col min="7" max="7" width="28.453125" customWidth="1"/>
    <col min="8" max="8" width="38.6328125" bestFit="1" customWidth="1"/>
    <col min="9" max="9" width="14.54296875" bestFit="1" customWidth="1"/>
    <col min="10" max="10" width="15.6328125" bestFit="1" customWidth="1"/>
    <col min="11" max="11" width="11.54296875" style="38" customWidth="1"/>
    <col min="12" max="12" width="19" customWidth="1"/>
  </cols>
  <sheetData>
    <row r="1" spans="1:12" ht="25">
      <c r="A1" s="1" t="s">
        <v>1</v>
      </c>
      <c r="B1" s="1" t="s">
        <v>2</v>
      </c>
      <c r="C1" s="1" t="s">
        <v>3</v>
      </c>
      <c r="D1" s="1" t="s">
        <v>4</v>
      </c>
      <c r="E1" s="1" t="s">
        <v>1817</v>
      </c>
      <c r="F1" s="1" t="s">
        <v>3695</v>
      </c>
      <c r="G1" s="1"/>
      <c r="H1" s="1" t="s">
        <v>1819</v>
      </c>
      <c r="I1" s="1" t="s">
        <v>1820</v>
      </c>
      <c r="J1" s="1" t="s">
        <v>7</v>
      </c>
      <c r="K1" s="36" t="s">
        <v>3676</v>
      </c>
      <c r="L1" s="41" t="s">
        <v>3677</v>
      </c>
    </row>
    <row r="2" spans="1:12">
      <c r="A2" s="17">
        <v>1</v>
      </c>
      <c r="B2" s="17" t="s">
        <v>899</v>
      </c>
      <c r="C2" s="17">
        <v>2021308861</v>
      </c>
      <c r="D2" s="17">
        <v>210101102</v>
      </c>
      <c r="E2" s="17" t="s">
        <v>1801</v>
      </c>
      <c r="F2" s="17" t="e">
        <f>VLOOKUP(C2,'Fast Track '!B:C,2,FALSE)</f>
        <v>#N/A</v>
      </c>
      <c r="G2" s="17" t="s">
        <v>3707</v>
      </c>
      <c r="H2" s="17" t="str">
        <f>VLOOKUP(C2,Sheet1!D:J,6,FALSE)</f>
        <v>2021308861.ashutoshkumar@pt.sharda.ac.in</v>
      </c>
      <c r="I2" s="17" t="str">
        <f>VLOOKUP(D2,Sheet1!E:K,6,FALSE)</f>
        <v>9936777552</v>
      </c>
      <c r="J2" s="33" t="s">
        <v>15</v>
      </c>
      <c r="K2" s="37" t="s">
        <v>3645</v>
      </c>
      <c r="L2" t="s">
        <v>3647</v>
      </c>
    </row>
    <row r="3" spans="1:12">
      <c r="A3" s="17">
        <v>2</v>
      </c>
      <c r="B3" s="17" t="s">
        <v>901</v>
      </c>
      <c r="C3" s="17">
        <v>2021828405</v>
      </c>
      <c r="D3" s="17">
        <v>210101591</v>
      </c>
      <c r="E3" s="17" t="s">
        <v>1801</v>
      </c>
      <c r="F3" s="17" t="e">
        <f>VLOOKUP(C3,'Fast Track '!B:C,2,FALSE)</f>
        <v>#N/A</v>
      </c>
      <c r="G3" s="17" t="s">
        <v>3708</v>
      </c>
      <c r="H3" s="17" t="str">
        <f>VLOOKUP(C3,Sheet1!D:J,6,FALSE)</f>
        <v>2021828405.ramananda@pt.sharda.ac.in</v>
      </c>
      <c r="I3" s="17" t="str">
        <f>VLOOKUP(D3,Sheet1!E:K,6,FALSE)</f>
        <v>8130538380</v>
      </c>
      <c r="J3" s="33" t="s">
        <v>15</v>
      </c>
      <c r="K3" s="37" t="s">
        <v>3645</v>
      </c>
      <c r="L3" t="s">
        <v>3647</v>
      </c>
    </row>
    <row r="4" spans="1:12">
      <c r="A4" s="17">
        <v>3</v>
      </c>
      <c r="B4" s="17" t="s">
        <v>897</v>
      </c>
      <c r="C4" s="17">
        <v>2021000009</v>
      </c>
      <c r="D4" s="17">
        <v>210121021</v>
      </c>
      <c r="E4" s="17" t="s">
        <v>1801</v>
      </c>
      <c r="F4" s="17" t="e">
        <f>VLOOKUP(C4,'Fast Track '!B:C,2,FALSE)</f>
        <v>#N/A</v>
      </c>
      <c r="G4" s="17" t="s">
        <v>3709</v>
      </c>
      <c r="H4" s="17" t="str">
        <f>VLOOKUP(C4,Sheet1!D:J,6,FALSE)</f>
        <v>2021000009.asad@pt.sharda.ac.in</v>
      </c>
      <c r="I4" s="17" t="str">
        <f>VLOOKUP(D4,Sheet1!E:K,6,FALSE)</f>
        <v>9599543010</v>
      </c>
      <c r="J4" s="33" t="s">
        <v>15</v>
      </c>
      <c r="K4" s="37" t="s">
        <v>3645</v>
      </c>
      <c r="L4" t="s">
        <v>3647</v>
      </c>
    </row>
    <row r="5" spans="1:12">
      <c r="A5" s="17">
        <v>4</v>
      </c>
      <c r="B5" s="17" t="s">
        <v>998</v>
      </c>
      <c r="C5" s="17">
        <v>2022579515</v>
      </c>
      <c r="D5" s="17">
        <v>2201010023</v>
      </c>
      <c r="E5" s="17" t="s">
        <v>1801</v>
      </c>
      <c r="F5" s="17" t="e">
        <f>VLOOKUP(C5,'Fast Track '!B:C,2,FALSE)</f>
        <v>#N/A</v>
      </c>
      <c r="G5" s="17" t="s">
        <v>3710</v>
      </c>
      <c r="H5" s="17" t="str">
        <f>VLOOKUP(C5,Sheet1!D:J,6,FALSE)</f>
        <v>2022579515.vijaykumar@pt.sharda.ac.in</v>
      </c>
      <c r="I5" s="17" t="str">
        <f>VLOOKUP(D5,Sheet1!E:K,6,FALSE)</f>
        <v>8826793887</v>
      </c>
      <c r="J5" s="33" t="s">
        <v>15</v>
      </c>
      <c r="K5" s="37" t="s">
        <v>3645</v>
      </c>
      <c r="L5" t="s">
        <v>3647</v>
      </c>
    </row>
    <row r="6" spans="1:12">
      <c r="A6" s="17">
        <v>5</v>
      </c>
      <c r="B6" s="17" t="s">
        <v>989</v>
      </c>
      <c r="C6" s="17">
        <v>2022534811</v>
      </c>
      <c r="D6" s="17">
        <v>2201010078</v>
      </c>
      <c r="E6" s="17" t="s">
        <v>1801</v>
      </c>
      <c r="F6" s="17" t="e">
        <f>VLOOKUP(C6,'Fast Track '!B:C,2,FALSE)</f>
        <v>#N/A</v>
      </c>
      <c r="G6" s="17" t="s">
        <v>3711</v>
      </c>
      <c r="H6" s="17" t="str">
        <f>VLOOKUP(C6,Sheet1!D:J,6,FALSE)</f>
        <v>2022534811.rajeshkumar@pt.sharda.ac.in</v>
      </c>
      <c r="I6" s="17" t="str">
        <f>VLOOKUP(D6,Sheet1!E:K,6,FALSE)</f>
        <v>7319641049</v>
      </c>
      <c r="J6" s="33" t="s">
        <v>15</v>
      </c>
      <c r="K6" s="37" t="s">
        <v>3645</v>
      </c>
      <c r="L6" t="s">
        <v>3647</v>
      </c>
    </row>
    <row r="7" spans="1:12">
      <c r="A7" s="17">
        <v>6</v>
      </c>
      <c r="B7" s="17" t="s">
        <v>957</v>
      </c>
      <c r="C7" s="17">
        <v>2022475156</v>
      </c>
      <c r="D7" s="17">
        <v>2201010099</v>
      </c>
      <c r="E7" s="17" t="s">
        <v>1801</v>
      </c>
      <c r="F7" s="17" t="e">
        <f>VLOOKUP(C7,'Fast Track '!B:C,2,FALSE)</f>
        <v>#N/A</v>
      </c>
      <c r="G7" s="17" t="s">
        <v>3712</v>
      </c>
      <c r="H7" s="17" t="str">
        <f>VLOOKUP(C7,Sheet1!D:J,6,FALSE)</f>
        <v>2022475156.dhananjay@pt.sharda.ac.in</v>
      </c>
      <c r="I7" s="17" t="str">
        <f>VLOOKUP(D7,Sheet1!E:K,6,FALSE)</f>
        <v>8789919805</v>
      </c>
      <c r="J7" s="33" t="s">
        <v>15</v>
      </c>
      <c r="K7" s="37" t="s">
        <v>3645</v>
      </c>
      <c r="L7" t="s">
        <v>3647</v>
      </c>
    </row>
    <row r="8" spans="1:12">
      <c r="A8" s="17">
        <v>7</v>
      </c>
      <c r="B8" s="17" t="s">
        <v>939</v>
      </c>
      <c r="C8" s="17">
        <v>2022394343</v>
      </c>
      <c r="D8" s="17">
        <v>2201010111</v>
      </c>
      <c r="E8" s="17" t="s">
        <v>1801</v>
      </c>
      <c r="F8" s="17" t="e">
        <f>VLOOKUP(C8,'Fast Track '!B:C,2,FALSE)</f>
        <v>#N/A</v>
      </c>
      <c r="G8" s="17" t="s">
        <v>3713</v>
      </c>
      <c r="H8" s="17" t="str">
        <f>VLOOKUP(C8,Sheet1!D:J,6,FALSE)</f>
        <v>2022394343.anandsingh@pt.sharda.ac.in</v>
      </c>
      <c r="I8" s="17" t="str">
        <f>VLOOKUP(D8,Sheet1!E:K,6,FALSE)</f>
        <v>8126133363</v>
      </c>
      <c r="J8" s="33" t="s">
        <v>15</v>
      </c>
      <c r="K8" s="37" t="s">
        <v>3645</v>
      </c>
      <c r="L8" t="s">
        <v>3647</v>
      </c>
    </row>
    <row r="9" spans="1:12">
      <c r="A9" s="17">
        <v>8</v>
      </c>
      <c r="B9" s="17" t="s">
        <v>915</v>
      </c>
      <c r="C9" s="17">
        <v>2022006308</v>
      </c>
      <c r="D9" s="17">
        <v>2201010121</v>
      </c>
      <c r="E9" s="17" t="s">
        <v>1801</v>
      </c>
      <c r="F9" s="17" t="e">
        <f>VLOOKUP(C9,'Fast Track '!B:C,2,FALSE)</f>
        <v>#N/A</v>
      </c>
      <c r="G9" s="17" t="s">
        <v>3714</v>
      </c>
      <c r="H9" s="17" t="str">
        <f>VLOOKUP(C9,Sheet1!D:J,6,FALSE)</f>
        <v>2022006308.asad@pt.sharda.ac.in</v>
      </c>
      <c r="I9" s="17" t="str">
        <f>VLOOKUP(D9,Sheet1!E:K,6,FALSE)</f>
        <v>7300577335</v>
      </c>
      <c r="J9" s="33" t="s">
        <v>15</v>
      </c>
      <c r="K9" s="37" t="s">
        <v>3645</v>
      </c>
      <c r="L9" t="s">
        <v>3647</v>
      </c>
    </row>
    <row r="10" spans="1:12">
      <c r="A10" s="17">
        <v>9</v>
      </c>
      <c r="B10" s="17" t="s">
        <v>951</v>
      </c>
      <c r="C10" s="17">
        <v>2022438604</v>
      </c>
      <c r="D10" s="17">
        <v>2201010162</v>
      </c>
      <c r="E10" s="17" t="s">
        <v>1801</v>
      </c>
      <c r="F10" s="17" t="e">
        <f>VLOOKUP(C10,'Fast Track '!B:C,2,FALSE)</f>
        <v>#N/A</v>
      </c>
      <c r="G10" s="17" t="s">
        <v>3715</v>
      </c>
      <c r="H10" s="17" t="str">
        <f>VLOOKUP(C10,Sheet1!D:J,6,FALSE)</f>
        <v>2022438604.kundansingh@pt.sharda.ac.in</v>
      </c>
      <c r="I10" s="17" t="str">
        <f>VLOOKUP(D10,Sheet1!E:K,6,FALSE)</f>
        <v>8920297350</v>
      </c>
      <c r="J10" s="33" t="s">
        <v>15</v>
      </c>
      <c r="K10" s="37" t="s">
        <v>3645</v>
      </c>
      <c r="L10" t="s">
        <v>3647</v>
      </c>
    </row>
    <row r="11" spans="1:12">
      <c r="A11" s="17">
        <v>10</v>
      </c>
      <c r="B11" s="17" t="s">
        <v>983</v>
      </c>
      <c r="C11" s="17">
        <v>2022521926</v>
      </c>
      <c r="D11" s="17">
        <v>2201010175</v>
      </c>
      <c r="E11" s="17" t="s">
        <v>1801</v>
      </c>
      <c r="F11" s="17" t="e">
        <f>VLOOKUP(C11,'Fast Track '!B:C,2,FALSE)</f>
        <v>#N/A</v>
      </c>
      <c r="G11" s="17" t="s">
        <v>3716</v>
      </c>
      <c r="H11" s="17" t="str">
        <f>VLOOKUP(C11,Sheet1!D:J,6,FALSE)</f>
        <v>2022521926.ghulamhassan@pt.sharda.ac.in</v>
      </c>
      <c r="I11" s="17" t="str">
        <f>VLOOKUP(D11,Sheet1!E:K,6,FALSE)</f>
        <v>8899544845</v>
      </c>
      <c r="J11" s="33" t="s">
        <v>15</v>
      </c>
      <c r="K11" s="37" t="s">
        <v>3645</v>
      </c>
      <c r="L11" t="s">
        <v>3647</v>
      </c>
    </row>
    <row r="12" spans="1:12">
      <c r="A12" s="17">
        <v>11</v>
      </c>
      <c r="B12" s="17" t="s">
        <v>935</v>
      </c>
      <c r="C12" s="17">
        <v>2022325232</v>
      </c>
      <c r="D12" s="17">
        <v>2201010178</v>
      </c>
      <c r="E12" s="17" t="s">
        <v>1801</v>
      </c>
      <c r="F12" s="17" t="e">
        <f>VLOOKUP(C12,'Fast Track '!B:C,2,FALSE)</f>
        <v>#N/A</v>
      </c>
      <c r="G12" s="17" t="s">
        <v>3717</v>
      </c>
      <c r="H12" s="17" t="str">
        <f>VLOOKUP(C12,Sheet1!D:J,6,FALSE)</f>
        <v>2022325232.latesuneet@pt.sharda.ac.in</v>
      </c>
      <c r="I12" s="17" t="str">
        <f>VLOOKUP(D12,Sheet1!E:K,6,FALSE)</f>
        <v>9717628588</v>
      </c>
      <c r="J12" s="33" t="s">
        <v>15</v>
      </c>
      <c r="K12" s="37" t="s">
        <v>3645</v>
      </c>
      <c r="L12" t="s">
        <v>3647</v>
      </c>
    </row>
    <row r="13" spans="1:12">
      <c r="A13" s="17">
        <v>12</v>
      </c>
      <c r="B13" s="17" t="s">
        <v>933</v>
      </c>
      <c r="C13" s="17">
        <v>2022305905</v>
      </c>
      <c r="D13" s="17">
        <v>2201010193</v>
      </c>
      <c r="E13" s="17" t="s">
        <v>1801</v>
      </c>
      <c r="F13" s="17" t="e">
        <f>VLOOKUP(C13,'Fast Track '!B:C,2,FALSE)</f>
        <v>#N/A</v>
      </c>
      <c r="G13" s="17" t="s">
        <v>3718</v>
      </c>
      <c r="H13" s="17" t="str">
        <f>VLOOKUP(C13,Sheet1!D:J,6,FALSE)</f>
        <v>2022305905.sanjeev@pt.sharda.ac.in</v>
      </c>
      <c r="I13" s="17" t="str">
        <f>VLOOKUP(D13,Sheet1!E:K,6,FALSE)</f>
        <v>9311273352</v>
      </c>
      <c r="J13" s="33" t="s">
        <v>15</v>
      </c>
      <c r="K13" s="37" t="s">
        <v>3645</v>
      </c>
      <c r="L13" t="s">
        <v>3647</v>
      </c>
    </row>
    <row r="14" spans="1:12">
      <c r="A14" s="17">
        <v>13</v>
      </c>
      <c r="B14" s="17" t="s">
        <v>941</v>
      </c>
      <c r="C14" s="17">
        <v>2022411800</v>
      </c>
      <c r="D14" s="17">
        <v>2201010236</v>
      </c>
      <c r="E14" s="17" t="s">
        <v>1801</v>
      </c>
      <c r="F14" s="17" t="e">
        <f>VLOOKUP(C14,'Fast Track '!B:C,2,FALSE)</f>
        <v>#N/A</v>
      </c>
      <c r="G14" s="17" t="s">
        <v>3719</v>
      </c>
      <c r="H14" s="17" t="str">
        <f>VLOOKUP(C14,Sheet1!D:J,6,FALSE)</f>
        <v>2022411800.mdrezaulhaque@pt.sharda.ac.in</v>
      </c>
      <c r="I14" s="17" t="str">
        <f>VLOOKUP(D14,Sheet1!E:K,6,FALSE)</f>
        <v>9801182652</v>
      </c>
      <c r="J14" s="33" t="s">
        <v>15</v>
      </c>
      <c r="K14" s="37" t="s">
        <v>3645</v>
      </c>
      <c r="L14" t="s">
        <v>3647</v>
      </c>
    </row>
    <row r="15" spans="1:12">
      <c r="A15" s="17">
        <v>14</v>
      </c>
      <c r="B15" s="17" t="s">
        <v>967</v>
      </c>
      <c r="C15" s="17">
        <v>2022503298</v>
      </c>
      <c r="D15" s="17">
        <v>2201010308</v>
      </c>
      <c r="E15" s="17" t="s">
        <v>1801</v>
      </c>
      <c r="F15" s="17" t="e">
        <f>VLOOKUP(C15,'Fast Track '!B:C,2,FALSE)</f>
        <v>#N/A</v>
      </c>
      <c r="G15" s="17" t="s">
        <v>3720</v>
      </c>
      <c r="H15" s="17" t="str">
        <f>VLOOKUP(C15,Sheet1!D:J,6,FALSE)</f>
        <v>2022503298.jitendra@pt.sharda.ac.in</v>
      </c>
      <c r="I15" s="17" t="str">
        <f>VLOOKUP(D15,Sheet1!E:K,6,FALSE)</f>
        <v>8287518828</v>
      </c>
      <c r="J15" s="33" t="s">
        <v>15</v>
      </c>
      <c r="K15" s="37" t="s">
        <v>3645</v>
      </c>
      <c r="L15" t="s">
        <v>3647</v>
      </c>
    </row>
    <row r="16" spans="1:12">
      <c r="A16" s="17">
        <v>15</v>
      </c>
      <c r="B16" s="17" t="s">
        <v>959</v>
      </c>
      <c r="C16" s="17">
        <v>2022476255</v>
      </c>
      <c r="D16" s="17">
        <v>2201010325</v>
      </c>
      <c r="E16" s="17" t="s">
        <v>1801</v>
      </c>
      <c r="F16" s="17" t="e">
        <f>VLOOKUP(C16,'Fast Track '!B:C,2,FALSE)</f>
        <v>#N/A</v>
      </c>
      <c r="G16" s="17" t="s">
        <v>3721</v>
      </c>
      <c r="H16" s="17" t="str">
        <f>VLOOKUP(C16,Sheet1!D:J,6,FALSE)</f>
        <v>2022476255.sanjeev@pt.sharda.ac.in</v>
      </c>
      <c r="I16" s="17" t="str">
        <f>VLOOKUP(D16,Sheet1!E:K,6,FALSE)</f>
        <v>8700745527</v>
      </c>
      <c r="J16" s="33" t="s">
        <v>15</v>
      </c>
      <c r="K16" s="37" t="s">
        <v>3645</v>
      </c>
      <c r="L16" t="s">
        <v>3647</v>
      </c>
    </row>
    <row r="17" spans="1:12">
      <c r="A17" s="17">
        <v>16</v>
      </c>
      <c r="B17" s="17" t="s">
        <v>965</v>
      </c>
      <c r="C17" s="17">
        <v>2022501762</v>
      </c>
      <c r="D17" s="17">
        <v>2201010355</v>
      </c>
      <c r="E17" s="17" t="s">
        <v>1801</v>
      </c>
      <c r="F17" s="17" t="e">
        <f>VLOOKUP(C17,'Fast Track '!B:C,2,FALSE)</f>
        <v>#N/A</v>
      </c>
      <c r="G17" s="17" t="s">
        <v>3722</v>
      </c>
      <c r="H17" s="17" t="str">
        <f>VLOOKUP(C17,Sheet1!D:J,6,FALSE)</f>
        <v>2022501762.aseem@pt.sharda.ac.in</v>
      </c>
      <c r="I17" s="17" t="str">
        <f>VLOOKUP(D17,Sheet1!E:K,6,FALSE)</f>
        <v>8585945645</v>
      </c>
      <c r="J17" s="33" t="s">
        <v>15</v>
      </c>
      <c r="K17" s="37" t="s">
        <v>3645</v>
      </c>
      <c r="L17" t="s">
        <v>3647</v>
      </c>
    </row>
    <row r="18" spans="1:12">
      <c r="A18" s="17">
        <v>17</v>
      </c>
      <c r="B18" s="17" t="s">
        <v>903</v>
      </c>
      <c r="C18" s="17">
        <v>2022002689</v>
      </c>
      <c r="D18" s="17">
        <v>2201010358</v>
      </c>
      <c r="E18" s="17" t="s">
        <v>1801</v>
      </c>
      <c r="F18" s="17" t="e">
        <f>VLOOKUP(C18,'Fast Track '!B:C,2,FALSE)</f>
        <v>#N/A</v>
      </c>
      <c r="G18" s="17" t="s">
        <v>3723</v>
      </c>
      <c r="H18" s="17" t="str">
        <f>VLOOKUP(C18,Sheet1!D:J,6,FALSE)</f>
        <v>2022002689.prempal@pt.sharda.ac.in</v>
      </c>
      <c r="I18" s="17" t="str">
        <f>VLOOKUP(D18,Sheet1!E:K,6,FALSE)</f>
        <v>8445090264</v>
      </c>
      <c r="J18" s="33" t="s">
        <v>15</v>
      </c>
      <c r="K18" s="37" t="s">
        <v>3645</v>
      </c>
      <c r="L18" t="s">
        <v>3647</v>
      </c>
    </row>
    <row r="19" spans="1:12">
      <c r="A19" s="17">
        <v>18</v>
      </c>
      <c r="B19" s="17" t="s">
        <v>911</v>
      </c>
      <c r="C19" s="17">
        <v>2022004863</v>
      </c>
      <c r="D19" s="17">
        <v>2201010370</v>
      </c>
      <c r="E19" s="17" t="s">
        <v>1801</v>
      </c>
      <c r="F19" s="17" t="e">
        <f>VLOOKUP(C19,'Fast Track '!B:C,2,FALSE)</f>
        <v>#N/A</v>
      </c>
      <c r="G19" s="17" t="s">
        <v>3724</v>
      </c>
      <c r="H19" s="17" t="str">
        <f>VLOOKUP(C19,Sheet1!D:J,6,FALSE)</f>
        <v>2022004863.rajeev@pt.sharda.ac.in</v>
      </c>
      <c r="I19" s="17" t="str">
        <f>VLOOKUP(D19,Sheet1!E:K,6,FALSE)</f>
        <v>9811299803</v>
      </c>
      <c r="J19" s="33" t="s">
        <v>15</v>
      </c>
      <c r="K19" s="37" t="s">
        <v>3645</v>
      </c>
      <c r="L19" t="s">
        <v>3647</v>
      </c>
    </row>
    <row r="20" spans="1:12">
      <c r="A20" s="17">
        <v>19</v>
      </c>
      <c r="B20" s="17" t="s">
        <v>985</v>
      </c>
      <c r="C20" s="17">
        <v>2022526514</v>
      </c>
      <c r="D20" s="17">
        <v>2201010415</v>
      </c>
      <c r="E20" s="17" t="s">
        <v>1801</v>
      </c>
      <c r="F20" s="17" t="e">
        <f>VLOOKUP(C20,'Fast Track '!B:C,2,FALSE)</f>
        <v>#N/A</v>
      </c>
      <c r="G20" s="17" t="s">
        <v>3725</v>
      </c>
      <c r="H20" s="17" t="str">
        <f>VLOOKUP(C20,Sheet1!D:J,6,FALSE)</f>
        <v>2022526514.mohd@pt.sharda.ac.in</v>
      </c>
      <c r="I20" s="17" t="str">
        <f>VLOOKUP(D20,Sheet1!E:K,6,FALSE)</f>
        <v>9582995581</v>
      </c>
      <c r="J20" s="33" t="s">
        <v>15</v>
      </c>
      <c r="K20" s="37" t="s">
        <v>3645</v>
      </c>
      <c r="L20" t="s">
        <v>3647</v>
      </c>
    </row>
    <row r="21" spans="1:12">
      <c r="A21" s="17">
        <v>20</v>
      </c>
      <c r="B21" s="17" t="s">
        <v>943</v>
      </c>
      <c r="C21" s="17">
        <v>2022429026</v>
      </c>
      <c r="D21" s="17">
        <v>2201010417</v>
      </c>
      <c r="E21" s="17" t="s">
        <v>1801</v>
      </c>
      <c r="F21" s="17" t="e">
        <f>VLOOKUP(C21,'Fast Track '!B:C,2,FALSE)</f>
        <v>#N/A</v>
      </c>
      <c r="G21" s="17" t="s">
        <v>3726</v>
      </c>
      <c r="H21" s="17" t="str">
        <f>VLOOKUP(C21,Sheet1!D:J,6,FALSE)</f>
        <v>2022429026.mustak@pt.sharda.ac.in</v>
      </c>
      <c r="I21" s="17" t="str">
        <f>VLOOKUP(D21,Sheet1!E:K,6,FALSE)</f>
        <v>8755495604</v>
      </c>
      <c r="J21" s="33" t="s">
        <v>15</v>
      </c>
      <c r="K21" s="37" t="s">
        <v>3645</v>
      </c>
      <c r="L21" t="s">
        <v>3647</v>
      </c>
    </row>
    <row r="22" spans="1:12">
      <c r="A22" s="17">
        <v>21</v>
      </c>
      <c r="B22" s="17" t="s">
        <v>977</v>
      </c>
      <c r="C22" s="17">
        <v>2022518370</v>
      </c>
      <c r="D22" s="17">
        <v>2201010459</v>
      </c>
      <c r="E22" s="17" t="s">
        <v>1801</v>
      </c>
      <c r="F22" s="17" t="e">
        <f>VLOOKUP(C22,'Fast Track '!B:C,2,FALSE)</f>
        <v>#N/A</v>
      </c>
      <c r="G22" s="17" t="s">
        <v>3727</v>
      </c>
      <c r="H22" s="17" t="str">
        <f>VLOOKUP(C22,Sheet1!D:J,6,FALSE)</f>
        <v>2022518370.premkumar@pt.sharda.ac.in</v>
      </c>
      <c r="I22" s="17" t="str">
        <f>VLOOKUP(D22,Sheet1!E:K,6,FALSE)</f>
        <v>9625306997</v>
      </c>
      <c r="J22" s="33" t="s">
        <v>15</v>
      </c>
      <c r="K22" s="37" t="s">
        <v>3645</v>
      </c>
      <c r="L22" t="s">
        <v>3647</v>
      </c>
    </row>
    <row r="23" spans="1:12">
      <c r="A23" s="17">
        <v>22</v>
      </c>
      <c r="B23" s="17" t="s">
        <v>947</v>
      </c>
      <c r="C23" s="17">
        <v>2022437668</v>
      </c>
      <c r="D23" s="17">
        <v>2201010467</v>
      </c>
      <c r="E23" s="17" t="s">
        <v>1801</v>
      </c>
      <c r="F23" s="17" t="e">
        <f>VLOOKUP(C23,'Fast Track '!B:C,2,FALSE)</f>
        <v>#N/A</v>
      </c>
      <c r="G23" s="17" t="s">
        <v>3728</v>
      </c>
      <c r="H23" s="17" t="str">
        <f>VLOOKUP(C23,Sheet1!D:J,6,FALSE)</f>
        <v>2022437668.arvindkumar@pt.sharda.ac.in</v>
      </c>
      <c r="I23" s="17" t="str">
        <f>VLOOKUP(D23,Sheet1!E:K,6,FALSE)</f>
        <v>8279969497</v>
      </c>
      <c r="J23" s="33" t="s">
        <v>15</v>
      </c>
      <c r="K23" s="37" t="s">
        <v>3645</v>
      </c>
      <c r="L23" t="s">
        <v>3647</v>
      </c>
    </row>
    <row r="24" spans="1:12">
      <c r="A24" s="17">
        <v>23</v>
      </c>
      <c r="B24" s="17" t="s">
        <v>973</v>
      </c>
      <c r="C24" s="17">
        <v>2022513603</v>
      </c>
      <c r="D24" s="17">
        <v>2201010538</v>
      </c>
      <c r="E24" s="17" t="s">
        <v>1801</v>
      </c>
      <c r="F24" s="17" t="e">
        <f>VLOOKUP(C24,'Fast Track '!B:C,2,FALSE)</f>
        <v>#N/A</v>
      </c>
      <c r="G24" s="17" t="s">
        <v>3729</v>
      </c>
      <c r="H24" s="17" t="str">
        <f>VLOOKUP(C24,Sheet1!D:J,6,FALSE)</f>
        <v>2022513603.pulle@pt.sharda.ac.in</v>
      </c>
      <c r="I24" s="17" t="str">
        <f>VLOOKUP(D24,Sheet1!E:K,6,FALSE)</f>
        <v>9542009934</v>
      </c>
      <c r="J24" s="33" t="s">
        <v>15</v>
      </c>
      <c r="K24" s="37" t="s">
        <v>3645</v>
      </c>
      <c r="L24" t="s">
        <v>3647</v>
      </c>
    </row>
    <row r="25" spans="1:12">
      <c r="A25" s="17">
        <v>24</v>
      </c>
      <c r="B25" s="17" t="s">
        <v>963</v>
      </c>
      <c r="C25" s="17">
        <v>2022497991</v>
      </c>
      <c r="D25" s="17">
        <v>2201010552</v>
      </c>
      <c r="E25" s="17" t="s">
        <v>1801</v>
      </c>
      <c r="F25" s="17" t="e">
        <f>VLOOKUP(C25,'Fast Track '!B:C,2,FALSE)</f>
        <v>#N/A</v>
      </c>
      <c r="G25" s="17" t="s">
        <v>3730</v>
      </c>
      <c r="H25" s="17" t="str">
        <f>VLOOKUP(C25,Sheet1!D:J,6,FALSE)</f>
        <v>2022497991.mahender@pt.sharda.ac.in</v>
      </c>
      <c r="I25" s="17" t="str">
        <f>VLOOKUP(D25,Sheet1!E:K,6,FALSE)</f>
        <v>7291063223</v>
      </c>
      <c r="J25" s="33" t="s">
        <v>15</v>
      </c>
      <c r="K25" s="37" t="s">
        <v>3645</v>
      </c>
      <c r="L25" t="s">
        <v>3647</v>
      </c>
    </row>
    <row r="26" spans="1:12">
      <c r="A26" s="17">
        <v>25</v>
      </c>
      <c r="B26" s="17" t="s">
        <v>993</v>
      </c>
      <c r="C26" s="17">
        <v>2022563106</v>
      </c>
      <c r="D26" s="17">
        <v>2201010558</v>
      </c>
      <c r="E26" s="17" t="s">
        <v>1801</v>
      </c>
      <c r="F26" s="17" t="e">
        <f>VLOOKUP(C26,'Fast Track '!B:C,2,FALSE)</f>
        <v>#N/A</v>
      </c>
      <c r="G26" s="17" t="s">
        <v>3731</v>
      </c>
      <c r="H26" s="17" t="str">
        <f>VLOOKUP(C26,Sheet1!D:J,6,FALSE)</f>
        <v>2022563106.sanjaykumar@pt.sharda.ac.in</v>
      </c>
      <c r="I26" s="17" t="str">
        <f>VLOOKUP(D26,Sheet1!E:K,6,FALSE)</f>
        <v>8929565652</v>
      </c>
      <c r="J26" s="33" t="s">
        <v>15</v>
      </c>
      <c r="K26" s="37" t="s">
        <v>3645</v>
      </c>
      <c r="L26" t="s">
        <v>3647</v>
      </c>
    </row>
    <row r="27" spans="1:12">
      <c r="A27" s="17">
        <v>26</v>
      </c>
      <c r="B27" s="17" t="s">
        <v>969</v>
      </c>
      <c r="C27" s="17">
        <v>2022506102</v>
      </c>
      <c r="D27" s="17">
        <v>2201010597</v>
      </c>
      <c r="E27" s="17" t="s">
        <v>1801</v>
      </c>
      <c r="F27" s="17" t="e">
        <f>VLOOKUP(C27,'Fast Track '!B:C,2,FALSE)</f>
        <v>#N/A</v>
      </c>
      <c r="G27" s="17" t="s">
        <v>3732</v>
      </c>
      <c r="H27" s="17" t="str">
        <f>VLOOKUP(C27,Sheet1!D:J,6,FALSE)</f>
        <v>2022506102.santoshkumar@pt.sharda.ac.in</v>
      </c>
      <c r="I27" s="17" t="str">
        <f>VLOOKUP(D27,Sheet1!E:K,6,FALSE)</f>
        <v>8887501600</v>
      </c>
      <c r="J27" s="33" t="s">
        <v>15</v>
      </c>
      <c r="K27" s="37" t="s">
        <v>3645</v>
      </c>
      <c r="L27" t="s">
        <v>3647</v>
      </c>
    </row>
    <row r="28" spans="1:12">
      <c r="A28" s="17">
        <v>27</v>
      </c>
      <c r="B28" s="17" t="s">
        <v>319</v>
      </c>
      <c r="C28" s="17">
        <v>2022462663</v>
      </c>
      <c r="D28" s="17">
        <v>2201010204</v>
      </c>
      <c r="E28" s="17" t="s">
        <v>1801</v>
      </c>
      <c r="F28" s="17" t="e">
        <f>VLOOKUP(C28,'Fast Track '!B:C,2,FALSE)</f>
        <v>#N/A</v>
      </c>
      <c r="G28" s="17" t="s">
        <v>3733</v>
      </c>
      <c r="H28" s="17" t="str">
        <f>VLOOKUP(C28,Sheet1!D:J,6,FALSE)</f>
        <v>2022462663.naurang@pt.sharda.ac.in</v>
      </c>
      <c r="I28" s="17" t="str">
        <f>VLOOKUP(D28,Sheet1!E:K,6,FALSE)</f>
        <v>9350536399</v>
      </c>
      <c r="J28" s="33" t="s">
        <v>15</v>
      </c>
      <c r="K28" s="37" t="s">
        <v>3645</v>
      </c>
      <c r="L28" t="s">
        <v>3647</v>
      </c>
    </row>
    <row r="29" spans="1:12">
      <c r="A29" s="17">
        <v>28</v>
      </c>
      <c r="B29" s="17" t="s">
        <v>937</v>
      </c>
      <c r="C29" s="17">
        <v>2022344264</v>
      </c>
      <c r="D29" s="17">
        <v>2201010634</v>
      </c>
      <c r="E29" s="17" t="s">
        <v>1801</v>
      </c>
      <c r="F29" s="17" t="e">
        <f>VLOOKUP(C29,'Fast Track '!B:C,2,FALSE)</f>
        <v>#N/A</v>
      </c>
      <c r="G29" s="17" t="s">
        <v>3734</v>
      </c>
      <c r="H29" s="17" t="str">
        <f>VLOOKUP(C29,Sheet1!D:J,6,FALSE)</f>
        <v>2022344264.krishna@pt.sharda.ac.in</v>
      </c>
      <c r="I29" s="17" t="str">
        <f>VLOOKUP(D29,Sheet1!E:K,6,FALSE)</f>
        <v>9899045081</v>
      </c>
      <c r="J29" s="33" t="s">
        <v>15</v>
      </c>
      <c r="K29" s="37" t="s">
        <v>3645</v>
      </c>
      <c r="L29" t="s">
        <v>3647</v>
      </c>
    </row>
    <row r="30" spans="1:12">
      <c r="A30" s="17">
        <v>29</v>
      </c>
      <c r="B30" s="17" t="s">
        <v>339</v>
      </c>
      <c r="C30" s="17">
        <v>2022487133</v>
      </c>
      <c r="D30" s="17">
        <v>2201010227</v>
      </c>
      <c r="E30" s="17" t="s">
        <v>1801</v>
      </c>
      <c r="F30" s="17" t="e">
        <f>VLOOKUP(C30,'Fast Track '!B:C,2,FALSE)</f>
        <v>#N/A</v>
      </c>
      <c r="G30" s="17" t="s">
        <v>3735</v>
      </c>
      <c r="H30" s="17" t="str">
        <f>VLOOKUP(C30,Sheet1!D:J,6,FALSE)</f>
        <v>2022487133.bhudeo@pt.sharda.ac.in</v>
      </c>
      <c r="I30" s="17" t="str">
        <f>VLOOKUP(D30,Sheet1!E:K,6,FALSE)</f>
        <v>7253008620</v>
      </c>
      <c r="J30" s="33" t="s">
        <v>15</v>
      </c>
      <c r="K30" s="37" t="s">
        <v>3645</v>
      </c>
      <c r="L30" t="s">
        <v>3647</v>
      </c>
    </row>
    <row r="31" spans="1:12">
      <c r="A31" s="17">
        <v>30</v>
      </c>
      <c r="B31" s="17" t="s">
        <v>949</v>
      </c>
      <c r="C31" s="17">
        <v>2022438521</v>
      </c>
      <c r="D31" s="17">
        <v>2201010646</v>
      </c>
      <c r="E31" s="17" t="s">
        <v>1801</v>
      </c>
      <c r="F31" s="17" t="e">
        <f>VLOOKUP(C31,'Fast Track '!B:C,2,FALSE)</f>
        <v>#N/A</v>
      </c>
      <c r="G31" s="17" t="s">
        <v>3736</v>
      </c>
      <c r="H31" s="17" t="str">
        <f>VLOOKUP(C31,Sheet1!D:J,6,FALSE)</f>
        <v>2022438521.lateshankar@pt.sharda.ac.in</v>
      </c>
      <c r="I31" s="17" t="str">
        <f>VLOOKUP(D31,Sheet1!E:K,6,FALSE)</f>
        <v>7979996286</v>
      </c>
      <c r="J31" s="33" t="s">
        <v>15</v>
      </c>
      <c r="K31" s="37" t="s">
        <v>3645</v>
      </c>
      <c r="L31" t="s">
        <v>3647</v>
      </c>
    </row>
    <row r="32" spans="1:12">
      <c r="A32" s="17">
        <v>31</v>
      </c>
      <c r="B32" s="17" t="s">
        <v>919</v>
      </c>
      <c r="C32" s="17">
        <v>2022006789</v>
      </c>
      <c r="D32" s="17">
        <v>2201010661</v>
      </c>
      <c r="E32" s="17" t="s">
        <v>1801</v>
      </c>
      <c r="F32" s="17" t="e">
        <f>VLOOKUP(C32,'Fast Track '!B:C,2,FALSE)</f>
        <v>#N/A</v>
      </c>
      <c r="G32" s="17" t="s">
        <v>3737</v>
      </c>
      <c r="H32" s="17" t="str">
        <f>VLOOKUP(C32,Sheet1!D:J,6,FALSE)</f>
        <v>2022006789.kishan@pt.sharda.ac.in</v>
      </c>
      <c r="I32" s="17" t="str">
        <f>VLOOKUP(D32,Sheet1!E:K,6,FALSE)</f>
        <v>8750854190</v>
      </c>
      <c r="J32" s="33" t="s">
        <v>15</v>
      </c>
      <c r="K32" s="37" t="s">
        <v>3644</v>
      </c>
      <c r="L32" t="s">
        <v>3648</v>
      </c>
    </row>
    <row r="33" spans="1:12">
      <c r="A33" s="17">
        <v>32</v>
      </c>
      <c r="B33" s="17" t="s">
        <v>955</v>
      </c>
      <c r="C33" s="17">
        <v>2022472720</v>
      </c>
      <c r="D33" s="17">
        <v>2201010668</v>
      </c>
      <c r="E33" s="17" t="s">
        <v>1801</v>
      </c>
      <c r="F33" s="17" t="e">
        <f>VLOOKUP(C33,'Fast Track '!B:C,2,FALSE)</f>
        <v>#N/A</v>
      </c>
      <c r="G33" s="17" t="s">
        <v>3738</v>
      </c>
      <c r="H33" s="17" t="str">
        <f>VLOOKUP(C33,Sheet1!D:J,6,FALSE)</f>
        <v>2022472720.brijmohan@pt.sharda.ac.in</v>
      </c>
      <c r="I33" s="17" t="str">
        <f>VLOOKUP(D33,Sheet1!E:K,6,FALSE)</f>
        <v>9458354480</v>
      </c>
      <c r="J33" s="33" t="s">
        <v>15</v>
      </c>
      <c r="K33" s="37" t="s">
        <v>3644</v>
      </c>
      <c r="L33" t="s">
        <v>3648</v>
      </c>
    </row>
    <row r="34" spans="1:12">
      <c r="A34" s="17">
        <v>33</v>
      </c>
      <c r="B34" s="17" t="s">
        <v>259</v>
      </c>
      <c r="C34" s="17">
        <v>2022577110</v>
      </c>
      <c r="D34" s="17">
        <v>2201010671</v>
      </c>
      <c r="E34" s="17" t="s">
        <v>1801</v>
      </c>
      <c r="F34" s="17" t="e">
        <f>VLOOKUP(C34,'Fast Track '!B:C,2,FALSE)</f>
        <v>#N/A</v>
      </c>
      <c r="G34" s="17" t="s">
        <v>3739</v>
      </c>
      <c r="H34" s="17" t="str">
        <f>VLOOKUP(C34,Sheet1!D:J,6,FALSE)</f>
        <v>2022577110.udayshankar@pt.sharda.ac.in</v>
      </c>
      <c r="I34" s="17" t="str">
        <f>VLOOKUP(D34,Sheet1!E:K,6,FALSE)</f>
        <v>9508885660</v>
      </c>
      <c r="J34" s="33" t="s">
        <v>15</v>
      </c>
      <c r="K34" s="37" t="s">
        <v>3644</v>
      </c>
      <c r="L34" t="s">
        <v>3648</v>
      </c>
    </row>
    <row r="35" spans="1:12">
      <c r="A35" s="17">
        <v>34</v>
      </c>
      <c r="B35" s="17" t="s">
        <v>971</v>
      </c>
      <c r="C35" s="17">
        <v>2022512360</v>
      </c>
      <c r="D35" s="17">
        <v>2201010681</v>
      </c>
      <c r="E35" s="17" t="s">
        <v>1801</v>
      </c>
      <c r="F35" s="17" t="e">
        <f>VLOOKUP(C35,'Fast Track '!B:C,2,FALSE)</f>
        <v>#N/A</v>
      </c>
      <c r="G35" s="17" t="s">
        <v>3740</v>
      </c>
      <c r="H35" s="17" t="str">
        <f>VLOOKUP(C35,Sheet1!D:J,6,FALSE)</f>
        <v>2022512360.ramprasad@pt.sharda.ac.in</v>
      </c>
      <c r="I35" s="17" t="str">
        <f>VLOOKUP(D35,Sheet1!E:K,6,FALSE)</f>
        <v>7651937775</v>
      </c>
      <c r="J35" s="33" t="s">
        <v>15</v>
      </c>
      <c r="K35" s="37" t="s">
        <v>3644</v>
      </c>
      <c r="L35" t="s">
        <v>3648</v>
      </c>
    </row>
    <row r="36" spans="1:12">
      <c r="A36" s="17">
        <v>35</v>
      </c>
      <c r="B36" s="17" t="s">
        <v>909</v>
      </c>
      <c r="C36" s="17">
        <v>2022004756</v>
      </c>
      <c r="D36" s="17">
        <v>2201010684</v>
      </c>
      <c r="E36" s="17" t="s">
        <v>1801</v>
      </c>
      <c r="F36" s="17" t="e">
        <f>VLOOKUP(C36,'Fast Track '!B:C,2,FALSE)</f>
        <v>#N/A</v>
      </c>
      <c r="G36" s="17" t="s">
        <v>3741</v>
      </c>
      <c r="H36" s="17" t="str">
        <f>VLOOKUP(C36,Sheet1!D:J,6,FALSE)</f>
        <v>2022004756.manish@pt.sharda.ac.in</v>
      </c>
      <c r="I36" s="17" t="str">
        <f>VLOOKUP(D36,Sheet1!E:K,6,FALSE)</f>
        <v>8439840461</v>
      </c>
      <c r="J36" s="33" t="s">
        <v>15</v>
      </c>
      <c r="K36" s="37" t="s">
        <v>3644</v>
      </c>
      <c r="L36" t="s">
        <v>3648</v>
      </c>
    </row>
    <row r="37" spans="1:12">
      <c r="A37" s="17">
        <v>36</v>
      </c>
      <c r="B37" s="17" t="s">
        <v>981</v>
      </c>
      <c r="C37" s="17">
        <v>2022520978</v>
      </c>
      <c r="D37" s="17">
        <v>2201010693</v>
      </c>
      <c r="E37" s="17" t="s">
        <v>1801</v>
      </c>
      <c r="F37" s="17" t="e">
        <f>VLOOKUP(C37,'Fast Track '!B:C,2,FALSE)</f>
        <v>#N/A</v>
      </c>
      <c r="G37" s="17" t="s">
        <v>3742</v>
      </c>
      <c r="H37" s="17" t="str">
        <f>VLOOKUP(C37,Sheet1!D:J,6,FALSE)</f>
        <v>2022520978.abhijit@pt.sharda.ac.in</v>
      </c>
      <c r="I37" s="17" t="str">
        <f>VLOOKUP(D37,Sheet1!E:K,6,FALSE)</f>
        <v>7080050607</v>
      </c>
      <c r="J37" s="33" t="s">
        <v>15</v>
      </c>
      <c r="K37" s="37" t="s">
        <v>3644</v>
      </c>
      <c r="L37" t="s">
        <v>3648</v>
      </c>
    </row>
    <row r="38" spans="1:12">
      <c r="A38" s="17">
        <v>37</v>
      </c>
      <c r="B38" s="17" t="s">
        <v>905</v>
      </c>
      <c r="C38" s="17">
        <v>2022003913</v>
      </c>
      <c r="D38" s="17">
        <v>2201010718</v>
      </c>
      <c r="E38" s="17" t="s">
        <v>1801</v>
      </c>
      <c r="F38" s="17" t="e">
        <f>VLOOKUP(C38,'Fast Track '!B:C,2,FALSE)</f>
        <v>#N/A</v>
      </c>
      <c r="G38" s="17" t="s">
        <v>3743</v>
      </c>
      <c r="H38" s="17" t="str">
        <f>VLOOKUP(C38,Sheet1!D:J,6,FALSE)</f>
        <v>2022003913.nazirahmad@pt.sharda.ac.in</v>
      </c>
      <c r="I38" s="17" t="str">
        <f>VLOOKUP(D38,Sheet1!E:K,6,FALSE)</f>
        <v>7006837134</v>
      </c>
      <c r="J38" s="33" t="s">
        <v>15</v>
      </c>
      <c r="K38" s="37" t="s">
        <v>3644</v>
      </c>
      <c r="L38" t="s">
        <v>3648</v>
      </c>
    </row>
    <row r="39" spans="1:12">
      <c r="A39" s="17">
        <v>38</v>
      </c>
      <c r="B39" s="17" t="s">
        <v>921</v>
      </c>
      <c r="C39" s="17">
        <v>2022006898</v>
      </c>
      <c r="D39" s="17">
        <v>2201010729</v>
      </c>
      <c r="E39" s="17" t="s">
        <v>1801</v>
      </c>
      <c r="F39" s="17" t="e">
        <f>VLOOKUP(C39,'Fast Track '!B:C,2,FALSE)</f>
        <v>#N/A</v>
      </c>
      <c r="G39" s="17" t="s">
        <v>3744</v>
      </c>
      <c r="H39" s="17" t="str">
        <f>VLOOKUP(C39,Sheet1!D:J,6,FALSE)</f>
        <v>2022006898.pawan@pt.sharda.ac.in</v>
      </c>
      <c r="I39" s="17" t="str">
        <f>VLOOKUP(D39,Sheet1!E:K,6,FALSE)</f>
        <v>7428943713</v>
      </c>
      <c r="J39" s="33" t="s">
        <v>15</v>
      </c>
      <c r="K39" s="37" t="s">
        <v>3644</v>
      </c>
      <c r="L39" t="s">
        <v>3648</v>
      </c>
    </row>
    <row r="40" spans="1:12">
      <c r="A40" s="17">
        <v>39</v>
      </c>
      <c r="B40" s="17" t="s">
        <v>987</v>
      </c>
      <c r="C40" s="17">
        <v>2022534653</v>
      </c>
      <c r="D40" s="17">
        <v>2201010751</v>
      </c>
      <c r="E40" s="17" t="s">
        <v>1801</v>
      </c>
      <c r="F40" s="17" t="e">
        <f>VLOOKUP(C40,'Fast Track '!B:C,2,FALSE)</f>
        <v>#N/A</v>
      </c>
      <c r="G40" s="17" t="s">
        <v>3745</v>
      </c>
      <c r="H40" s="17" t="str">
        <f>VLOOKUP(C40,Sheet1!D:J,6,FALSE)</f>
        <v>2022534653.arshad@pt.sharda.ac.in</v>
      </c>
      <c r="I40" s="17" t="str">
        <f>VLOOKUP(D40,Sheet1!E:K,6,FALSE)</f>
        <v>7079289030</v>
      </c>
      <c r="J40" s="33" t="s">
        <v>15</v>
      </c>
      <c r="K40" s="37" t="s">
        <v>3644</v>
      </c>
      <c r="L40" t="s">
        <v>3648</v>
      </c>
    </row>
    <row r="41" spans="1:12">
      <c r="A41" s="17">
        <v>40</v>
      </c>
      <c r="B41" s="17" t="s">
        <v>953</v>
      </c>
      <c r="C41" s="17">
        <v>2022452189</v>
      </c>
      <c r="D41" s="17">
        <v>2201010787</v>
      </c>
      <c r="E41" s="17" t="s">
        <v>1801</v>
      </c>
      <c r="F41" s="17" t="e">
        <f>VLOOKUP(C41,'Fast Track '!B:C,2,FALSE)</f>
        <v>#N/A</v>
      </c>
      <c r="G41" s="17" t="s">
        <v>3746</v>
      </c>
      <c r="H41" s="17" t="str">
        <f>VLOOKUP(C41,Sheet1!D:J,6,FALSE)</f>
        <v>2022452189.jankisharan@pt.sharda.ac.in</v>
      </c>
      <c r="I41" s="17" t="str">
        <f>VLOOKUP(D41,Sheet1!E:K,6,FALSE)</f>
        <v>8878530472</v>
      </c>
      <c r="J41" s="33" t="s">
        <v>15</v>
      </c>
      <c r="K41" s="37" t="s">
        <v>3644</v>
      </c>
      <c r="L41" t="s">
        <v>3648</v>
      </c>
    </row>
    <row r="42" spans="1:12">
      <c r="A42" s="17">
        <v>41</v>
      </c>
      <c r="B42" s="17" t="s">
        <v>913</v>
      </c>
      <c r="C42" s="17">
        <v>2022006072</v>
      </c>
      <c r="D42" s="17">
        <v>2201010815</v>
      </c>
      <c r="E42" s="17" t="s">
        <v>1801</v>
      </c>
      <c r="F42" s="17" t="e">
        <f>VLOOKUP(C42,'Fast Track '!B:C,2,FALSE)</f>
        <v>#N/A</v>
      </c>
      <c r="G42" s="17" t="s">
        <v>3747</v>
      </c>
      <c r="H42" s="17" t="str">
        <f>VLOOKUP(C42,Sheet1!D:J,6,FALSE)</f>
        <v>2022006072.niranjan@pt.sharda.ac.in</v>
      </c>
      <c r="I42" s="17" t="str">
        <f>VLOOKUP(D42,Sheet1!E:K,6,FALSE)</f>
        <v>8811995780</v>
      </c>
      <c r="J42" s="33" t="s">
        <v>15</v>
      </c>
      <c r="K42" s="37" t="s">
        <v>3644</v>
      </c>
      <c r="L42" t="s">
        <v>3648</v>
      </c>
    </row>
    <row r="43" spans="1:12">
      <c r="A43" s="17">
        <v>42</v>
      </c>
      <c r="B43" s="17" t="s">
        <v>979</v>
      </c>
      <c r="C43" s="17">
        <v>2022518505</v>
      </c>
      <c r="D43" s="17">
        <v>2201010821</v>
      </c>
      <c r="E43" s="17" t="s">
        <v>1801</v>
      </c>
      <c r="F43" s="17" t="e">
        <f>VLOOKUP(C43,'Fast Track '!B:C,2,FALSE)</f>
        <v>#N/A</v>
      </c>
      <c r="G43" s="17" t="s">
        <v>3748</v>
      </c>
      <c r="H43" s="17" t="str">
        <f>VLOOKUP(C43,Sheet1!D:J,6,FALSE)</f>
        <v>2022518505.sandeep@pt.sharda.ac.in</v>
      </c>
      <c r="I43" s="17" t="str">
        <f>VLOOKUP(D43,Sheet1!E:K,6,FALSE)</f>
        <v>9536903232</v>
      </c>
      <c r="J43" s="33" t="s">
        <v>15</v>
      </c>
      <c r="K43" s="37" t="s">
        <v>3644</v>
      </c>
      <c r="L43" t="s">
        <v>3648</v>
      </c>
    </row>
    <row r="44" spans="1:12">
      <c r="A44" s="17">
        <v>43</v>
      </c>
      <c r="B44" s="17" t="s">
        <v>917</v>
      </c>
      <c r="C44" s="17">
        <v>2022006613</v>
      </c>
      <c r="D44" s="17">
        <v>2201010831</v>
      </c>
      <c r="E44" s="17" t="s">
        <v>1801</v>
      </c>
      <c r="F44" s="17" t="e">
        <f>VLOOKUP(C44,'Fast Track '!B:C,2,FALSE)</f>
        <v>#N/A</v>
      </c>
      <c r="G44" s="17" t="s">
        <v>3749</v>
      </c>
      <c r="H44" s="17" t="str">
        <f>VLOOKUP(C44,Sheet1!D:J,6,FALSE)</f>
        <v>2022006613.parth@pt.sharda.ac.in</v>
      </c>
      <c r="I44" s="17" t="str">
        <f>VLOOKUP(D44,Sheet1!E:K,6,FALSE)</f>
        <v>7004207327</v>
      </c>
      <c r="J44" s="33" t="s">
        <v>15</v>
      </c>
      <c r="K44" s="37" t="s">
        <v>3644</v>
      </c>
      <c r="L44" t="s">
        <v>3648</v>
      </c>
    </row>
    <row r="45" spans="1:12">
      <c r="A45" s="17">
        <v>44</v>
      </c>
      <c r="B45" s="17" t="s">
        <v>923</v>
      </c>
      <c r="C45" s="17">
        <v>2022007518</v>
      </c>
      <c r="D45" s="17">
        <v>2201010850</v>
      </c>
      <c r="E45" s="17" t="s">
        <v>1801</v>
      </c>
      <c r="F45" s="17" t="e">
        <f>VLOOKUP(C45,'Fast Track '!B:C,2,FALSE)</f>
        <v>#N/A</v>
      </c>
      <c r="G45" s="17" t="s">
        <v>3750</v>
      </c>
      <c r="H45" s="17" t="str">
        <f>VLOOKUP(C45,Sheet1!D:J,6,FALSE)</f>
        <v>2022007518.sandeep@pt.sharda.ac.in</v>
      </c>
      <c r="I45" s="17" t="str">
        <f>VLOOKUP(D45,Sheet1!E:K,6,FALSE)</f>
        <v>8744095807</v>
      </c>
      <c r="J45" s="33" t="s">
        <v>15</v>
      </c>
      <c r="K45" s="37" t="s">
        <v>3644</v>
      </c>
      <c r="L45" t="s">
        <v>3648</v>
      </c>
    </row>
    <row r="46" spans="1:12">
      <c r="A46" s="17">
        <v>45</v>
      </c>
      <c r="B46" s="17" t="s">
        <v>925</v>
      </c>
      <c r="C46" s="17">
        <v>2022007615</v>
      </c>
      <c r="D46" s="17">
        <v>2201010852</v>
      </c>
      <c r="E46" s="17" t="s">
        <v>1801</v>
      </c>
      <c r="F46" s="17" t="e">
        <f>VLOOKUP(C46,'Fast Track '!B:C,2,FALSE)</f>
        <v>#N/A</v>
      </c>
      <c r="G46" s="17" t="s">
        <v>3751</v>
      </c>
      <c r="H46" s="17" t="str">
        <f>VLOOKUP(C46,Sheet1!D:J,6,FALSE)</f>
        <v>2022007615.pankajkumar@pt.sharda.ac.in</v>
      </c>
      <c r="I46" s="17" t="str">
        <f>VLOOKUP(D46,Sheet1!E:K,6,FALSE)</f>
        <v>9910105985</v>
      </c>
      <c r="J46" s="33" t="s">
        <v>15</v>
      </c>
      <c r="K46" s="37" t="s">
        <v>3644</v>
      </c>
      <c r="L46" t="s">
        <v>3648</v>
      </c>
    </row>
    <row r="47" spans="1:12">
      <c r="A47" s="17">
        <v>46</v>
      </c>
      <c r="B47" s="17" t="s">
        <v>927</v>
      </c>
      <c r="C47" s="17">
        <v>2022007629</v>
      </c>
      <c r="D47" s="17">
        <v>2201010853</v>
      </c>
      <c r="E47" s="17" t="s">
        <v>1801</v>
      </c>
      <c r="F47" s="17" t="e">
        <f>VLOOKUP(C47,'Fast Track '!B:C,2,FALSE)</f>
        <v>#N/A</v>
      </c>
      <c r="G47" s="17" t="s">
        <v>3752</v>
      </c>
      <c r="H47" s="17" t="str">
        <f>VLOOKUP(C47,Sheet1!D:J,6,FALSE)</f>
        <v>2022007629.janesh@pt.sharda.ac.in</v>
      </c>
      <c r="I47" s="17" t="str">
        <f>VLOOKUP(D47,Sheet1!E:K,6,FALSE)</f>
        <v>8860855324</v>
      </c>
      <c r="J47" s="33" t="s">
        <v>15</v>
      </c>
      <c r="K47" s="37" t="s">
        <v>3644</v>
      </c>
      <c r="L47" t="s">
        <v>3648</v>
      </c>
    </row>
    <row r="48" spans="1:12">
      <c r="A48" s="17">
        <v>47</v>
      </c>
      <c r="B48" s="17" t="s">
        <v>929</v>
      </c>
      <c r="C48" s="17">
        <v>2022007684</v>
      </c>
      <c r="D48" s="17">
        <v>2201010859</v>
      </c>
      <c r="E48" s="17" t="s">
        <v>1801</v>
      </c>
      <c r="F48" s="17" t="e">
        <f>VLOOKUP(C48,'Fast Track '!B:C,2,FALSE)</f>
        <v>#N/A</v>
      </c>
      <c r="G48" s="17" t="s">
        <v>3753</v>
      </c>
      <c r="H48" s="17" t="str">
        <f>VLOOKUP(C48,Sheet1!D:J,6,FALSE)</f>
        <v>2022007684.swadesh@pt.sharda.ac.in</v>
      </c>
      <c r="I48" s="17" t="str">
        <f>VLOOKUP(D48,Sheet1!E:K,6,FALSE)</f>
        <v>9058956922</v>
      </c>
      <c r="J48" s="33" t="s">
        <v>15</v>
      </c>
      <c r="K48" s="37" t="s">
        <v>3644</v>
      </c>
      <c r="L48" t="s">
        <v>3648</v>
      </c>
    </row>
    <row r="49" spans="1:12">
      <c r="A49" s="17">
        <v>48</v>
      </c>
      <c r="B49" s="17" t="s">
        <v>931</v>
      </c>
      <c r="C49" s="17">
        <v>2022007720</v>
      </c>
      <c r="D49" s="17">
        <v>2201010861</v>
      </c>
      <c r="E49" s="17" t="s">
        <v>1801</v>
      </c>
      <c r="F49" s="17" t="e">
        <f>VLOOKUP(C49,'Fast Track '!B:C,2,FALSE)</f>
        <v>#N/A</v>
      </c>
      <c r="G49" s="17" t="s">
        <v>3754</v>
      </c>
      <c r="H49" s="17" t="str">
        <f>VLOOKUP(C49,Sheet1!D:J,6,FALSE)</f>
        <v>2022007720.jaiprakash@pt.sharda.ac.in</v>
      </c>
      <c r="I49" s="17" t="str">
        <f>VLOOKUP(D49,Sheet1!E:K,6,FALSE)</f>
        <v>9457526385</v>
      </c>
      <c r="J49" s="33" t="s">
        <v>15</v>
      </c>
      <c r="K49" s="37" t="s">
        <v>3644</v>
      </c>
      <c r="L49" t="s">
        <v>3648</v>
      </c>
    </row>
    <row r="50" spans="1:12">
      <c r="A50" s="17">
        <v>49</v>
      </c>
      <c r="B50" s="17" t="s">
        <v>991</v>
      </c>
      <c r="C50" s="17">
        <v>2022545040</v>
      </c>
      <c r="D50" s="17">
        <v>2201010880</v>
      </c>
      <c r="E50" s="17" t="s">
        <v>1801</v>
      </c>
      <c r="F50" s="17" t="e">
        <f>VLOOKUP(C50,'Fast Track '!B:C,2,FALSE)</f>
        <v>#N/A</v>
      </c>
      <c r="G50" s="17" t="s">
        <v>3755</v>
      </c>
      <c r="H50" s="17" t="str">
        <f>VLOOKUP(C50,Sheet1!D:J,6,FALSE)</f>
        <v>2022545040.brajesh@pt.sharda.ac.in</v>
      </c>
      <c r="I50" s="17" t="str">
        <f>VLOOKUP(D50,Sheet1!E:K,6,FALSE)</f>
        <v>6207194108</v>
      </c>
      <c r="J50" s="33" t="s">
        <v>15</v>
      </c>
      <c r="K50" s="37" t="s">
        <v>3644</v>
      </c>
      <c r="L50" t="s">
        <v>3648</v>
      </c>
    </row>
    <row r="51" spans="1:12">
      <c r="A51" s="17">
        <v>50</v>
      </c>
      <c r="B51" s="17" t="s">
        <v>995</v>
      </c>
      <c r="C51" s="17">
        <v>2022565552</v>
      </c>
      <c r="D51" s="17">
        <v>2201010883</v>
      </c>
      <c r="E51" s="17" t="s">
        <v>1801</v>
      </c>
      <c r="F51" s="17" t="e">
        <f>VLOOKUP(C51,'Fast Track '!B:C,2,FALSE)</f>
        <v>#N/A</v>
      </c>
      <c r="G51" s="17" t="s">
        <v>3756</v>
      </c>
      <c r="H51" s="17" t="str">
        <f>VLOOKUP(C51,Sheet1!D:J,6,FALSE)</f>
        <v>2022565552.sushil@pt.sharda.ac.in</v>
      </c>
      <c r="I51" s="17" t="str">
        <f>VLOOKUP(D51,Sheet1!E:K,6,FALSE)</f>
        <v>8709884394</v>
      </c>
      <c r="J51" s="33" t="s">
        <v>15</v>
      </c>
      <c r="K51" s="37" t="s">
        <v>3644</v>
      </c>
      <c r="L51" t="s">
        <v>3648</v>
      </c>
    </row>
    <row r="52" spans="1:12">
      <c r="A52" s="17">
        <v>51</v>
      </c>
      <c r="B52" s="17" t="s">
        <v>1000</v>
      </c>
      <c r="C52" s="17">
        <v>2022583301</v>
      </c>
      <c r="D52" s="17">
        <v>2201010885</v>
      </c>
      <c r="E52" s="17" t="s">
        <v>1801</v>
      </c>
      <c r="F52" s="17" t="e">
        <f>VLOOKUP(C52,'Fast Track '!B:C,2,FALSE)</f>
        <v>#N/A</v>
      </c>
      <c r="G52" s="17" t="s">
        <v>3757</v>
      </c>
      <c r="H52" s="17" t="str">
        <f>VLOOKUP(C52,Sheet1!D:J,6,FALSE)</f>
        <v>2022583301.anuj@pt.sharda.ac.in</v>
      </c>
      <c r="I52" s="17" t="str">
        <f>VLOOKUP(D52,Sheet1!E:K,6,FALSE)</f>
        <v>8090322789</v>
      </c>
      <c r="J52" s="33" t="s">
        <v>15</v>
      </c>
      <c r="K52" s="37" t="s">
        <v>3644</v>
      </c>
      <c r="L52" t="s">
        <v>3648</v>
      </c>
    </row>
    <row r="53" spans="1:12">
      <c r="A53" s="17">
        <v>52</v>
      </c>
      <c r="B53" s="17" t="s">
        <v>1002</v>
      </c>
      <c r="C53" s="17">
        <v>2022592906</v>
      </c>
      <c r="D53" s="17">
        <v>2201010889</v>
      </c>
      <c r="E53" s="17" t="s">
        <v>1801</v>
      </c>
      <c r="F53" s="17" t="e">
        <f>VLOOKUP(C53,'Fast Track '!B:C,2,FALSE)</f>
        <v>#N/A</v>
      </c>
      <c r="G53" s="17" t="s">
        <v>3758</v>
      </c>
      <c r="H53" s="17" t="str">
        <f>VLOOKUP(C53,Sheet1!D:J,6,FALSE)</f>
        <v>2022592906.samdershi@pt.sharda.ac.in</v>
      </c>
      <c r="I53" s="17" t="str">
        <f>VLOOKUP(D53,Sheet1!E:K,6,FALSE)</f>
        <v>9799320169</v>
      </c>
      <c r="J53" s="33" t="s">
        <v>15</v>
      </c>
      <c r="K53" s="37" t="s">
        <v>3644</v>
      </c>
      <c r="L53" t="s">
        <v>3648</v>
      </c>
    </row>
    <row r="54" spans="1:12">
      <c r="A54" s="17">
        <v>53</v>
      </c>
      <c r="B54" s="17" t="s">
        <v>1004</v>
      </c>
      <c r="C54" s="17">
        <v>2022596015</v>
      </c>
      <c r="D54" s="17">
        <v>2201010893</v>
      </c>
      <c r="E54" s="17" t="s">
        <v>1801</v>
      </c>
      <c r="F54" s="17" t="e">
        <f>VLOOKUP(C54,'Fast Track '!B:C,2,FALSE)</f>
        <v>#N/A</v>
      </c>
      <c r="G54" s="17" t="s">
        <v>3759</v>
      </c>
      <c r="H54" s="17" t="str">
        <f>VLOOKUP(C54,Sheet1!D:J,6,FALSE)</f>
        <v>2022596015.manoj@pt.sharda.ac.in</v>
      </c>
      <c r="I54" s="17" t="str">
        <f>VLOOKUP(D54,Sheet1!E:K,6,FALSE)</f>
        <v>9122808279</v>
      </c>
      <c r="J54" s="33" t="s">
        <v>15</v>
      </c>
      <c r="K54" s="37" t="s">
        <v>3644</v>
      </c>
      <c r="L54" t="s">
        <v>3648</v>
      </c>
    </row>
    <row r="55" spans="1:12">
      <c r="A55" s="17">
        <v>54</v>
      </c>
      <c r="B55" s="17" t="s">
        <v>1264</v>
      </c>
      <c r="C55" s="17">
        <v>2022609610</v>
      </c>
      <c r="D55" s="17">
        <v>2201010899</v>
      </c>
      <c r="E55" s="17" t="s">
        <v>1801</v>
      </c>
      <c r="F55" s="17" t="e">
        <f>VLOOKUP(C55,'Fast Track '!B:C,2,FALSE)</f>
        <v>#N/A</v>
      </c>
      <c r="G55" s="17" t="s">
        <v>3760</v>
      </c>
      <c r="H55" s="17" t="str">
        <f>VLOOKUP(C55,Sheet1!D:J,6,FALSE)</f>
        <v>2022609610.ajay@pt.sharda.ac.in</v>
      </c>
      <c r="I55" s="17" t="str">
        <f>VLOOKUP(D55,Sheet1!E:K,6,FALSE)</f>
        <v>7033292805</v>
      </c>
      <c r="J55" s="33" t="s">
        <v>15</v>
      </c>
      <c r="K55" s="37" t="s">
        <v>3644</v>
      </c>
      <c r="L55" t="s">
        <v>3648</v>
      </c>
    </row>
    <row r="56" spans="1:12">
      <c r="A56" s="17">
        <v>55</v>
      </c>
      <c r="B56" s="17" t="s">
        <v>774</v>
      </c>
      <c r="C56" s="17">
        <v>2022837427</v>
      </c>
      <c r="D56" s="17">
        <v>2201010913</v>
      </c>
      <c r="E56" s="17" t="s">
        <v>1801</v>
      </c>
      <c r="F56" s="17" t="e">
        <f>VLOOKUP(C56,'Fast Track '!B:C,2,FALSE)</f>
        <v>#N/A</v>
      </c>
      <c r="G56" s="17" t="s">
        <v>3761</v>
      </c>
      <c r="H56" s="17" t="str">
        <f>VLOOKUP(C56,Sheet1!D:J,6,FALSE)</f>
        <v>2022837427.kanhaiyalal@pt.sharda.ac.in</v>
      </c>
      <c r="I56" s="17" t="str">
        <f>VLOOKUP(D56,Sheet1!E:K,6,FALSE)</f>
        <v>977 9813003131</v>
      </c>
      <c r="J56" s="33" t="s">
        <v>15</v>
      </c>
      <c r="K56" s="37" t="s">
        <v>3644</v>
      </c>
      <c r="L56" t="s">
        <v>3648</v>
      </c>
    </row>
    <row r="57" spans="1:12">
      <c r="A57" s="17">
        <v>56</v>
      </c>
      <c r="B57" s="17" t="s">
        <v>1008</v>
      </c>
      <c r="C57" s="17">
        <v>2023524672</v>
      </c>
      <c r="D57" s="17">
        <v>2301017018</v>
      </c>
      <c r="E57" s="17" t="s">
        <v>1801</v>
      </c>
      <c r="F57" s="17" t="e">
        <f>VLOOKUP(C57,'Fast Track '!B:C,2,FALSE)</f>
        <v>#N/A</v>
      </c>
      <c r="G57" s="17" t="s">
        <v>3762</v>
      </c>
      <c r="H57" s="17" t="str">
        <f>VLOOKUP(C57,Sheet1!D:J,6,FALSE)</f>
        <v>2023524672.sunil@pt.sharda.ac.in</v>
      </c>
      <c r="I57" s="17" t="str">
        <f>VLOOKUP(D57,Sheet1!E:K,6,FALSE)</f>
        <v>8368285187</v>
      </c>
      <c r="J57" s="33" t="s">
        <v>15</v>
      </c>
      <c r="K57" s="37" t="s">
        <v>3644</v>
      </c>
      <c r="L57" t="s">
        <v>3648</v>
      </c>
    </row>
    <row r="58" spans="1:12">
      <c r="A58" s="17">
        <v>57</v>
      </c>
      <c r="B58" s="19" t="s">
        <v>1815</v>
      </c>
      <c r="C58" s="20">
        <v>2021479763</v>
      </c>
      <c r="D58" s="20">
        <v>210101025</v>
      </c>
      <c r="E58" s="17" t="s">
        <v>1801</v>
      </c>
      <c r="F58" s="17" t="e">
        <f>VLOOKUP(C58,'Fast Track '!B:C,2,FALSE)</f>
        <v>#N/A</v>
      </c>
      <c r="G58" s="17" t="s">
        <v>3763</v>
      </c>
      <c r="H58" s="6" t="s">
        <v>1945</v>
      </c>
      <c r="I58" s="6">
        <v>9140907009</v>
      </c>
      <c r="J58" s="34" t="s">
        <v>15</v>
      </c>
      <c r="K58" s="37" t="s">
        <v>3644</v>
      </c>
      <c r="L58" t="s">
        <v>3648</v>
      </c>
    </row>
    <row r="59" spans="1:12">
      <c r="A59" s="17">
        <v>58</v>
      </c>
      <c r="B59" s="22" t="s">
        <v>1818</v>
      </c>
      <c r="C59" s="20">
        <v>2024389953</v>
      </c>
      <c r="D59" s="20"/>
      <c r="E59" s="17" t="s">
        <v>1801</v>
      </c>
      <c r="F59" s="17" t="e">
        <f>VLOOKUP(C59,'Fast Track '!B:C,2,FALSE)</f>
        <v>#N/A</v>
      </c>
      <c r="G59" s="17" t="s">
        <v>3764</v>
      </c>
      <c r="H59" s="6">
        <v>0</v>
      </c>
      <c r="I59" s="6">
        <v>9693101494</v>
      </c>
      <c r="J59" s="34" t="s">
        <v>15</v>
      </c>
      <c r="K59" s="37" t="s">
        <v>3644</v>
      </c>
      <c r="L59" t="s">
        <v>3648</v>
      </c>
    </row>
    <row r="60" spans="1:12">
      <c r="A60" s="17">
        <v>59</v>
      </c>
      <c r="B60" s="6" t="s">
        <v>1417</v>
      </c>
      <c r="C60" s="7">
        <v>2022006289</v>
      </c>
      <c r="D60" s="7">
        <v>2201010959</v>
      </c>
      <c r="E60" s="17" t="s">
        <v>1801</v>
      </c>
      <c r="F60" s="17" t="str">
        <f>VLOOKUP(C60,'Fast Track '!B:C,2,FALSE)</f>
        <v xml:space="preserve">Fasttrack </v>
      </c>
      <c r="G60" s="17" t="s">
        <v>3765</v>
      </c>
      <c r="H60" s="6" t="s">
        <v>3337</v>
      </c>
      <c r="I60" s="6" t="s">
        <v>3338</v>
      </c>
      <c r="J60" s="6" t="s">
        <v>1396</v>
      </c>
      <c r="K60" s="37" t="s">
        <v>3644</v>
      </c>
      <c r="L60" t="s">
        <v>3670</v>
      </c>
    </row>
    <row r="61" spans="1:12">
      <c r="A61" s="17">
        <v>60</v>
      </c>
      <c r="B61" s="6" t="s">
        <v>1437</v>
      </c>
      <c r="C61" s="7">
        <v>2022008160</v>
      </c>
      <c r="D61" s="7">
        <v>2201010970</v>
      </c>
      <c r="E61" s="17" t="s">
        <v>1801</v>
      </c>
      <c r="F61" s="17" t="e">
        <f>VLOOKUP(C61,'Fast Track '!B:C,2,FALSE)</f>
        <v>#N/A</v>
      </c>
      <c r="G61" s="17" t="s">
        <v>3766</v>
      </c>
      <c r="H61" s="6" t="s">
        <v>3339</v>
      </c>
      <c r="I61" s="6" t="s">
        <v>3340</v>
      </c>
      <c r="J61" s="6" t="s">
        <v>1396</v>
      </c>
      <c r="K61" s="37" t="s">
        <v>3644</v>
      </c>
      <c r="L61" t="s">
        <v>3670</v>
      </c>
    </row>
    <row r="62" spans="1:12">
      <c r="A62" s="17">
        <v>61</v>
      </c>
      <c r="B62" s="6" t="s">
        <v>1423</v>
      </c>
      <c r="C62" s="7">
        <v>2022006860</v>
      </c>
      <c r="D62" s="7">
        <v>2201010154</v>
      </c>
      <c r="E62" s="17" t="s">
        <v>1801</v>
      </c>
      <c r="F62" s="17" t="e">
        <f>VLOOKUP(C62,'Fast Track '!B:C,2,FALSE)</f>
        <v>#N/A</v>
      </c>
      <c r="G62" s="17" t="s">
        <v>3767</v>
      </c>
      <c r="H62" s="6" t="s">
        <v>3425</v>
      </c>
      <c r="I62" s="6" t="s">
        <v>3426</v>
      </c>
      <c r="J62" s="6" t="s">
        <v>1396</v>
      </c>
      <c r="K62" s="37" t="s">
        <v>3644</v>
      </c>
      <c r="L62" t="s">
        <v>3670</v>
      </c>
    </row>
    <row r="63" spans="1:12">
      <c r="A63" s="17">
        <v>62</v>
      </c>
      <c r="B63" s="6" t="s">
        <v>1140</v>
      </c>
      <c r="C63" s="7">
        <v>2022489738</v>
      </c>
      <c r="D63" s="7">
        <v>2201010276</v>
      </c>
      <c r="E63" s="17" t="s">
        <v>1801</v>
      </c>
      <c r="F63" s="17" t="e">
        <f>VLOOKUP(C63,'Fast Track '!B:C,2,FALSE)</f>
        <v>#N/A</v>
      </c>
      <c r="G63" s="17" t="s">
        <v>3768</v>
      </c>
      <c r="H63" s="6" t="s">
        <v>3427</v>
      </c>
      <c r="I63" s="6" t="s">
        <v>3428</v>
      </c>
      <c r="J63" s="6" t="s">
        <v>1396</v>
      </c>
      <c r="K63" s="37" t="s">
        <v>3644</v>
      </c>
      <c r="L63" t="s">
        <v>3670</v>
      </c>
    </row>
    <row r="64" spans="1:12">
      <c r="A64" s="17">
        <v>63</v>
      </c>
      <c r="B64" s="6" t="s">
        <v>1394</v>
      </c>
      <c r="C64" s="7">
        <v>2022002885</v>
      </c>
      <c r="D64" s="7">
        <v>2201010957</v>
      </c>
      <c r="E64" s="17" t="s">
        <v>1801</v>
      </c>
      <c r="F64" s="17" t="e">
        <f>VLOOKUP(C64,'Fast Track '!B:C,2,FALSE)</f>
        <v>#N/A</v>
      </c>
      <c r="G64" s="17" t="s">
        <v>3769</v>
      </c>
      <c r="H64" s="6" t="s">
        <v>3429</v>
      </c>
      <c r="I64" s="6" t="s">
        <v>3430</v>
      </c>
      <c r="J64" s="6" t="s">
        <v>1396</v>
      </c>
      <c r="K64" s="37" t="s">
        <v>3644</v>
      </c>
      <c r="L64" t="s">
        <v>3670</v>
      </c>
    </row>
    <row r="65" spans="1:12">
      <c r="A65" s="17">
        <v>64</v>
      </c>
      <c r="B65" s="6" t="s">
        <v>1404</v>
      </c>
      <c r="C65" s="7">
        <v>2022004595</v>
      </c>
      <c r="D65" s="7">
        <v>2201010958</v>
      </c>
      <c r="E65" s="17" t="s">
        <v>1801</v>
      </c>
      <c r="F65" s="17" t="e">
        <f>VLOOKUP(C65,'Fast Track '!B:C,2,FALSE)</f>
        <v>#N/A</v>
      </c>
      <c r="G65" s="17" t="s">
        <v>3770</v>
      </c>
      <c r="H65" s="6" t="s">
        <v>3431</v>
      </c>
      <c r="I65" s="6" t="s">
        <v>3432</v>
      </c>
      <c r="J65" s="6" t="s">
        <v>1396</v>
      </c>
      <c r="K65" s="37" t="s">
        <v>3644</v>
      </c>
      <c r="L65" t="s">
        <v>3670</v>
      </c>
    </row>
  </sheetData>
  <conditionalFormatting sqref="C58:C59">
    <cfRule type="duplicateValues" dxfId="169" priority="11"/>
  </conditionalFormatting>
  <conditionalFormatting sqref="C58:C59">
    <cfRule type="duplicateValues" dxfId="168" priority="8"/>
  </conditionalFormatting>
  <conditionalFormatting sqref="C58:D59">
    <cfRule type="duplicateValues" dxfId="167" priority="9"/>
    <cfRule type="duplicateValues" dxfId="166" priority="10"/>
  </conditionalFormatting>
  <conditionalFormatting sqref="C60:C65">
    <cfRule type="duplicateValues" dxfId="165" priority="4"/>
  </conditionalFormatting>
  <conditionalFormatting sqref="C60:C65">
    <cfRule type="duplicateValues" dxfId="164" priority="1"/>
  </conditionalFormatting>
  <conditionalFormatting sqref="C60:D65">
    <cfRule type="duplicateValues" dxfId="163" priority="2"/>
    <cfRule type="duplicateValues" dxfId="162" priority="3"/>
  </conditionalFormatting>
  <conditionalFormatting sqref="C1">
    <cfRule type="duplicateValues" dxfId="161" priority="799"/>
  </conditionalFormatting>
  <conditionalFormatting sqref="C1:D1">
    <cfRule type="duplicateValues" dxfId="160" priority="801"/>
    <cfRule type="duplicateValues" dxfId="159" priority="802"/>
  </conditionalFormatting>
  <dataValidations count="1">
    <dataValidation type="list" allowBlank="1" showErrorMessage="1" sqref="K2:K65">
      <formula1>"G1,G2"</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66"/>
  <sheetViews>
    <sheetView topLeftCell="E1" workbookViewId="0">
      <selection activeCell="G2" sqref="A1:M66"/>
    </sheetView>
  </sheetViews>
  <sheetFormatPr defaultRowHeight="14.5"/>
  <cols>
    <col min="1" max="1" width="5.90625" style="27" bestFit="1" customWidth="1"/>
    <col min="2" max="2" width="26.36328125" bestFit="1" customWidth="1"/>
    <col min="3" max="4" width="11" bestFit="1" customWidth="1"/>
    <col min="5" max="5" width="14.08984375" bestFit="1" customWidth="1"/>
    <col min="6" max="7" width="14.08984375" customWidth="1"/>
    <col min="8" max="8" width="36.08984375" bestFit="1" customWidth="1"/>
    <col min="9" max="9" width="41.36328125" bestFit="1" customWidth="1"/>
    <col min="10" max="10" width="15.54296875" bestFit="1" customWidth="1"/>
    <col min="11" max="11" width="15.6328125" bestFit="1" customWidth="1"/>
    <col min="12" max="12" width="11.54296875" style="38" customWidth="1"/>
  </cols>
  <sheetData>
    <row r="1" spans="1:13" ht="25">
      <c r="A1" s="1" t="s">
        <v>1</v>
      </c>
      <c r="B1" s="1" t="s">
        <v>2</v>
      </c>
      <c r="C1" s="1" t="s">
        <v>3</v>
      </c>
      <c r="D1" s="1" t="s">
        <v>4</v>
      </c>
      <c r="E1" s="1" t="s">
        <v>1817</v>
      </c>
      <c r="F1" s="1"/>
      <c r="G1" s="1"/>
      <c r="H1" s="1" t="s">
        <v>6</v>
      </c>
      <c r="I1" s="1" t="s">
        <v>1819</v>
      </c>
      <c r="J1" s="1" t="s">
        <v>1820</v>
      </c>
      <c r="K1" s="1" t="s">
        <v>7</v>
      </c>
      <c r="L1" s="36" t="s">
        <v>3676</v>
      </c>
      <c r="M1" s="41" t="s">
        <v>3677</v>
      </c>
    </row>
    <row r="2" spans="1:13">
      <c r="A2" s="26">
        <v>1</v>
      </c>
      <c r="B2" s="17" t="s">
        <v>1798</v>
      </c>
      <c r="C2" s="17">
        <v>2020516582</v>
      </c>
      <c r="D2" s="17">
        <v>200101181</v>
      </c>
      <c r="E2" s="17" t="s">
        <v>1803</v>
      </c>
      <c r="F2" s="17" t="e">
        <f>VLOOKUP(C2,'Fast Track '!B:C,2,FALSE)</f>
        <v>#N/A</v>
      </c>
      <c r="G2" s="17" t="s">
        <v>3707</v>
      </c>
      <c r="H2" s="17"/>
      <c r="I2" s="17">
        <f>VLOOKUP(C2,Sheet1!D:J,6,FALSE)</f>
        <v>0</v>
      </c>
      <c r="J2" s="17">
        <f>VLOOKUP(D2,Sheet1!E:K,6,FALSE)</f>
        <v>9319072044</v>
      </c>
      <c r="K2" s="17" t="s">
        <v>15</v>
      </c>
      <c r="L2" s="37" t="s">
        <v>3645</v>
      </c>
      <c r="M2" t="s">
        <v>3649</v>
      </c>
    </row>
    <row r="3" spans="1:13">
      <c r="A3" s="26">
        <v>2</v>
      </c>
      <c r="B3" s="17" t="s">
        <v>1799</v>
      </c>
      <c r="C3" s="17">
        <v>2021378869</v>
      </c>
      <c r="D3" s="17">
        <v>210101036</v>
      </c>
      <c r="E3" s="17" t="s">
        <v>1803</v>
      </c>
      <c r="F3" s="17" t="e">
        <f>VLOOKUP(C3,'Fast Track '!B:C,2,FALSE)</f>
        <v>#N/A</v>
      </c>
      <c r="G3" s="17" t="s">
        <v>3708</v>
      </c>
      <c r="H3" s="17"/>
      <c r="I3" s="17" t="str">
        <f>VLOOKUP(C3,Sheet1!D:J,6,FALSE)</f>
        <v>2021378869.lakshmipati@pt.sharda.ac.in</v>
      </c>
      <c r="J3" s="17" t="str">
        <f>VLOOKUP(D3,Sheet1!E:K,6,FALSE)</f>
        <v>7718237260</v>
      </c>
      <c r="K3" s="17" t="s">
        <v>15</v>
      </c>
      <c r="L3" s="37" t="s">
        <v>3645</v>
      </c>
      <c r="M3" t="s">
        <v>3649</v>
      </c>
    </row>
    <row r="4" spans="1:13">
      <c r="A4" s="26">
        <v>3</v>
      </c>
      <c r="B4" s="17" t="s">
        <v>1022</v>
      </c>
      <c r="C4" s="17">
        <v>2021003785</v>
      </c>
      <c r="D4" s="17">
        <v>210101586</v>
      </c>
      <c r="E4" s="17" t="s">
        <v>1803</v>
      </c>
      <c r="F4" s="17" t="e">
        <f>VLOOKUP(C4,'Fast Track '!B:C,2,FALSE)</f>
        <v>#N/A</v>
      </c>
      <c r="G4" s="17" t="s">
        <v>3709</v>
      </c>
      <c r="H4" s="17" t="s">
        <v>1023</v>
      </c>
      <c r="I4" s="17" t="str">
        <f>VLOOKUP(C4,Sheet1!D:J,6,FALSE)</f>
        <v>2021003785.lalitkumar@pt.sharda.ac.in</v>
      </c>
      <c r="J4" s="17" t="str">
        <f>VLOOKUP(D4,Sheet1!E:K,6,FALSE)</f>
        <v>9871907908</v>
      </c>
      <c r="K4" s="17" t="s">
        <v>15</v>
      </c>
      <c r="L4" s="37" t="s">
        <v>3645</v>
      </c>
      <c r="M4" t="s">
        <v>3649</v>
      </c>
    </row>
    <row r="5" spans="1:13">
      <c r="A5" s="26">
        <v>4</v>
      </c>
      <c r="B5" s="17" t="s">
        <v>1042</v>
      </c>
      <c r="C5" s="17">
        <v>2022003574</v>
      </c>
      <c r="D5" s="17">
        <v>2201010001</v>
      </c>
      <c r="E5" s="17" t="s">
        <v>1803</v>
      </c>
      <c r="F5" s="17" t="e">
        <f>VLOOKUP(C5,'Fast Track '!B:C,2,FALSE)</f>
        <v>#N/A</v>
      </c>
      <c r="G5" s="17" t="s">
        <v>3710</v>
      </c>
      <c r="H5" s="17" t="s">
        <v>1043</v>
      </c>
      <c r="I5" s="17" t="str">
        <f>VLOOKUP(C5,Sheet1!D:J,6,FALSE)</f>
        <v>2022003574.rupesh@pt.sharda.ac.in</v>
      </c>
      <c r="J5" s="17" t="str">
        <f>VLOOKUP(D5,Sheet1!E:K,6,FALSE)</f>
        <v>9971308744</v>
      </c>
      <c r="K5" s="17" t="s">
        <v>15</v>
      </c>
      <c r="L5" s="37" t="s">
        <v>3645</v>
      </c>
      <c r="M5" t="s">
        <v>3649</v>
      </c>
    </row>
    <row r="6" spans="1:13">
      <c r="A6" s="26">
        <v>5</v>
      </c>
      <c r="B6" s="17" t="s">
        <v>1070</v>
      </c>
      <c r="C6" s="17">
        <v>2022360529</v>
      </c>
      <c r="D6" s="17">
        <v>2201010022</v>
      </c>
      <c r="E6" s="17" t="s">
        <v>1803</v>
      </c>
      <c r="F6" s="17" t="e">
        <f>VLOOKUP(C6,'Fast Track '!B:C,2,FALSE)</f>
        <v>#N/A</v>
      </c>
      <c r="G6" s="17" t="s">
        <v>3711</v>
      </c>
      <c r="H6" s="17" t="s">
        <v>1071</v>
      </c>
      <c r="I6" s="17" t="str">
        <f>VLOOKUP(C6,Sheet1!D:J,6,FALSE)</f>
        <v>2022360529.harishchandra@pt.sharda.ac.in</v>
      </c>
      <c r="J6" s="17" t="str">
        <f>VLOOKUP(D6,Sheet1!E:K,6,FALSE)</f>
        <v>7300965989</v>
      </c>
      <c r="K6" s="17" t="s">
        <v>15</v>
      </c>
      <c r="L6" s="37" t="s">
        <v>3645</v>
      </c>
      <c r="M6" t="s">
        <v>3649</v>
      </c>
    </row>
    <row r="7" spans="1:13">
      <c r="A7" s="26">
        <v>6</v>
      </c>
      <c r="B7" s="17" t="s">
        <v>1112</v>
      </c>
      <c r="C7" s="17">
        <v>2022538932</v>
      </c>
      <c r="D7" s="17">
        <v>2201010096</v>
      </c>
      <c r="E7" s="17" t="s">
        <v>1803</v>
      </c>
      <c r="F7" s="17" t="e">
        <f>VLOOKUP(C7,'Fast Track '!B:C,2,FALSE)</f>
        <v>#N/A</v>
      </c>
      <c r="G7" s="17" t="s">
        <v>3712</v>
      </c>
      <c r="H7" s="17" t="s">
        <v>1113</v>
      </c>
      <c r="I7" s="17" t="str">
        <f>VLOOKUP(C7,Sheet1!D:J,6,FALSE)</f>
        <v>2022538932.chandrej@pt.sharda.ac.in</v>
      </c>
      <c r="J7" s="17" t="str">
        <f>VLOOKUP(D7,Sheet1!E:K,6,FALSE)</f>
        <v>9625789885</v>
      </c>
      <c r="K7" s="17" t="s">
        <v>15</v>
      </c>
      <c r="L7" s="37" t="s">
        <v>3645</v>
      </c>
      <c r="M7" t="s">
        <v>3649</v>
      </c>
    </row>
    <row r="8" spans="1:13">
      <c r="A8" s="26">
        <v>7</v>
      </c>
      <c r="B8" s="17" t="s">
        <v>1038</v>
      </c>
      <c r="C8" s="17">
        <v>2022002787</v>
      </c>
      <c r="D8" s="17">
        <v>2201010105</v>
      </c>
      <c r="E8" s="17" t="s">
        <v>1803</v>
      </c>
      <c r="F8" s="17" t="e">
        <f>VLOOKUP(C8,'Fast Track '!B:C,2,FALSE)</f>
        <v>#N/A</v>
      </c>
      <c r="G8" s="17" t="s">
        <v>3713</v>
      </c>
      <c r="H8" s="17" t="s">
        <v>1039</v>
      </c>
      <c r="I8" s="17" t="str">
        <f>VLOOKUP(C8,Sheet1!D:J,6,FALSE)</f>
        <v>2022002787.ramprakash@pt.sharda.ac.in</v>
      </c>
      <c r="J8" s="17" t="str">
        <f>VLOOKUP(D8,Sheet1!E:K,6,FALSE)</f>
        <v>8707433483</v>
      </c>
      <c r="K8" s="17" t="s">
        <v>15</v>
      </c>
      <c r="L8" s="37" t="s">
        <v>3645</v>
      </c>
      <c r="M8" t="s">
        <v>3649</v>
      </c>
    </row>
    <row r="9" spans="1:13">
      <c r="A9" s="26">
        <v>8</v>
      </c>
      <c r="B9" s="17" t="s">
        <v>1052</v>
      </c>
      <c r="C9" s="17">
        <v>2022005229</v>
      </c>
      <c r="D9" s="17">
        <v>2201010115</v>
      </c>
      <c r="E9" s="17" t="s">
        <v>1803</v>
      </c>
      <c r="F9" s="17" t="e">
        <f>VLOOKUP(C9,'Fast Track '!B:C,2,FALSE)</f>
        <v>#N/A</v>
      </c>
      <c r="G9" s="17" t="s">
        <v>3714</v>
      </c>
      <c r="H9" s="17" t="s">
        <v>1053</v>
      </c>
      <c r="I9" s="17" t="str">
        <f>VLOOKUP(C9,Sheet1!D:J,6,FALSE)</f>
        <v>2022005229.sohanlal@pt.sharda.ac.in</v>
      </c>
      <c r="J9" s="17" t="str">
        <f>VLOOKUP(D9,Sheet1!E:K,6,FALSE)</f>
        <v>7827845687</v>
      </c>
      <c r="K9" s="17" t="s">
        <v>15</v>
      </c>
      <c r="L9" s="37" t="s">
        <v>3645</v>
      </c>
      <c r="M9" t="s">
        <v>3649</v>
      </c>
    </row>
    <row r="10" spans="1:13">
      <c r="A10" s="26">
        <v>9</v>
      </c>
      <c r="B10" s="17" t="s">
        <v>1014</v>
      </c>
      <c r="C10" s="17">
        <v>2022419571</v>
      </c>
      <c r="D10" s="17">
        <v>2201010146</v>
      </c>
      <c r="E10" s="17" t="s">
        <v>1803</v>
      </c>
      <c r="F10" s="17" t="e">
        <f>VLOOKUP(C10,'Fast Track '!B:C,2,FALSE)</f>
        <v>#N/A</v>
      </c>
      <c r="G10" s="17" t="s">
        <v>3715</v>
      </c>
      <c r="H10" s="17" t="s">
        <v>1015</v>
      </c>
      <c r="I10" s="17" t="str">
        <f>VLOOKUP(C10,Sheet1!D:J,6,FALSE)</f>
        <v>2022419571.sanjaybharat@pt.sharda.ac.in</v>
      </c>
      <c r="J10" s="17" t="str">
        <f>VLOOKUP(D10,Sheet1!E:K,6,FALSE)</f>
        <v>9779994998</v>
      </c>
      <c r="K10" s="17" t="s">
        <v>15</v>
      </c>
      <c r="L10" s="37" t="s">
        <v>3644</v>
      </c>
      <c r="M10" t="s">
        <v>3650</v>
      </c>
    </row>
    <row r="11" spans="1:13">
      <c r="A11" s="26">
        <v>10</v>
      </c>
      <c r="B11" s="17" t="s">
        <v>1084</v>
      </c>
      <c r="C11" s="17">
        <v>2022433389</v>
      </c>
      <c r="D11" s="17">
        <v>2201010183</v>
      </c>
      <c r="E11" s="17" t="s">
        <v>1803</v>
      </c>
      <c r="F11" s="17" t="e">
        <f>VLOOKUP(C11,'Fast Track '!B:C,2,FALSE)</f>
        <v>#N/A</v>
      </c>
      <c r="G11" s="17" t="s">
        <v>3716</v>
      </c>
      <c r="H11" s="17" t="s">
        <v>1085</v>
      </c>
      <c r="I11" s="17" t="str">
        <f>VLOOKUP(C11,Sheet1!D:J,6,FALSE)</f>
        <v>2022433389.bollanvssambasiva@pt.sharda.ac.in</v>
      </c>
      <c r="J11" s="17" t="str">
        <f>VLOOKUP(D11,Sheet1!E:K,6,FALSE)</f>
        <v>9492465566</v>
      </c>
      <c r="K11" s="17" t="s">
        <v>15</v>
      </c>
      <c r="L11" s="37" t="s">
        <v>3645</v>
      </c>
      <c r="M11" t="s">
        <v>3649</v>
      </c>
    </row>
    <row r="12" spans="1:13">
      <c r="A12" s="26">
        <v>11</v>
      </c>
      <c r="B12" s="17" t="s">
        <v>1032</v>
      </c>
      <c r="C12" s="17">
        <v>2022002578</v>
      </c>
      <c r="D12" s="17">
        <v>2201010184</v>
      </c>
      <c r="E12" s="17" t="s">
        <v>1803</v>
      </c>
      <c r="F12" s="17" t="e">
        <f>VLOOKUP(C12,'Fast Track '!B:C,2,FALSE)</f>
        <v>#N/A</v>
      </c>
      <c r="G12" s="17" t="s">
        <v>3717</v>
      </c>
      <c r="H12" s="17" t="s">
        <v>1033</v>
      </c>
      <c r="I12" s="17" t="str">
        <f>VLOOKUP(C12,Sheet1!D:J,6,FALSE)</f>
        <v>2022002578.bibhutibhushan@pt.sharda.ac.in</v>
      </c>
      <c r="J12" s="17" t="str">
        <f>VLOOKUP(D12,Sheet1!E:K,6,FALSE)</f>
        <v>7735324362</v>
      </c>
      <c r="K12" s="17" t="s">
        <v>15</v>
      </c>
      <c r="L12" s="37" t="s">
        <v>3645</v>
      </c>
      <c r="M12" t="s">
        <v>3649</v>
      </c>
    </row>
    <row r="13" spans="1:13">
      <c r="A13" s="26">
        <v>12</v>
      </c>
      <c r="B13" s="17" t="s">
        <v>1050</v>
      </c>
      <c r="C13" s="17">
        <v>2022005228</v>
      </c>
      <c r="D13" s="17">
        <v>2201010194</v>
      </c>
      <c r="E13" s="17" t="s">
        <v>1803</v>
      </c>
      <c r="F13" s="17" t="e">
        <f>VLOOKUP(C13,'Fast Track '!B:C,2,FALSE)</f>
        <v>#N/A</v>
      </c>
      <c r="G13" s="17" t="s">
        <v>3718</v>
      </c>
      <c r="H13" s="17" t="s">
        <v>1051</v>
      </c>
      <c r="I13" s="17" t="str">
        <f>VLOOKUP(C13,Sheet1!D:J,6,FALSE)</f>
        <v>2022005228.sampurnanand@pt.sharda.ac.in</v>
      </c>
      <c r="J13" s="17" t="str">
        <f>VLOOKUP(D13,Sheet1!E:K,6,FALSE)</f>
        <v>9267929004</v>
      </c>
      <c r="K13" s="17" t="s">
        <v>15</v>
      </c>
      <c r="L13" s="37" t="s">
        <v>3645</v>
      </c>
      <c r="M13" t="s">
        <v>3649</v>
      </c>
    </row>
    <row r="14" spans="1:13">
      <c r="A14" s="26">
        <v>13</v>
      </c>
      <c r="B14" s="17" t="s">
        <v>1066</v>
      </c>
      <c r="C14" s="17">
        <v>2022349970</v>
      </c>
      <c r="D14" s="17">
        <v>2201010201</v>
      </c>
      <c r="E14" s="17" t="s">
        <v>1803</v>
      </c>
      <c r="F14" s="17" t="e">
        <f>VLOOKUP(C14,'Fast Track '!B:C,2,FALSE)</f>
        <v>#N/A</v>
      </c>
      <c r="G14" s="17" t="s">
        <v>3719</v>
      </c>
      <c r="H14" s="17" t="s">
        <v>1067</v>
      </c>
      <c r="I14" s="17" t="str">
        <f>VLOOKUP(C14,Sheet1!D:J,6,FALSE)</f>
        <v>2022349970.manzoor@pt.sharda.ac.in</v>
      </c>
      <c r="J14" s="17" t="str">
        <f>VLOOKUP(D14,Sheet1!E:K,6,FALSE)</f>
        <v>9873222919</v>
      </c>
      <c r="K14" s="17" t="s">
        <v>15</v>
      </c>
      <c r="L14" s="37" t="s">
        <v>3645</v>
      </c>
      <c r="M14" t="s">
        <v>3649</v>
      </c>
    </row>
    <row r="15" spans="1:13">
      <c r="A15" s="26">
        <v>14</v>
      </c>
      <c r="B15" s="17" t="s">
        <v>1124</v>
      </c>
      <c r="C15" s="17">
        <v>2022804425</v>
      </c>
      <c r="D15" s="17">
        <v>2201010297</v>
      </c>
      <c r="E15" s="17" t="s">
        <v>1803</v>
      </c>
      <c r="F15" s="17" t="e">
        <f>VLOOKUP(C15,'Fast Track '!B:C,2,FALSE)</f>
        <v>#N/A</v>
      </c>
      <c r="G15" s="17" t="s">
        <v>3720</v>
      </c>
      <c r="H15" s="17" t="s">
        <v>1125</v>
      </c>
      <c r="I15" s="17" t="str">
        <f>VLOOKUP(C15,Sheet1!D:J,6,FALSE)</f>
        <v>2022804425.ismail@pt.sharda.ac.in</v>
      </c>
      <c r="J15" s="17" t="str">
        <f>VLOOKUP(D15,Sheet1!E:K,6,FALSE)</f>
        <v>91 9711260822</v>
      </c>
      <c r="K15" s="17" t="s">
        <v>15</v>
      </c>
      <c r="L15" s="37" t="s">
        <v>3645</v>
      </c>
      <c r="M15" t="s">
        <v>3649</v>
      </c>
    </row>
    <row r="16" spans="1:13">
      <c r="A16" s="26">
        <v>15</v>
      </c>
      <c r="B16" s="17" t="s">
        <v>1040</v>
      </c>
      <c r="C16" s="17">
        <v>2022003231</v>
      </c>
      <c r="D16" s="17">
        <v>2201010312</v>
      </c>
      <c r="E16" s="17" t="s">
        <v>1803</v>
      </c>
      <c r="F16" s="17" t="e">
        <f>VLOOKUP(C16,'Fast Track '!B:C,2,FALSE)</f>
        <v>#N/A</v>
      </c>
      <c r="G16" s="17" t="s">
        <v>3721</v>
      </c>
      <c r="H16" s="17" t="s">
        <v>1041</v>
      </c>
      <c r="I16" s="17" t="str">
        <f>VLOOKUP(C16,Sheet1!D:J,6,FALSE)</f>
        <v>2022003231.ashok@pt.sharda.ac.in</v>
      </c>
      <c r="J16" s="17" t="str">
        <f>VLOOKUP(D16,Sheet1!E:K,6,FALSE)</f>
        <v>9670105704</v>
      </c>
      <c r="K16" s="17" t="s">
        <v>15</v>
      </c>
      <c r="L16" s="37" t="s">
        <v>3645</v>
      </c>
      <c r="M16" t="s">
        <v>3649</v>
      </c>
    </row>
    <row r="17" spans="1:13">
      <c r="A17" s="26">
        <v>16</v>
      </c>
      <c r="B17" s="17" t="s">
        <v>1046</v>
      </c>
      <c r="C17" s="17">
        <v>2022004681</v>
      </c>
      <c r="D17" s="17">
        <v>2201010339</v>
      </c>
      <c r="E17" s="17" t="s">
        <v>1803</v>
      </c>
      <c r="F17" s="17" t="e">
        <f>VLOOKUP(C17,'Fast Track '!B:C,2,FALSE)</f>
        <v>#N/A</v>
      </c>
      <c r="G17" s="17" t="s">
        <v>3722</v>
      </c>
      <c r="H17" s="17" t="s">
        <v>1047</v>
      </c>
      <c r="I17" s="17" t="str">
        <f>VLOOKUP(C17,Sheet1!D:J,6,FALSE)</f>
        <v>2022004681.ganeshsingh@pt.sharda.ac.in</v>
      </c>
      <c r="J17" s="17" t="str">
        <f>VLOOKUP(D17,Sheet1!E:K,6,FALSE)</f>
        <v>9311608930</v>
      </c>
      <c r="K17" s="17" t="s">
        <v>15</v>
      </c>
      <c r="L17" s="37" t="s">
        <v>3645</v>
      </c>
      <c r="M17" t="s">
        <v>3649</v>
      </c>
    </row>
    <row r="18" spans="1:13">
      <c r="A18" s="26">
        <v>17</v>
      </c>
      <c r="B18" s="17" t="s">
        <v>1090</v>
      </c>
      <c r="C18" s="17">
        <v>2022455169</v>
      </c>
      <c r="D18" s="17">
        <v>2201010348</v>
      </c>
      <c r="E18" s="17" t="s">
        <v>1803</v>
      </c>
      <c r="F18" s="17" t="e">
        <f>VLOOKUP(C18,'Fast Track '!B:C,2,FALSE)</f>
        <v>#N/A</v>
      </c>
      <c r="G18" s="17" t="s">
        <v>3723</v>
      </c>
      <c r="H18" s="17" t="s">
        <v>1091</v>
      </c>
      <c r="I18" s="17" t="str">
        <f>VLOOKUP(C18,Sheet1!D:J,6,FALSE)</f>
        <v>2022455169.vishal@pt.sharda.ac.in</v>
      </c>
      <c r="J18" s="17" t="str">
        <f>VLOOKUP(D18,Sheet1!E:K,6,FALSE)</f>
        <v>8429045577</v>
      </c>
      <c r="K18" s="17" t="s">
        <v>15</v>
      </c>
      <c r="L18" s="37" t="s">
        <v>3645</v>
      </c>
      <c r="M18" t="s">
        <v>3649</v>
      </c>
    </row>
    <row r="19" spans="1:13">
      <c r="A19" s="26">
        <v>18</v>
      </c>
      <c r="B19" s="17" t="s">
        <v>274</v>
      </c>
      <c r="C19" s="17">
        <v>2022004703</v>
      </c>
      <c r="D19" s="17">
        <v>2201010314</v>
      </c>
      <c r="E19" s="17" t="s">
        <v>1803</v>
      </c>
      <c r="F19" s="17" t="e">
        <f>VLOOKUP(C19,'Fast Track '!B:C,2,FALSE)</f>
        <v>#N/A</v>
      </c>
      <c r="G19" s="17" t="s">
        <v>3724</v>
      </c>
      <c r="H19" s="17" t="s">
        <v>275</v>
      </c>
      <c r="I19" s="17" t="str">
        <f>VLOOKUP(C19,Sheet1!D:J,6,FALSE)</f>
        <v>2022004703.mangala@pt.sharda.ac.in</v>
      </c>
      <c r="J19" s="17" t="str">
        <f>VLOOKUP(D19,Sheet1!E:K,6,FALSE)</f>
        <v>7428770861</v>
      </c>
      <c r="K19" s="17" t="s">
        <v>15</v>
      </c>
      <c r="L19" s="37" t="s">
        <v>3644</v>
      </c>
      <c r="M19" t="s">
        <v>3650</v>
      </c>
    </row>
    <row r="20" spans="1:13">
      <c r="A20" s="26">
        <v>19</v>
      </c>
      <c r="B20" s="17" t="s">
        <v>1074</v>
      </c>
      <c r="C20" s="17">
        <v>2022384000</v>
      </c>
      <c r="D20" s="17">
        <v>2201010357</v>
      </c>
      <c r="E20" s="17" t="s">
        <v>1803</v>
      </c>
      <c r="F20" s="17" t="e">
        <f>VLOOKUP(C20,'Fast Track '!B:C,2,FALSE)</f>
        <v>#N/A</v>
      </c>
      <c r="G20" s="17" t="s">
        <v>3725</v>
      </c>
      <c r="H20" s="17" t="s">
        <v>1075</v>
      </c>
      <c r="I20" s="17" t="str">
        <f>VLOOKUP(C20,Sheet1!D:J,6,FALSE)</f>
        <v>2022384000.pramodkumar@pt.sharda.ac.in</v>
      </c>
      <c r="J20" s="17" t="str">
        <f>VLOOKUP(D20,Sheet1!E:K,6,FALSE)</f>
        <v>7011772322</v>
      </c>
      <c r="K20" s="17" t="s">
        <v>15</v>
      </c>
      <c r="L20" s="37" t="s">
        <v>3645</v>
      </c>
      <c r="M20" t="s">
        <v>3649</v>
      </c>
    </row>
    <row r="21" spans="1:13">
      <c r="A21" s="26">
        <v>20</v>
      </c>
      <c r="B21" s="17" t="s">
        <v>1062</v>
      </c>
      <c r="C21" s="17">
        <v>2022308623</v>
      </c>
      <c r="D21" s="17">
        <v>2201010372</v>
      </c>
      <c r="E21" s="17" t="s">
        <v>1803</v>
      </c>
      <c r="F21" s="17" t="e">
        <f>VLOOKUP(C21,'Fast Track '!B:C,2,FALSE)</f>
        <v>#N/A</v>
      </c>
      <c r="G21" s="17" t="s">
        <v>3726</v>
      </c>
      <c r="H21" s="17" t="s">
        <v>1063</v>
      </c>
      <c r="I21" s="17" t="str">
        <f>VLOOKUP(C21,Sheet1!D:J,6,FALSE)</f>
        <v>2022308623.muneshwar@pt.sharda.ac.in</v>
      </c>
      <c r="J21" s="17" t="str">
        <f>VLOOKUP(D21,Sheet1!E:K,6,FALSE)</f>
        <v>9113385495</v>
      </c>
      <c r="K21" s="17" t="s">
        <v>15</v>
      </c>
      <c r="L21" s="37" t="s">
        <v>3645</v>
      </c>
      <c r="M21" t="s">
        <v>3649</v>
      </c>
    </row>
    <row r="22" spans="1:13">
      <c r="A22" s="26">
        <v>21</v>
      </c>
      <c r="B22" s="17" t="s">
        <v>1064</v>
      </c>
      <c r="C22" s="17">
        <v>2022310930</v>
      </c>
      <c r="D22" s="17">
        <v>2201010376</v>
      </c>
      <c r="E22" s="17" t="s">
        <v>1803</v>
      </c>
      <c r="F22" s="17" t="e">
        <f>VLOOKUP(C22,'Fast Track '!B:C,2,FALSE)</f>
        <v>#N/A</v>
      </c>
      <c r="G22" s="17" t="s">
        <v>3727</v>
      </c>
      <c r="H22" s="17" t="s">
        <v>1065</v>
      </c>
      <c r="I22" s="17" t="str">
        <f>VLOOKUP(C22,Sheet1!D:J,6,FALSE)</f>
        <v>2022310930.charan@pt.sharda.ac.in</v>
      </c>
      <c r="J22" s="17" t="str">
        <f>VLOOKUP(D22,Sheet1!E:K,6,FALSE)</f>
        <v>9639101430</v>
      </c>
      <c r="K22" s="17" t="s">
        <v>15</v>
      </c>
      <c r="L22" s="37" t="s">
        <v>3645</v>
      </c>
      <c r="M22" t="s">
        <v>3649</v>
      </c>
    </row>
    <row r="23" spans="1:13">
      <c r="A23" s="26">
        <v>22</v>
      </c>
      <c r="B23" s="17" t="s">
        <v>1068</v>
      </c>
      <c r="C23" s="17">
        <v>2022355780</v>
      </c>
      <c r="D23" s="17">
        <v>2201010419</v>
      </c>
      <c r="E23" s="17" t="s">
        <v>1803</v>
      </c>
      <c r="F23" s="17" t="e">
        <f>VLOOKUP(C23,'Fast Track '!B:C,2,FALSE)</f>
        <v>#N/A</v>
      </c>
      <c r="G23" s="17" t="s">
        <v>3728</v>
      </c>
      <c r="H23" s="17" t="s">
        <v>1069</v>
      </c>
      <c r="I23" s="17" t="str">
        <f>VLOOKUP(C23,Sheet1!D:J,6,FALSE)</f>
        <v>2022355780.musharrf@pt.sharda.ac.in</v>
      </c>
      <c r="J23" s="17" t="str">
        <f>VLOOKUP(D23,Sheet1!E:K,6,FALSE)</f>
        <v>9582959385</v>
      </c>
      <c r="K23" s="17" t="s">
        <v>15</v>
      </c>
      <c r="L23" s="37" t="s">
        <v>3645</v>
      </c>
      <c r="M23" t="s">
        <v>3649</v>
      </c>
    </row>
    <row r="24" spans="1:13">
      <c r="A24" s="26">
        <v>23</v>
      </c>
      <c r="B24" s="17" t="s">
        <v>1078</v>
      </c>
      <c r="C24" s="17">
        <v>2022408542</v>
      </c>
      <c r="D24" s="17">
        <v>2201010422</v>
      </c>
      <c r="E24" s="17" t="s">
        <v>1803</v>
      </c>
      <c r="F24" s="17" t="e">
        <f>VLOOKUP(C24,'Fast Track '!B:C,2,FALSE)</f>
        <v>#N/A</v>
      </c>
      <c r="G24" s="17" t="s">
        <v>3729</v>
      </c>
      <c r="H24" s="17" t="s">
        <v>1079</v>
      </c>
      <c r="I24" s="17" t="str">
        <f>VLOOKUP(C24,Sheet1!D:J,6,FALSE)</f>
        <v>2022408542.ashiq@pt.sharda.ac.in</v>
      </c>
      <c r="J24" s="17" t="str">
        <f>VLOOKUP(D24,Sheet1!E:K,6,FALSE)</f>
        <v>8795503584</v>
      </c>
      <c r="K24" s="17" t="s">
        <v>15</v>
      </c>
      <c r="L24" s="37" t="s">
        <v>3645</v>
      </c>
      <c r="M24" t="s">
        <v>3649</v>
      </c>
    </row>
    <row r="25" spans="1:13">
      <c r="A25" s="26">
        <v>24</v>
      </c>
      <c r="B25" s="17" t="s">
        <v>1100</v>
      </c>
      <c r="C25" s="17">
        <v>2022486143</v>
      </c>
      <c r="D25" s="17">
        <v>2201010427</v>
      </c>
      <c r="E25" s="17" t="s">
        <v>1803</v>
      </c>
      <c r="F25" s="17" t="e">
        <f>VLOOKUP(C25,'Fast Track '!B:C,2,FALSE)</f>
        <v>#N/A</v>
      </c>
      <c r="G25" s="17" t="s">
        <v>3730</v>
      </c>
      <c r="H25" s="17" t="s">
        <v>1101</v>
      </c>
      <c r="I25" s="17" t="str">
        <f>VLOOKUP(C25,Sheet1!D:J,6,FALSE)</f>
        <v>2022486143.mohdmahmood@pt.sharda.ac.in</v>
      </c>
      <c r="J25" s="17" t="str">
        <f>VLOOKUP(D25,Sheet1!E:K,6,FALSE)</f>
        <v>9997228919</v>
      </c>
      <c r="K25" s="17" t="s">
        <v>15</v>
      </c>
      <c r="L25" s="37" t="s">
        <v>3645</v>
      </c>
      <c r="M25" t="s">
        <v>3649</v>
      </c>
    </row>
    <row r="26" spans="1:13">
      <c r="A26" s="26">
        <v>25</v>
      </c>
      <c r="B26" s="17" t="s">
        <v>1026</v>
      </c>
      <c r="C26" s="17">
        <v>2022001475</v>
      </c>
      <c r="D26" s="17">
        <v>2201010429</v>
      </c>
      <c r="E26" s="17" t="s">
        <v>1803</v>
      </c>
      <c r="F26" s="17" t="e">
        <f>VLOOKUP(C26,'Fast Track '!B:C,2,FALSE)</f>
        <v>#N/A</v>
      </c>
      <c r="G26" s="17" t="s">
        <v>3731</v>
      </c>
      <c r="H26" s="17" t="s">
        <v>1027</v>
      </c>
      <c r="I26" s="17" t="str">
        <f>VLOOKUP(C26,Sheet1!D:J,6,FALSE)</f>
        <v>2022001475.mohd@pt.sharda.ac.in</v>
      </c>
      <c r="J26" s="17" t="str">
        <f>VLOOKUP(D26,Sheet1!E:K,6,FALSE)</f>
        <v>7291885856</v>
      </c>
      <c r="K26" s="17" t="s">
        <v>15</v>
      </c>
      <c r="L26" s="37" t="s">
        <v>3645</v>
      </c>
      <c r="M26" t="s">
        <v>3649</v>
      </c>
    </row>
    <row r="27" spans="1:13">
      <c r="A27" s="26">
        <v>26</v>
      </c>
      <c r="B27" s="17" t="s">
        <v>1072</v>
      </c>
      <c r="C27" s="17">
        <v>2022368285</v>
      </c>
      <c r="D27" s="17">
        <v>2201010454</v>
      </c>
      <c r="E27" s="17" t="s">
        <v>1803</v>
      </c>
      <c r="F27" s="17" t="e">
        <f>VLOOKUP(C27,'Fast Track '!B:C,2,FALSE)</f>
        <v>#N/A</v>
      </c>
      <c r="G27" s="17" t="s">
        <v>3732</v>
      </c>
      <c r="H27" s="17" t="s">
        <v>1073</v>
      </c>
      <c r="I27" s="17" t="str">
        <f>VLOOKUP(C27,Sheet1!D:J,6,FALSE)</f>
        <v>2022368285.sanjay@pt.sharda.ac.in</v>
      </c>
      <c r="J27" s="17" t="str">
        <f>VLOOKUP(D27,Sheet1!E:K,6,FALSE)</f>
        <v>7060524955</v>
      </c>
      <c r="K27" s="17" t="s">
        <v>15</v>
      </c>
      <c r="L27" s="37" t="s">
        <v>3645</v>
      </c>
      <c r="M27" t="s">
        <v>3649</v>
      </c>
    </row>
    <row r="28" spans="1:13">
      <c r="A28" s="26">
        <v>27</v>
      </c>
      <c r="B28" s="17" t="s">
        <v>1054</v>
      </c>
      <c r="C28" s="17">
        <v>2022005715</v>
      </c>
      <c r="D28" s="17">
        <v>2201010458</v>
      </c>
      <c r="E28" s="17" t="s">
        <v>1803</v>
      </c>
      <c r="F28" s="17" t="e">
        <f>VLOOKUP(C28,'Fast Track '!B:C,2,FALSE)</f>
        <v>#N/A</v>
      </c>
      <c r="G28" s="17" t="s">
        <v>3733</v>
      </c>
      <c r="H28" s="17" t="s">
        <v>1055</v>
      </c>
      <c r="I28" s="17" t="str">
        <f>VLOOKUP(C28,Sheet1!D:J,6,FALSE)</f>
        <v>2022005715.ashok@pt.sharda.ac.in</v>
      </c>
      <c r="J28" s="17" t="str">
        <f>VLOOKUP(D28,Sheet1!E:K,6,FALSE)</f>
        <v>7838600901</v>
      </c>
      <c r="K28" s="17" t="s">
        <v>15</v>
      </c>
      <c r="L28" s="37" t="s">
        <v>3645</v>
      </c>
      <c r="M28" t="s">
        <v>3649</v>
      </c>
    </row>
    <row r="29" spans="1:13">
      <c r="A29" s="26">
        <v>28</v>
      </c>
      <c r="B29" s="17" t="s">
        <v>1104</v>
      </c>
      <c r="C29" s="17">
        <v>2022504837</v>
      </c>
      <c r="D29" s="17">
        <v>2201010464</v>
      </c>
      <c r="E29" s="17" t="s">
        <v>1803</v>
      </c>
      <c r="F29" s="17" t="e">
        <f>VLOOKUP(C29,'Fast Track '!B:C,2,FALSE)</f>
        <v>#N/A</v>
      </c>
      <c r="G29" s="17" t="s">
        <v>3734</v>
      </c>
      <c r="H29" s="17" t="s">
        <v>1105</v>
      </c>
      <c r="I29" s="17" t="str">
        <f>VLOOKUP(C29,Sheet1!D:J,6,FALSE)</f>
        <v>2022504837.pradeepkumar@pt.sharda.ac.in</v>
      </c>
      <c r="J29" s="17" t="str">
        <f>VLOOKUP(D29,Sheet1!E:K,6,FALSE)</f>
        <v>9938101244</v>
      </c>
      <c r="K29" s="17" t="s">
        <v>15</v>
      </c>
      <c r="L29" s="37" t="s">
        <v>3644</v>
      </c>
      <c r="M29" t="s">
        <v>3650</v>
      </c>
    </row>
    <row r="30" spans="1:13">
      <c r="A30" s="26">
        <v>29</v>
      </c>
      <c r="B30" s="17" t="s">
        <v>1080</v>
      </c>
      <c r="C30" s="17">
        <v>2022413491</v>
      </c>
      <c r="D30" s="17">
        <v>2201010480</v>
      </c>
      <c r="E30" s="17" t="s">
        <v>1803</v>
      </c>
      <c r="F30" s="17" t="e">
        <f>VLOOKUP(C30,'Fast Track '!B:C,2,FALSE)</f>
        <v>#N/A</v>
      </c>
      <c r="G30" s="17" t="s">
        <v>3735</v>
      </c>
      <c r="H30" s="17" t="s">
        <v>1081</v>
      </c>
      <c r="I30" s="17" t="str">
        <f>VLOOKUP(C30,Sheet1!D:J,6,FALSE)</f>
        <v>2022413491.ashish@pt.sharda.ac.in</v>
      </c>
      <c r="J30" s="17" t="str">
        <f>VLOOKUP(D30,Sheet1!E:K,6,FALSE)</f>
        <v>9315976587</v>
      </c>
      <c r="K30" s="17" t="s">
        <v>15</v>
      </c>
      <c r="L30" s="37" t="s">
        <v>3644</v>
      </c>
      <c r="M30" t="s">
        <v>3650</v>
      </c>
    </row>
    <row r="31" spans="1:13">
      <c r="A31" s="26">
        <v>30</v>
      </c>
      <c r="B31" s="17" t="s">
        <v>1116</v>
      </c>
      <c r="C31" s="17">
        <v>2022550696</v>
      </c>
      <c r="D31" s="17">
        <v>2201010483</v>
      </c>
      <c r="E31" s="17" t="s">
        <v>1803</v>
      </c>
      <c r="F31" s="17" t="e">
        <f>VLOOKUP(C31,'Fast Track '!B:C,2,FALSE)</f>
        <v>#N/A</v>
      </c>
      <c r="G31" s="17" t="s">
        <v>3736</v>
      </c>
      <c r="H31" s="17" t="s">
        <v>1117</v>
      </c>
      <c r="I31" s="17" t="str">
        <f>VLOOKUP(C31,Sheet1!D:J,6,FALSE)</f>
        <v>2022550696.kedar@pt.sharda.ac.in</v>
      </c>
      <c r="J31" s="17" t="str">
        <f>VLOOKUP(D31,Sheet1!E:K,6,FALSE)</f>
        <v>9805516702</v>
      </c>
      <c r="K31" s="17" t="s">
        <v>15</v>
      </c>
      <c r="L31" s="37" t="s">
        <v>3644</v>
      </c>
      <c r="M31" t="s">
        <v>3650</v>
      </c>
    </row>
    <row r="32" spans="1:13">
      <c r="A32" s="26">
        <v>31</v>
      </c>
      <c r="B32" s="17" t="s">
        <v>361</v>
      </c>
      <c r="C32" s="17">
        <v>2022512176</v>
      </c>
      <c r="D32" s="17">
        <v>2201010399</v>
      </c>
      <c r="E32" s="17" t="s">
        <v>1803</v>
      </c>
      <c r="F32" s="17" t="e">
        <f>VLOOKUP(C32,'Fast Track '!B:C,2,FALSE)</f>
        <v>#N/A</v>
      </c>
      <c r="G32" s="17" t="s">
        <v>3737</v>
      </c>
      <c r="H32" s="17" t="s">
        <v>362</v>
      </c>
      <c r="I32" s="17" t="str">
        <f>VLOOKUP(C32,Sheet1!D:J,6,FALSE)</f>
        <v>2022512176.surendrapal@pt.sharda.ac.in</v>
      </c>
      <c r="J32" s="17" t="str">
        <f>VLOOKUP(D32,Sheet1!E:K,6,FALSE)</f>
        <v>9818358499</v>
      </c>
      <c r="K32" s="17" t="s">
        <v>15</v>
      </c>
      <c r="L32" s="37" t="s">
        <v>3644</v>
      </c>
      <c r="M32" t="s">
        <v>3650</v>
      </c>
    </row>
    <row r="33" spans="1:13">
      <c r="A33" s="26">
        <v>32</v>
      </c>
      <c r="B33" s="17" t="s">
        <v>1020</v>
      </c>
      <c r="C33" s="17">
        <v>2022520753</v>
      </c>
      <c r="D33" s="17">
        <v>2201010502</v>
      </c>
      <c r="E33" s="17" t="s">
        <v>1803</v>
      </c>
      <c r="F33" s="17" t="e">
        <f>VLOOKUP(C33,'Fast Track '!B:C,2,FALSE)</f>
        <v>#N/A</v>
      </c>
      <c r="G33" s="17" t="s">
        <v>3738</v>
      </c>
      <c r="H33" s="17" t="s">
        <v>1021</v>
      </c>
      <c r="I33" s="17" t="str">
        <f>VLOOKUP(C33,Sheet1!D:J,6,FALSE)</f>
        <v>2022520753.rb@pt.sharda.ac.in</v>
      </c>
      <c r="J33" s="17" t="str">
        <f>VLOOKUP(D33,Sheet1!E:K,6,FALSE)</f>
        <v>9660767694</v>
      </c>
      <c r="K33" s="17" t="s">
        <v>15</v>
      </c>
      <c r="L33" s="37" t="s">
        <v>3644</v>
      </c>
      <c r="M33" t="s">
        <v>3650</v>
      </c>
    </row>
    <row r="34" spans="1:13">
      <c r="A34" s="26">
        <v>33</v>
      </c>
      <c r="B34" s="17" t="s">
        <v>1110</v>
      </c>
      <c r="C34" s="17">
        <v>2022536903</v>
      </c>
      <c r="D34" s="17">
        <v>2201010506</v>
      </c>
      <c r="E34" s="17" t="s">
        <v>1803</v>
      </c>
      <c r="F34" s="17" t="e">
        <f>VLOOKUP(C34,'Fast Track '!B:C,2,FALSE)</f>
        <v>#N/A</v>
      </c>
      <c r="G34" s="17" t="s">
        <v>3739</v>
      </c>
      <c r="H34" s="17" t="s">
        <v>1111</v>
      </c>
      <c r="I34" s="17" t="str">
        <f>VLOOKUP(C34,Sheet1!D:J,6,FALSE)</f>
        <v>2022536903.rakesh@pt.sharda.ac.in</v>
      </c>
      <c r="J34" s="17" t="str">
        <f>VLOOKUP(D34,Sheet1!E:K,6,FALSE)</f>
        <v>6232679748</v>
      </c>
      <c r="K34" s="17" t="s">
        <v>15</v>
      </c>
      <c r="L34" s="37" t="s">
        <v>3644</v>
      </c>
      <c r="M34" t="s">
        <v>3650</v>
      </c>
    </row>
    <row r="35" spans="1:13">
      <c r="A35" s="26">
        <v>34</v>
      </c>
      <c r="B35" s="17" t="s">
        <v>1016</v>
      </c>
      <c r="C35" s="17">
        <v>2022472521</v>
      </c>
      <c r="D35" s="17">
        <v>2201010526</v>
      </c>
      <c r="E35" s="17" t="s">
        <v>1803</v>
      </c>
      <c r="F35" s="17" t="e">
        <f>VLOOKUP(C35,'Fast Track '!B:C,2,FALSE)</f>
        <v>#N/A</v>
      </c>
      <c r="G35" s="17" t="s">
        <v>3740</v>
      </c>
      <c r="H35" s="17" t="s">
        <v>1017</v>
      </c>
      <c r="I35" s="17" t="str">
        <f>VLOOKUP(C35,Sheet1!D:J,6,FALSE)</f>
        <v>2022472521.pitamsingh@pt.sharda.ac.in</v>
      </c>
      <c r="J35" s="17" t="str">
        <f>VLOOKUP(D35,Sheet1!E:K,6,FALSE)</f>
        <v>8077924011</v>
      </c>
      <c r="K35" s="17" t="s">
        <v>15</v>
      </c>
      <c r="L35" s="37" t="s">
        <v>3644</v>
      </c>
      <c r="M35" t="s">
        <v>3650</v>
      </c>
    </row>
    <row r="36" spans="1:13">
      <c r="A36" s="26">
        <v>35</v>
      </c>
      <c r="B36" s="17" t="s">
        <v>1088</v>
      </c>
      <c r="C36" s="17">
        <v>2022441764</v>
      </c>
      <c r="D36" s="17">
        <v>2201010529</v>
      </c>
      <c r="E36" s="17" t="s">
        <v>1803</v>
      </c>
      <c r="F36" s="17" t="e">
        <f>VLOOKUP(C36,'Fast Track '!B:C,2,FALSE)</f>
        <v>#N/A</v>
      </c>
      <c r="G36" s="17" t="s">
        <v>3741</v>
      </c>
      <c r="H36" s="17" t="s">
        <v>1089</v>
      </c>
      <c r="I36" s="17" t="str">
        <f>VLOOKUP(C36,Sheet1!D:J,6,FALSE)</f>
        <v>2022441764.uttam@pt.sharda.ac.in</v>
      </c>
      <c r="J36" s="17" t="str">
        <f>VLOOKUP(D36,Sheet1!E:K,6,FALSE)</f>
        <v>7011672041</v>
      </c>
      <c r="K36" s="17" t="s">
        <v>15</v>
      </c>
      <c r="L36" s="37" t="s">
        <v>3644</v>
      </c>
      <c r="M36" t="s">
        <v>3650</v>
      </c>
    </row>
    <row r="37" spans="1:13">
      <c r="A37" s="26">
        <v>36</v>
      </c>
      <c r="B37" s="17" t="s">
        <v>1048</v>
      </c>
      <c r="C37" s="17">
        <v>2022004682</v>
      </c>
      <c r="D37" s="17">
        <v>2201010630</v>
      </c>
      <c r="E37" s="17" t="s">
        <v>1803</v>
      </c>
      <c r="F37" s="17" t="e">
        <f>VLOOKUP(C37,'Fast Track '!B:C,2,FALSE)</f>
        <v>#N/A</v>
      </c>
      <c r="G37" s="17" t="s">
        <v>3742</v>
      </c>
      <c r="H37" s="17" t="s">
        <v>1049</v>
      </c>
      <c r="I37" s="17" t="str">
        <f>VLOOKUP(C37,Sheet1!D:J,6,FALSE)</f>
        <v>2022004682.kaushlendra@pt.sharda.ac.in</v>
      </c>
      <c r="J37" s="17" t="str">
        <f>VLOOKUP(D37,Sheet1!E:K,6,FALSE)</f>
        <v>7086103151</v>
      </c>
      <c r="K37" s="17" t="s">
        <v>15</v>
      </c>
      <c r="L37" s="37" t="s">
        <v>3644</v>
      </c>
      <c r="M37" t="s">
        <v>3650</v>
      </c>
    </row>
    <row r="38" spans="1:13">
      <c r="A38" s="26">
        <v>37</v>
      </c>
      <c r="B38" s="17" t="s">
        <v>1034</v>
      </c>
      <c r="C38" s="17">
        <v>2022002703</v>
      </c>
      <c r="D38" s="17">
        <v>2201010631</v>
      </c>
      <c r="E38" s="17" t="s">
        <v>1803</v>
      </c>
      <c r="F38" s="17" t="e">
        <f>VLOOKUP(C38,'Fast Track '!B:C,2,FALSE)</f>
        <v>#N/A</v>
      </c>
      <c r="G38" s="17" t="s">
        <v>3743</v>
      </c>
      <c r="H38" s="17" t="s">
        <v>1035</v>
      </c>
      <c r="I38" s="17" t="str">
        <f>VLOOKUP(C38,Sheet1!D:J,6,FALSE)</f>
        <v>2022002703.amar@pt.sharda.ac.in</v>
      </c>
      <c r="J38" s="17" t="str">
        <f>VLOOKUP(D38,Sheet1!E:K,6,FALSE)</f>
        <v>9773958121</v>
      </c>
      <c r="K38" s="17" t="s">
        <v>15</v>
      </c>
      <c r="L38" s="37" t="s">
        <v>3644</v>
      </c>
      <c r="M38" t="s">
        <v>3650</v>
      </c>
    </row>
    <row r="39" spans="1:13">
      <c r="A39" s="26">
        <v>38</v>
      </c>
      <c r="B39" s="17" t="s">
        <v>1028</v>
      </c>
      <c r="C39" s="17">
        <v>2022001659</v>
      </c>
      <c r="D39" s="17">
        <v>2201010643</v>
      </c>
      <c r="E39" s="17" t="s">
        <v>1803</v>
      </c>
      <c r="F39" s="17" t="e">
        <f>VLOOKUP(C39,'Fast Track '!B:C,2,FALSE)</f>
        <v>#N/A</v>
      </c>
      <c r="G39" s="17" t="s">
        <v>3744</v>
      </c>
      <c r="H39" s="17" t="s">
        <v>1029</v>
      </c>
      <c r="I39" s="17" t="str">
        <f>VLOOKUP(C39,Sheet1!D:J,6,FALSE)</f>
        <v>2022001659.harindra@pt.sharda.ac.in</v>
      </c>
      <c r="J39" s="17" t="str">
        <f>VLOOKUP(D39,Sheet1!E:K,6,FALSE)</f>
        <v>8368169523</v>
      </c>
      <c r="K39" s="17" t="s">
        <v>15</v>
      </c>
      <c r="L39" s="37" t="s">
        <v>3644</v>
      </c>
      <c r="M39" t="s">
        <v>3650</v>
      </c>
    </row>
    <row r="40" spans="1:13">
      <c r="A40" s="26">
        <v>39</v>
      </c>
      <c r="B40" s="17" t="s">
        <v>1036</v>
      </c>
      <c r="C40" s="17">
        <v>2022002786</v>
      </c>
      <c r="D40" s="17">
        <v>2201010667</v>
      </c>
      <c r="E40" s="17" t="s">
        <v>1803</v>
      </c>
      <c r="F40" s="17" t="e">
        <f>VLOOKUP(C40,'Fast Track '!B:C,2,FALSE)</f>
        <v>#N/A</v>
      </c>
      <c r="G40" s="17" t="s">
        <v>3745</v>
      </c>
      <c r="H40" s="17" t="s">
        <v>1037</v>
      </c>
      <c r="I40" s="17" t="str">
        <f>VLOOKUP(C40,Sheet1!D:J,6,FALSE)</f>
        <v>2022002786.durgesh@pt.sharda.ac.in</v>
      </c>
      <c r="J40" s="17" t="str">
        <f>VLOOKUP(D40,Sheet1!E:K,6,FALSE)</f>
        <v>6388775326</v>
      </c>
      <c r="K40" s="17" t="s">
        <v>15</v>
      </c>
      <c r="L40" s="37" t="s">
        <v>3644</v>
      </c>
      <c r="M40" t="s">
        <v>3650</v>
      </c>
    </row>
    <row r="41" spans="1:13">
      <c r="A41" s="26">
        <v>40</v>
      </c>
      <c r="B41" s="17" t="s">
        <v>1086</v>
      </c>
      <c r="C41" s="17">
        <v>2022437700</v>
      </c>
      <c r="D41" s="17">
        <v>2201010706</v>
      </c>
      <c r="E41" s="17" t="s">
        <v>1803</v>
      </c>
      <c r="F41" s="17" t="e">
        <f>VLOOKUP(C41,'Fast Track '!B:C,2,FALSE)</f>
        <v>#N/A</v>
      </c>
      <c r="G41" s="17" t="s">
        <v>3746</v>
      </c>
      <c r="H41" s="17" t="s">
        <v>1087</v>
      </c>
      <c r="I41" s="17" t="str">
        <f>VLOOKUP(C41,Sheet1!D:J,6,FALSE)</f>
        <v>2022437700.santosh@pt.sharda.ac.in</v>
      </c>
      <c r="J41" s="17" t="str">
        <f>VLOOKUP(D41,Sheet1!E:K,6,FALSE)</f>
        <v>9917060828</v>
      </c>
      <c r="K41" s="17" t="s">
        <v>15</v>
      </c>
      <c r="L41" s="37" t="s">
        <v>3644</v>
      </c>
      <c r="M41" t="s">
        <v>3650</v>
      </c>
    </row>
    <row r="42" spans="1:13">
      <c r="A42" s="26">
        <v>41</v>
      </c>
      <c r="B42" s="17" t="s">
        <v>1030</v>
      </c>
      <c r="C42" s="17">
        <v>2022001846</v>
      </c>
      <c r="D42" s="17">
        <v>2201010715</v>
      </c>
      <c r="E42" s="17" t="s">
        <v>1803</v>
      </c>
      <c r="F42" s="17" t="e">
        <f>VLOOKUP(C42,'Fast Track '!B:C,2,FALSE)</f>
        <v>#N/A</v>
      </c>
      <c r="G42" s="17" t="s">
        <v>3747</v>
      </c>
      <c r="H42" s="17" t="s">
        <v>1031</v>
      </c>
      <c r="I42" s="17" t="str">
        <f>VLOOKUP(C42,Sheet1!D:J,6,FALSE)</f>
        <v>2022001846.narendra@pt.sharda.ac.in</v>
      </c>
      <c r="J42" s="17" t="str">
        <f>VLOOKUP(D42,Sheet1!E:K,6,FALSE)</f>
        <v>6307068781</v>
      </c>
      <c r="K42" s="17" t="s">
        <v>15</v>
      </c>
      <c r="L42" s="37" t="s">
        <v>3644</v>
      </c>
      <c r="M42" t="s">
        <v>3650</v>
      </c>
    </row>
    <row r="43" spans="1:13">
      <c r="A43" s="26">
        <v>42</v>
      </c>
      <c r="B43" s="17" t="s">
        <v>1092</v>
      </c>
      <c r="C43" s="17">
        <v>2022461609</v>
      </c>
      <c r="D43" s="17">
        <v>2201010734</v>
      </c>
      <c r="E43" s="17" t="s">
        <v>1803</v>
      </c>
      <c r="F43" s="17" t="e">
        <f>VLOOKUP(C43,'Fast Track '!B:C,2,FALSE)</f>
        <v>#N/A</v>
      </c>
      <c r="G43" s="17" t="s">
        <v>3748</v>
      </c>
      <c r="H43" s="17" t="s">
        <v>1093</v>
      </c>
      <c r="I43" s="17" t="str">
        <f>VLOOKUP(C43,Sheet1!D:J,6,FALSE)</f>
        <v>2022461609.pushpendra@pt.sharda.ac.in</v>
      </c>
      <c r="J43" s="17" t="str">
        <f>VLOOKUP(D43,Sheet1!E:K,6,FALSE)</f>
        <v>8171454014</v>
      </c>
      <c r="K43" s="17" t="s">
        <v>15</v>
      </c>
      <c r="L43" s="37" t="s">
        <v>3644</v>
      </c>
      <c r="M43" t="s">
        <v>3650</v>
      </c>
    </row>
    <row r="44" spans="1:13">
      <c r="A44" s="26">
        <v>43</v>
      </c>
      <c r="B44" s="17" t="s">
        <v>1118</v>
      </c>
      <c r="C44" s="17">
        <v>2022559074</v>
      </c>
      <c r="D44" s="17">
        <v>2201010762</v>
      </c>
      <c r="E44" s="17" t="s">
        <v>1803</v>
      </c>
      <c r="F44" s="17" t="e">
        <f>VLOOKUP(C44,'Fast Track '!B:C,2,FALSE)</f>
        <v>#N/A</v>
      </c>
      <c r="G44" s="17" t="s">
        <v>3749</v>
      </c>
      <c r="H44" s="17" t="s">
        <v>1119</v>
      </c>
      <c r="I44" s="17" t="str">
        <f>VLOOKUP(C44,Sheet1!D:J,6,FALSE)</f>
        <v>2022559074.harindra@pt.sharda.ac.in</v>
      </c>
      <c r="J44" s="17" t="str">
        <f>VLOOKUP(D44,Sheet1!E:K,6,FALSE)</f>
        <v>8957910748</v>
      </c>
      <c r="K44" s="17" t="s">
        <v>15</v>
      </c>
      <c r="L44" s="37" t="s">
        <v>3644</v>
      </c>
      <c r="M44" t="s">
        <v>3650</v>
      </c>
    </row>
    <row r="45" spans="1:13">
      <c r="A45" s="26">
        <v>44</v>
      </c>
      <c r="B45" s="17" t="s">
        <v>1114</v>
      </c>
      <c r="C45" s="17">
        <v>2022545204</v>
      </c>
      <c r="D45" s="17">
        <v>2201010778</v>
      </c>
      <c r="E45" s="17" t="s">
        <v>1803</v>
      </c>
      <c r="F45" s="17" t="e">
        <f>VLOOKUP(C45,'Fast Track '!B:C,2,FALSE)</f>
        <v>#N/A</v>
      </c>
      <c r="G45" s="17" t="s">
        <v>3750</v>
      </c>
      <c r="H45" s="17" t="s">
        <v>1115</v>
      </c>
      <c r="I45" s="17" t="str">
        <f>VLOOKUP(C45,Sheet1!D:J,6,FALSE)</f>
        <v>2022545204.vinitkumar@pt.sharda.ac.in</v>
      </c>
      <c r="J45" s="17" t="str">
        <f>VLOOKUP(D45,Sheet1!E:K,6,FALSE)</f>
        <v>7992322057</v>
      </c>
      <c r="K45" s="17" t="s">
        <v>15</v>
      </c>
      <c r="L45" s="37" t="s">
        <v>3644</v>
      </c>
      <c r="M45" t="s">
        <v>3650</v>
      </c>
    </row>
    <row r="46" spans="1:13">
      <c r="A46" s="26">
        <v>45</v>
      </c>
      <c r="B46" s="17" t="s">
        <v>1098</v>
      </c>
      <c r="C46" s="17">
        <v>2022473978</v>
      </c>
      <c r="D46" s="17">
        <v>2201010781</v>
      </c>
      <c r="E46" s="17" t="s">
        <v>1803</v>
      </c>
      <c r="F46" s="17" t="e">
        <f>VLOOKUP(C46,'Fast Track '!B:C,2,FALSE)</f>
        <v>#N/A</v>
      </c>
      <c r="G46" s="17" t="s">
        <v>3751</v>
      </c>
      <c r="H46" s="17" t="s">
        <v>1099</v>
      </c>
      <c r="I46" s="17" t="str">
        <f>VLOOKUP(C46,Sheet1!D:J,6,FALSE)</f>
        <v>2022473978.haribansh@pt.sharda.ac.in</v>
      </c>
      <c r="J46" s="17" t="str">
        <f>VLOOKUP(D46,Sheet1!E:K,6,FALSE)</f>
        <v>8528324138</v>
      </c>
      <c r="K46" s="17" t="s">
        <v>15</v>
      </c>
      <c r="L46" s="37" t="s">
        <v>3644</v>
      </c>
      <c r="M46" t="s">
        <v>3650</v>
      </c>
    </row>
    <row r="47" spans="1:13">
      <c r="A47" s="26">
        <v>46</v>
      </c>
      <c r="B47" s="17" t="s">
        <v>1096</v>
      </c>
      <c r="C47" s="17">
        <v>2022470797</v>
      </c>
      <c r="D47" s="17">
        <v>2201010810</v>
      </c>
      <c r="E47" s="17" t="s">
        <v>1803</v>
      </c>
      <c r="F47" s="17" t="e">
        <f>VLOOKUP(C47,'Fast Track '!B:C,2,FALSE)</f>
        <v>#N/A</v>
      </c>
      <c r="G47" s="17" t="s">
        <v>3752</v>
      </c>
      <c r="H47" s="17" t="s">
        <v>1097</v>
      </c>
      <c r="I47" s="17" t="str">
        <f>VLOOKUP(C47,Sheet1!D:J,6,FALSE)</f>
        <v>2022470797.pushpendra@pt.sharda.ac.in</v>
      </c>
      <c r="J47" s="17" t="str">
        <f>VLOOKUP(D47,Sheet1!E:K,6,FALSE)</f>
        <v>8630299246</v>
      </c>
      <c r="K47" s="17" t="s">
        <v>15</v>
      </c>
      <c r="L47" s="37" t="s">
        <v>3644</v>
      </c>
      <c r="M47" t="s">
        <v>3650</v>
      </c>
    </row>
    <row r="48" spans="1:13">
      <c r="A48" s="26">
        <v>47</v>
      </c>
      <c r="B48" s="17" t="s">
        <v>1082</v>
      </c>
      <c r="C48" s="17">
        <v>2022415397</v>
      </c>
      <c r="D48" s="17">
        <v>2201010811</v>
      </c>
      <c r="E48" s="17" t="s">
        <v>1803</v>
      </c>
      <c r="F48" s="17" t="e">
        <f>VLOOKUP(C48,'Fast Track '!B:C,2,FALSE)</f>
        <v>#N/A</v>
      </c>
      <c r="G48" s="17" t="s">
        <v>3753</v>
      </c>
      <c r="H48" s="17" t="s">
        <v>1083</v>
      </c>
      <c r="I48" s="17" t="str">
        <f>VLOOKUP(C48,Sheet1!D:J,6,FALSE)</f>
        <v>2022415397.dharmendra@pt.sharda.ac.in</v>
      </c>
      <c r="J48" s="17" t="str">
        <f>VLOOKUP(D48,Sheet1!E:K,6,FALSE)</f>
        <v>6299651541</v>
      </c>
      <c r="K48" s="17" t="s">
        <v>15</v>
      </c>
      <c r="L48" s="37" t="s">
        <v>3644</v>
      </c>
      <c r="M48" t="s">
        <v>3650</v>
      </c>
    </row>
    <row r="49" spans="1:13">
      <c r="A49" s="26">
        <v>48</v>
      </c>
      <c r="B49" s="17" t="s">
        <v>1012</v>
      </c>
      <c r="C49" s="17">
        <v>2022004909</v>
      </c>
      <c r="D49" s="17">
        <v>2201010827</v>
      </c>
      <c r="E49" s="17" t="s">
        <v>1803</v>
      </c>
      <c r="F49" s="17" t="e">
        <f>VLOOKUP(C49,'Fast Track '!B:C,2,FALSE)</f>
        <v>#N/A</v>
      </c>
      <c r="G49" s="17" t="s">
        <v>3754</v>
      </c>
      <c r="H49" s="17" t="s">
        <v>1013</v>
      </c>
      <c r="I49" s="17" t="str">
        <f>VLOOKUP(C49,Sheet1!D:J,6,FALSE)</f>
        <v>2022004909.sajidmahammad@pt.sharda.ac.in</v>
      </c>
      <c r="J49" s="17" t="str">
        <f>VLOOKUP(D49,Sheet1!E:K,6,FALSE)</f>
        <v>9729927709</v>
      </c>
      <c r="K49" s="17" t="s">
        <v>15</v>
      </c>
      <c r="L49" s="37" t="s">
        <v>3644</v>
      </c>
      <c r="M49" t="s">
        <v>3650</v>
      </c>
    </row>
    <row r="50" spans="1:13">
      <c r="A50" s="26">
        <v>49</v>
      </c>
      <c r="B50" s="17" t="s">
        <v>1056</v>
      </c>
      <c r="C50" s="17">
        <v>2022006973</v>
      </c>
      <c r="D50" s="17">
        <v>2201010835</v>
      </c>
      <c r="E50" s="17" t="s">
        <v>1803</v>
      </c>
      <c r="F50" s="17" t="e">
        <f>VLOOKUP(C50,'Fast Track '!B:C,2,FALSE)</f>
        <v>#N/A</v>
      </c>
      <c r="G50" s="17" t="s">
        <v>3755</v>
      </c>
      <c r="H50" s="17" t="s">
        <v>1057</v>
      </c>
      <c r="I50" s="17" t="str">
        <f>VLOOKUP(C50,Sheet1!D:J,6,FALSE)</f>
        <v>2022006973.arwind@pt.sharda.ac.in</v>
      </c>
      <c r="J50" s="17" t="str">
        <f>VLOOKUP(D50,Sheet1!E:K,6,FALSE)</f>
        <v>7294102434</v>
      </c>
      <c r="K50" s="17" t="s">
        <v>15</v>
      </c>
      <c r="L50" s="37" t="s">
        <v>3644</v>
      </c>
      <c r="M50" t="s">
        <v>3650</v>
      </c>
    </row>
    <row r="51" spans="1:13">
      <c r="A51" s="26">
        <v>50</v>
      </c>
      <c r="B51" s="17" t="s">
        <v>1058</v>
      </c>
      <c r="C51" s="17">
        <v>2022007308</v>
      </c>
      <c r="D51" s="17">
        <v>2201010841</v>
      </c>
      <c r="E51" s="17" t="s">
        <v>1803</v>
      </c>
      <c r="F51" s="17" t="e">
        <f>VLOOKUP(C51,'Fast Track '!B:C,2,FALSE)</f>
        <v>#N/A</v>
      </c>
      <c r="G51" s="17" t="s">
        <v>3756</v>
      </c>
      <c r="H51" s="17" t="s">
        <v>1059</v>
      </c>
      <c r="I51" s="17" t="str">
        <f>VLOOKUP(C51,Sheet1!D:J,6,FALSE)</f>
        <v>2022007308.kaushalkishore@pt.sharda.ac.in</v>
      </c>
      <c r="J51" s="17" t="str">
        <f>VLOOKUP(D51,Sheet1!E:K,6,FALSE)</f>
        <v>9310027574</v>
      </c>
      <c r="K51" s="17" t="s">
        <v>15</v>
      </c>
      <c r="L51" s="37" t="s">
        <v>3644</v>
      </c>
      <c r="M51" t="s">
        <v>3650</v>
      </c>
    </row>
    <row r="52" spans="1:13">
      <c r="A52" s="26">
        <v>51</v>
      </c>
      <c r="B52" s="17" t="s">
        <v>1060</v>
      </c>
      <c r="C52" s="17">
        <v>2022008336</v>
      </c>
      <c r="D52" s="17">
        <v>2201010867</v>
      </c>
      <c r="E52" s="17" t="s">
        <v>1803</v>
      </c>
      <c r="F52" s="17" t="e">
        <f>VLOOKUP(C52,'Fast Track '!B:C,2,FALSE)</f>
        <v>#N/A</v>
      </c>
      <c r="G52" s="17" t="s">
        <v>3757</v>
      </c>
      <c r="H52" s="17" t="s">
        <v>1061</v>
      </c>
      <c r="I52" s="17" t="str">
        <f>VLOOKUP(C52,Sheet1!D:J,6,FALSE)</f>
        <v>2022008336.mahmoudam@pt.sharda.ac.in</v>
      </c>
      <c r="J52" s="17" t="str">
        <f>VLOOKUP(D52,Sheet1!E:K,6,FALSE)</f>
        <v>0091 9958658295</v>
      </c>
      <c r="K52" s="17" t="s">
        <v>15</v>
      </c>
      <c r="L52" s="37" t="s">
        <v>3644</v>
      </c>
      <c r="M52" t="s">
        <v>3650</v>
      </c>
    </row>
    <row r="53" spans="1:13">
      <c r="A53" s="26">
        <v>52</v>
      </c>
      <c r="B53" s="17" t="s">
        <v>1076</v>
      </c>
      <c r="C53" s="17">
        <v>2022402175</v>
      </c>
      <c r="D53" s="17">
        <v>2201010871</v>
      </c>
      <c r="E53" s="17" t="s">
        <v>1803</v>
      </c>
      <c r="F53" s="17" t="e">
        <f>VLOOKUP(C53,'Fast Track '!B:C,2,FALSE)</f>
        <v>#N/A</v>
      </c>
      <c r="G53" s="17" t="s">
        <v>3758</v>
      </c>
      <c r="H53" s="17" t="s">
        <v>1077</v>
      </c>
      <c r="I53" s="17" t="str">
        <f>VLOOKUP(C53,Sheet1!D:J,6,FALSE)</f>
        <v>2022402175.sandeep@pt.sharda.ac.in</v>
      </c>
      <c r="J53" s="17" t="str">
        <f>VLOOKUP(D53,Sheet1!E:K,6,FALSE)</f>
        <v>9125623998</v>
      </c>
      <c r="K53" s="17" t="s">
        <v>15</v>
      </c>
      <c r="L53" s="37" t="s">
        <v>3644</v>
      </c>
      <c r="M53" t="s">
        <v>3650</v>
      </c>
    </row>
    <row r="54" spans="1:13">
      <c r="A54" s="26">
        <v>53</v>
      </c>
      <c r="B54" s="17" t="s">
        <v>1120</v>
      </c>
      <c r="C54" s="17">
        <v>2022615611</v>
      </c>
      <c r="D54" s="17">
        <v>2201010902</v>
      </c>
      <c r="E54" s="17" t="s">
        <v>1803</v>
      </c>
      <c r="F54" s="17" t="e">
        <f>VLOOKUP(C54,'Fast Track '!B:C,2,FALSE)</f>
        <v>#N/A</v>
      </c>
      <c r="G54" s="17" t="s">
        <v>3759</v>
      </c>
      <c r="H54" s="17" t="s">
        <v>1121</v>
      </c>
      <c r="I54" s="17" t="str">
        <f>VLOOKUP(C54,Sheet1!D:J,6,FALSE)</f>
        <v>2022615611.syedashiq@pt.sharda.ac.in</v>
      </c>
      <c r="J54" s="17" t="str">
        <f>VLOOKUP(D54,Sheet1!E:K,6,FALSE)</f>
        <v>7006541442</v>
      </c>
      <c r="K54" s="17" t="s">
        <v>15</v>
      </c>
      <c r="L54" s="37" t="s">
        <v>3644</v>
      </c>
      <c r="M54" t="s">
        <v>3650</v>
      </c>
    </row>
    <row r="55" spans="1:13">
      <c r="A55" s="26">
        <v>54</v>
      </c>
      <c r="B55" s="17" t="s">
        <v>1122</v>
      </c>
      <c r="C55" s="17">
        <v>2022624448</v>
      </c>
      <c r="D55" s="17">
        <v>2201010907</v>
      </c>
      <c r="E55" s="17" t="s">
        <v>1803</v>
      </c>
      <c r="F55" s="17" t="e">
        <f>VLOOKUP(C55,'Fast Track '!B:C,2,FALSE)</f>
        <v>#N/A</v>
      </c>
      <c r="G55" s="17" t="s">
        <v>3760</v>
      </c>
      <c r="H55" s="17" t="s">
        <v>1123</v>
      </c>
      <c r="I55" s="17" t="str">
        <f>VLOOKUP(C55,Sheet1!D:J,6,FALSE)</f>
        <v>2022624448.gorelal@pt.sharda.ac.in</v>
      </c>
      <c r="J55" s="17" t="str">
        <f>VLOOKUP(D55,Sheet1!E:K,6,FALSE)</f>
        <v>9693543744</v>
      </c>
      <c r="K55" s="17" t="s">
        <v>15</v>
      </c>
      <c r="L55" s="37" t="s">
        <v>3644</v>
      </c>
      <c r="M55" t="s">
        <v>3650</v>
      </c>
    </row>
    <row r="56" spans="1:13">
      <c r="A56" s="26">
        <v>55</v>
      </c>
      <c r="B56" s="17" t="s">
        <v>1126</v>
      </c>
      <c r="C56" s="17">
        <v>2022831961</v>
      </c>
      <c r="D56" s="17">
        <v>2201010909</v>
      </c>
      <c r="E56" s="17" t="s">
        <v>1803</v>
      </c>
      <c r="F56" s="17" t="e">
        <f>VLOOKUP(C56,'Fast Track '!B:C,2,FALSE)</f>
        <v>#N/A</v>
      </c>
      <c r="G56" s="17" t="s">
        <v>3761</v>
      </c>
      <c r="H56" s="17" t="s">
        <v>1127</v>
      </c>
      <c r="I56" s="17" t="str">
        <f>VLOOKUP(C56,Sheet1!D:J,6,FALSE)</f>
        <v>2022831961.alokbrata@pt.sharda.ac.in</v>
      </c>
      <c r="J56" s="17" t="str">
        <f>VLOOKUP(D56,Sheet1!E:K,6,FALSE)</f>
        <v>91 9990596179</v>
      </c>
      <c r="K56" s="17" t="s">
        <v>15</v>
      </c>
      <c r="L56" s="37" t="s">
        <v>3644</v>
      </c>
      <c r="M56" t="s">
        <v>3650</v>
      </c>
    </row>
    <row r="57" spans="1:13">
      <c r="A57" s="26">
        <v>56</v>
      </c>
      <c r="B57" s="17" t="s">
        <v>771</v>
      </c>
      <c r="C57" s="17">
        <v>2022836161</v>
      </c>
      <c r="D57" s="17">
        <v>2201010911</v>
      </c>
      <c r="E57" s="17" t="s">
        <v>1803</v>
      </c>
      <c r="F57" s="17" t="e">
        <f>VLOOKUP(C57,'Fast Track '!B:C,2,FALSE)</f>
        <v>#N/A</v>
      </c>
      <c r="G57" s="17" t="s">
        <v>3762</v>
      </c>
      <c r="H57" s="17" t="s">
        <v>772</v>
      </c>
      <c r="I57" s="17" t="str">
        <f>VLOOKUP(C57,Sheet1!D:J,6,FALSE)</f>
        <v>2022836161.apurba@pt.sharda.ac.in</v>
      </c>
      <c r="J57" s="17" t="str">
        <f>VLOOKUP(D57,Sheet1!E:K,6,FALSE)</f>
        <v>91 9674775066</v>
      </c>
      <c r="K57" s="17" t="s">
        <v>15</v>
      </c>
      <c r="L57" s="37" t="s">
        <v>3644</v>
      </c>
      <c r="M57" t="s">
        <v>3650</v>
      </c>
    </row>
    <row r="58" spans="1:13">
      <c r="A58" s="26">
        <v>57</v>
      </c>
      <c r="B58" s="17" t="s">
        <v>793</v>
      </c>
      <c r="C58" s="17">
        <v>2021361239</v>
      </c>
      <c r="D58" s="17">
        <v>210101480</v>
      </c>
      <c r="E58" s="17" t="s">
        <v>1803</v>
      </c>
      <c r="F58" s="17" t="e">
        <f>VLOOKUP(C58,'Fast Track '!B:C,2,FALSE)</f>
        <v>#N/A</v>
      </c>
      <c r="G58" s="17" t="s">
        <v>3763</v>
      </c>
      <c r="H58" s="17" t="s">
        <v>794</v>
      </c>
      <c r="I58" s="17" t="str">
        <f>VLOOKUP(C58,Sheet1!D:J,6,FALSE)</f>
        <v>2021361239.virendra@pt.sharda.ac.in</v>
      </c>
      <c r="J58" s="17" t="str">
        <f>VLOOKUP(C58,Sheet1!D:J,7,FALSE)</f>
        <v>8299431338</v>
      </c>
      <c r="K58" s="17" t="s">
        <v>15</v>
      </c>
      <c r="L58" s="37" t="s">
        <v>3644</v>
      </c>
      <c r="M58" t="s">
        <v>3650</v>
      </c>
    </row>
    <row r="59" spans="1:13">
      <c r="A59" s="26">
        <v>58</v>
      </c>
      <c r="B59" s="6" t="s">
        <v>1793</v>
      </c>
      <c r="C59" s="7">
        <v>2022826376</v>
      </c>
      <c r="D59" s="7">
        <v>2201010064</v>
      </c>
      <c r="E59" s="17" t="s">
        <v>1803</v>
      </c>
      <c r="F59" s="17" t="e">
        <f>VLOOKUP(C59,'Fast Track '!B:C,2,FALSE)</f>
        <v>#N/A</v>
      </c>
      <c r="G59" s="17" t="s">
        <v>3764</v>
      </c>
      <c r="H59" s="6" t="s">
        <v>1794</v>
      </c>
      <c r="I59" s="6" t="s">
        <v>3209</v>
      </c>
      <c r="J59" s="6" t="s">
        <v>3210</v>
      </c>
      <c r="K59" s="6" t="s">
        <v>1396</v>
      </c>
      <c r="L59" s="37" t="s">
        <v>3644</v>
      </c>
      <c r="M59" t="s">
        <v>3670</v>
      </c>
    </row>
    <row r="60" spans="1:13">
      <c r="A60" s="26">
        <v>59</v>
      </c>
      <c r="B60" s="6" t="s">
        <v>1718</v>
      </c>
      <c r="C60" s="7">
        <v>2022007474</v>
      </c>
      <c r="D60" s="7">
        <v>2201010960</v>
      </c>
      <c r="E60" s="17" t="s">
        <v>1803</v>
      </c>
      <c r="F60" s="17" t="e">
        <f>VLOOKUP(C60,'Fast Track '!B:C,2,FALSE)</f>
        <v>#N/A</v>
      </c>
      <c r="G60" s="17" t="s">
        <v>3765</v>
      </c>
      <c r="H60" s="6" t="s">
        <v>1719</v>
      </c>
      <c r="I60" s="6" t="s">
        <v>3211</v>
      </c>
      <c r="J60" s="6" t="s">
        <v>3212</v>
      </c>
      <c r="K60" s="6" t="s">
        <v>1396</v>
      </c>
      <c r="L60" s="37" t="s">
        <v>3644</v>
      </c>
      <c r="M60" t="s">
        <v>3670</v>
      </c>
    </row>
    <row r="61" spans="1:13">
      <c r="A61" s="26">
        <v>60</v>
      </c>
      <c r="B61" s="6" t="s">
        <v>1722</v>
      </c>
      <c r="C61" s="7">
        <v>2022008078</v>
      </c>
      <c r="D61" s="7">
        <v>2201010967</v>
      </c>
      <c r="E61" s="17" t="s">
        <v>1803</v>
      </c>
      <c r="F61" s="17" t="e">
        <f>VLOOKUP(C61,'Fast Track '!B:C,2,FALSE)</f>
        <v>#N/A</v>
      </c>
      <c r="G61" s="17" t="s">
        <v>3766</v>
      </c>
      <c r="H61" s="6" t="s">
        <v>1723</v>
      </c>
      <c r="I61" s="6" t="s">
        <v>3213</v>
      </c>
      <c r="J61" s="6" t="s">
        <v>3214</v>
      </c>
      <c r="K61" s="6" t="s">
        <v>1396</v>
      </c>
      <c r="L61" s="37" t="s">
        <v>3644</v>
      </c>
      <c r="M61" t="s">
        <v>3670</v>
      </c>
    </row>
    <row r="62" spans="1:13">
      <c r="A62" s="26">
        <v>61</v>
      </c>
      <c r="B62" s="6" t="s">
        <v>1724</v>
      </c>
      <c r="C62" s="7">
        <v>2022008085</v>
      </c>
      <c r="D62" s="7">
        <v>2201010968</v>
      </c>
      <c r="E62" s="17" t="s">
        <v>1803</v>
      </c>
      <c r="F62" s="17" t="e">
        <f>VLOOKUP(C62,'Fast Track '!B:C,2,FALSE)</f>
        <v>#N/A</v>
      </c>
      <c r="G62" s="17" t="s">
        <v>3767</v>
      </c>
      <c r="H62" s="6" t="s">
        <v>1725</v>
      </c>
      <c r="I62" s="6" t="s">
        <v>3215</v>
      </c>
      <c r="J62" s="6" t="s">
        <v>3216</v>
      </c>
      <c r="K62" s="6" t="s">
        <v>1396</v>
      </c>
      <c r="L62" s="37" t="s">
        <v>3644</v>
      </c>
      <c r="M62" t="s">
        <v>3670</v>
      </c>
    </row>
    <row r="63" spans="1:13">
      <c r="A63" s="26">
        <v>62</v>
      </c>
      <c r="B63" s="6" t="s">
        <v>1726</v>
      </c>
      <c r="C63" s="7">
        <v>2022008217</v>
      </c>
      <c r="D63" s="7">
        <v>2201010971</v>
      </c>
      <c r="E63" s="17" t="s">
        <v>1803</v>
      </c>
      <c r="F63" s="17" t="e">
        <f>VLOOKUP(C63,'Fast Track '!B:C,2,FALSE)</f>
        <v>#N/A</v>
      </c>
      <c r="G63" s="17" t="s">
        <v>3768</v>
      </c>
      <c r="H63" s="6" t="s">
        <v>1727</v>
      </c>
      <c r="I63" s="6" t="s">
        <v>3217</v>
      </c>
      <c r="J63" s="6" t="s">
        <v>3218</v>
      </c>
      <c r="K63" s="6" t="s">
        <v>1396</v>
      </c>
      <c r="L63" s="37" t="s">
        <v>3644</v>
      </c>
      <c r="M63" t="s">
        <v>3670</v>
      </c>
    </row>
    <row r="64" spans="1:13">
      <c r="A64" s="26">
        <v>63</v>
      </c>
      <c r="B64" s="6" t="s">
        <v>1728</v>
      </c>
      <c r="C64" s="7">
        <v>2022008317</v>
      </c>
      <c r="D64" s="7">
        <v>2201010974</v>
      </c>
      <c r="E64" s="17" t="s">
        <v>1803</v>
      </c>
      <c r="F64" s="17" t="e">
        <f>VLOOKUP(C64,'Fast Track '!B:C,2,FALSE)</f>
        <v>#N/A</v>
      </c>
      <c r="G64" s="17" t="s">
        <v>3769</v>
      </c>
      <c r="H64" s="6" t="s">
        <v>1729</v>
      </c>
      <c r="I64" s="6" t="s">
        <v>3219</v>
      </c>
      <c r="J64" s="6" t="s">
        <v>3220</v>
      </c>
      <c r="K64" s="6" t="s">
        <v>1396</v>
      </c>
      <c r="L64" s="37" t="s">
        <v>3644</v>
      </c>
      <c r="M64" t="s">
        <v>3670</v>
      </c>
    </row>
    <row r="65" spans="1:13">
      <c r="A65" s="26">
        <v>64</v>
      </c>
      <c r="B65" s="6" t="s">
        <v>1730</v>
      </c>
      <c r="C65" s="7">
        <v>2022008331</v>
      </c>
      <c r="D65" s="7">
        <v>2201010975</v>
      </c>
      <c r="E65" s="17" t="s">
        <v>1803</v>
      </c>
      <c r="F65" s="17" t="e">
        <f>VLOOKUP(C65,'Fast Track '!B:C,2,FALSE)</f>
        <v>#N/A</v>
      </c>
      <c r="G65" s="17" t="s">
        <v>3770</v>
      </c>
      <c r="H65" s="6" t="s">
        <v>1731</v>
      </c>
      <c r="I65" s="6" t="s">
        <v>3221</v>
      </c>
      <c r="J65" s="6" t="s">
        <v>3222</v>
      </c>
      <c r="K65" s="6" t="s">
        <v>1396</v>
      </c>
      <c r="L65" s="37" t="s">
        <v>3644</v>
      </c>
      <c r="M65" t="s">
        <v>3670</v>
      </c>
    </row>
    <row r="66" spans="1:13">
      <c r="A66" s="26">
        <v>65</v>
      </c>
      <c r="B66" s="6" t="s">
        <v>1789</v>
      </c>
      <c r="C66" s="7">
        <v>2022622988</v>
      </c>
      <c r="D66" s="7">
        <v>2201010977</v>
      </c>
      <c r="E66" s="17" t="s">
        <v>1803</v>
      </c>
      <c r="F66" s="17" t="e">
        <f>VLOOKUP(C66,'Fast Track '!B:C,2,FALSE)</f>
        <v>#N/A</v>
      </c>
      <c r="G66" s="17" t="s">
        <v>3771</v>
      </c>
      <c r="H66" s="6" t="s">
        <v>1790</v>
      </c>
      <c r="I66" s="6" t="s">
        <v>3223</v>
      </c>
      <c r="J66" s="6" t="s">
        <v>3224</v>
      </c>
      <c r="K66" s="6" t="s">
        <v>1396</v>
      </c>
      <c r="L66" s="37" t="s">
        <v>3644</v>
      </c>
      <c r="M66" t="s">
        <v>3670</v>
      </c>
    </row>
  </sheetData>
  <conditionalFormatting sqref="L24:L25">
    <cfRule type="uniqueValues" dxfId="158" priority="8"/>
  </conditionalFormatting>
  <conditionalFormatting sqref="L21:L22">
    <cfRule type="uniqueValues" dxfId="157" priority="406"/>
  </conditionalFormatting>
  <conditionalFormatting sqref="C59:C66">
    <cfRule type="duplicateValues" dxfId="156" priority="4"/>
  </conditionalFormatting>
  <conditionalFormatting sqref="C59:D66">
    <cfRule type="duplicateValues" dxfId="155" priority="2"/>
    <cfRule type="duplicateValues" dxfId="154" priority="3"/>
  </conditionalFormatting>
  <conditionalFormatting sqref="C1">
    <cfRule type="duplicateValues" dxfId="153" priority="803"/>
  </conditionalFormatting>
  <conditionalFormatting sqref="C1:D1">
    <cfRule type="duplicateValues" dxfId="152" priority="805"/>
    <cfRule type="duplicateValues" dxfId="151" priority="806"/>
  </conditionalFormatting>
  <dataValidations count="1">
    <dataValidation type="list" allowBlank="1" showErrorMessage="1" sqref="L2:L66">
      <formula1>"G1,G2"</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M61"/>
  <sheetViews>
    <sheetView topLeftCell="A53" workbookViewId="0">
      <selection activeCell="A62" sqref="A1:XFD1048576"/>
    </sheetView>
  </sheetViews>
  <sheetFormatPr defaultRowHeight="14.5"/>
  <cols>
    <col min="1" max="1" width="5.90625" style="30" bestFit="1" customWidth="1"/>
    <col min="2" max="2" width="30.6328125" bestFit="1" customWidth="1"/>
    <col min="3" max="4" width="11" bestFit="1" customWidth="1"/>
    <col min="5" max="5" width="14.08984375" bestFit="1" customWidth="1"/>
    <col min="6" max="7" width="14.08984375" customWidth="1"/>
    <col min="8" max="9" width="39.36328125" bestFit="1" customWidth="1"/>
    <col min="10" max="10" width="13.54296875" bestFit="1" customWidth="1"/>
    <col min="11" max="11" width="15.6328125" bestFit="1" customWidth="1"/>
    <col min="12" max="12" width="11.54296875" style="38" customWidth="1"/>
  </cols>
  <sheetData>
    <row r="1" spans="1:13" ht="25">
      <c r="A1" s="28" t="s">
        <v>1</v>
      </c>
      <c r="B1" s="1" t="s">
        <v>2</v>
      </c>
      <c r="C1" s="1" t="s">
        <v>3</v>
      </c>
      <c r="D1" s="1" t="s">
        <v>4</v>
      </c>
      <c r="E1" s="1" t="s">
        <v>1817</v>
      </c>
      <c r="F1" s="1"/>
      <c r="G1" s="1"/>
      <c r="H1" s="1" t="s">
        <v>6</v>
      </c>
      <c r="I1" s="1" t="s">
        <v>1819</v>
      </c>
      <c r="J1" s="1" t="s">
        <v>1820</v>
      </c>
      <c r="K1" s="1" t="s">
        <v>7</v>
      </c>
      <c r="L1" s="36" t="s">
        <v>3676</v>
      </c>
      <c r="M1" s="41" t="s">
        <v>3677</v>
      </c>
    </row>
    <row r="2" spans="1:13">
      <c r="A2" s="29">
        <v>1</v>
      </c>
      <c r="B2" s="17" t="s">
        <v>333</v>
      </c>
      <c r="C2" s="17">
        <v>2022480934</v>
      </c>
      <c r="D2" s="17">
        <v>2201010119</v>
      </c>
      <c r="E2" s="17" t="s">
        <v>1804</v>
      </c>
      <c r="F2" s="17" t="e">
        <f>VLOOKUP(C2,'Fast Track '!B:C,2,FALSE)</f>
        <v>#N/A</v>
      </c>
      <c r="G2" s="17" t="s">
        <v>3707</v>
      </c>
      <c r="H2" s="17" t="s">
        <v>334</v>
      </c>
      <c r="I2" s="17" t="str">
        <f>VLOOKUP(C2,Sheet1!D:J,6,FALSE)</f>
        <v>2022480934.sanjivkumar@pt.sharda.ac.in</v>
      </c>
      <c r="J2" s="17" t="str">
        <f>VLOOKUP(D2,Sheet1!E:K,6,FALSE)</f>
        <v>9412810713</v>
      </c>
      <c r="K2" s="17" t="s">
        <v>15</v>
      </c>
      <c r="L2" s="37" t="s">
        <v>3645</v>
      </c>
      <c r="M2" t="s">
        <v>3678</v>
      </c>
    </row>
    <row r="3" spans="1:13">
      <c r="A3" s="29">
        <v>2</v>
      </c>
      <c r="B3" s="17" t="s">
        <v>313</v>
      </c>
      <c r="C3" s="17">
        <v>2022441875</v>
      </c>
      <c r="D3" s="17">
        <v>2201010284</v>
      </c>
      <c r="E3" s="17" t="s">
        <v>1804</v>
      </c>
      <c r="F3" s="17" t="e">
        <f>VLOOKUP(C3,'Fast Track '!B:C,2,FALSE)</f>
        <v>#N/A</v>
      </c>
      <c r="G3" s="17" t="s">
        <v>3708</v>
      </c>
      <c r="H3" s="17" t="s">
        <v>314</v>
      </c>
      <c r="I3" s="17" t="str">
        <f>VLOOKUP(C3,Sheet1!D:J,6,FALSE)</f>
        <v>2022441875.rajesh@pt.sharda.ac.in</v>
      </c>
      <c r="J3" s="17" t="str">
        <f>VLOOKUP(D3,Sheet1!E:K,6,FALSE)</f>
        <v>8766227298</v>
      </c>
      <c r="K3" s="17" t="s">
        <v>15</v>
      </c>
      <c r="L3" s="37" t="s">
        <v>3645</v>
      </c>
      <c r="M3" t="s">
        <v>3678</v>
      </c>
    </row>
    <row r="4" spans="1:13">
      <c r="A4" s="29">
        <v>3</v>
      </c>
      <c r="B4" s="17" t="s">
        <v>369</v>
      </c>
      <c r="C4" s="17">
        <v>2022815775</v>
      </c>
      <c r="D4" s="17">
        <v>2201010416</v>
      </c>
      <c r="E4" s="17" t="s">
        <v>1804</v>
      </c>
      <c r="F4" s="17" t="e">
        <f>VLOOKUP(C4,'Fast Track '!B:C,2,FALSE)</f>
        <v>#N/A</v>
      </c>
      <c r="G4" s="17" t="s">
        <v>3709</v>
      </c>
      <c r="H4" s="17" t="s">
        <v>370</v>
      </c>
      <c r="I4" s="17" t="str">
        <f>VLOOKUP(C4,Sheet1!D:J,6,FALSE)</f>
        <v>2022815775.haziqsayeed@pt.sharda.ac.in</v>
      </c>
      <c r="J4" s="17" t="str">
        <f>VLOOKUP(D4,Sheet1!E:K,6,FALSE)</f>
        <v>9773621064</v>
      </c>
      <c r="K4" s="17" t="s">
        <v>15</v>
      </c>
      <c r="L4" s="37" t="s">
        <v>3645</v>
      </c>
      <c r="M4" t="s">
        <v>3678</v>
      </c>
    </row>
    <row r="5" spans="1:13">
      <c r="A5" s="29">
        <v>4</v>
      </c>
      <c r="B5" s="17" t="s">
        <v>325</v>
      </c>
      <c r="C5" s="17">
        <v>2022472932</v>
      </c>
      <c r="D5" s="17">
        <v>2201010477</v>
      </c>
      <c r="E5" s="17" t="s">
        <v>1804</v>
      </c>
      <c r="F5" s="17" t="e">
        <f>VLOOKUP(C5,'Fast Track '!B:C,2,FALSE)</f>
        <v>#N/A</v>
      </c>
      <c r="G5" s="17" t="s">
        <v>3710</v>
      </c>
      <c r="H5" s="17" t="s">
        <v>326</v>
      </c>
      <c r="I5" s="17" t="str">
        <f>VLOOKUP(C5,Sheet1!D:J,6,FALSE)</f>
        <v>2022472932.ravinder@pt.sharda.ac.in</v>
      </c>
      <c r="J5" s="17" t="str">
        <f>VLOOKUP(D5,Sheet1!E:K,6,FALSE)</f>
        <v>9310501448</v>
      </c>
      <c r="K5" s="17" t="s">
        <v>15</v>
      </c>
      <c r="L5" s="37" t="s">
        <v>3645</v>
      </c>
      <c r="M5" t="s">
        <v>3678</v>
      </c>
    </row>
    <row r="6" spans="1:13">
      <c r="A6" s="29">
        <v>5</v>
      </c>
      <c r="B6" s="17" t="s">
        <v>298</v>
      </c>
      <c r="C6" s="17">
        <v>2022306733</v>
      </c>
      <c r="D6" s="17">
        <v>2201010564</v>
      </c>
      <c r="E6" s="17" t="s">
        <v>1804</v>
      </c>
      <c r="F6" s="17" t="e">
        <f>VLOOKUP(C6,'Fast Track '!B:C,2,FALSE)</f>
        <v>#N/A</v>
      </c>
      <c r="G6" s="17" t="s">
        <v>3711</v>
      </c>
      <c r="H6" s="17" t="s">
        <v>299</v>
      </c>
      <c r="I6" s="17" t="str">
        <f>VLOOKUP(C6,Sheet1!D:J,6,FALSE)</f>
        <v>2022306733.tasaduqahmad@pt.sharda.ac.in</v>
      </c>
      <c r="J6" s="17" t="str">
        <f>VLOOKUP(D6,Sheet1!E:K,6,FALSE)</f>
        <v>9149764797</v>
      </c>
      <c r="K6" s="17" t="s">
        <v>15</v>
      </c>
      <c r="L6" s="37" t="s">
        <v>3645</v>
      </c>
      <c r="M6" t="s">
        <v>3678</v>
      </c>
    </row>
    <row r="7" spans="1:13">
      <c r="A7" s="29">
        <v>6</v>
      </c>
      <c r="B7" s="17" t="s">
        <v>259</v>
      </c>
      <c r="C7" s="17">
        <v>2022437807</v>
      </c>
      <c r="D7" s="17">
        <v>2201010669</v>
      </c>
      <c r="E7" s="17" t="s">
        <v>1804</v>
      </c>
      <c r="F7" s="17" t="e">
        <f>VLOOKUP(C7,'Fast Track '!B:C,2,FALSE)</f>
        <v>#N/A</v>
      </c>
      <c r="G7" s="17" t="s">
        <v>3712</v>
      </c>
      <c r="H7" s="17" t="s">
        <v>312</v>
      </c>
      <c r="I7" s="17" t="str">
        <f>VLOOKUP(C7,Sheet1!D:J,6,FALSE)</f>
        <v>2022437807.arvind@pt.sharda.ac.in</v>
      </c>
      <c r="J7" s="17" t="str">
        <f>VLOOKUP(D7,Sheet1!E:K,6,FALSE)</f>
        <v>8742919690</v>
      </c>
      <c r="K7" s="17" t="s">
        <v>15</v>
      </c>
      <c r="L7" s="37" t="s">
        <v>3645</v>
      </c>
      <c r="M7" t="s">
        <v>3678</v>
      </c>
    </row>
    <row r="8" spans="1:13">
      <c r="A8" s="29">
        <v>7</v>
      </c>
      <c r="B8" s="17" t="s">
        <v>290</v>
      </c>
      <c r="C8" s="17">
        <v>2022005992</v>
      </c>
      <c r="D8" s="17">
        <v>2201010733</v>
      </c>
      <c r="E8" s="17" t="s">
        <v>1804</v>
      </c>
      <c r="F8" s="17" t="e">
        <f>VLOOKUP(C8,'Fast Track '!B:C,2,FALSE)</f>
        <v>#N/A</v>
      </c>
      <c r="G8" s="17" t="s">
        <v>3713</v>
      </c>
      <c r="H8" s="17" t="s">
        <v>291</v>
      </c>
      <c r="I8" s="17" t="str">
        <f>VLOOKUP(C8,Sheet1!D:J,6,FALSE)</f>
        <v>2022005992.harish@pt.sharda.ac.in</v>
      </c>
      <c r="J8" s="17" t="str">
        <f>VLOOKUP(D8,Sheet1!E:K,6,FALSE)</f>
        <v>9318402815</v>
      </c>
      <c r="K8" s="17" t="s">
        <v>15</v>
      </c>
      <c r="L8" s="37" t="s">
        <v>3645</v>
      </c>
      <c r="M8" t="s">
        <v>3678</v>
      </c>
    </row>
    <row r="9" spans="1:13">
      <c r="A9" s="29">
        <v>8</v>
      </c>
      <c r="B9" s="17" t="s">
        <v>365</v>
      </c>
      <c r="C9" s="17">
        <v>2022608746</v>
      </c>
      <c r="D9" s="17">
        <v>2201010898</v>
      </c>
      <c r="E9" s="17" t="s">
        <v>1804</v>
      </c>
      <c r="F9" s="17" t="e">
        <f>VLOOKUP(C9,'Fast Track '!B:C,2,FALSE)</f>
        <v>#N/A</v>
      </c>
      <c r="G9" s="17" t="s">
        <v>3714</v>
      </c>
      <c r="H9" s="17" t="s">
        <v>366</v>
      </c>
      <c r="I9" s="17" t="str">
        <f>VLOOKUP(C9,Sheet1!D:J,6,FALSE)</f>
        <v>2022608746.sachin@pt.sharda.ac.in</v>
      </c>
      <c r="J9" s="17" t="str">
        <f>VLOOKUP(D9,Sheet1!E:K,6,FALSE)</f>
        <v>9068356626</v>
      </c>
      <c r="K9" s="17" t="s">
        <v>15</v>
      </c>
      <c r="L9" s="37" t="s">
        <v>3645</v>
      </c>
      <c r="M9" t="s">
        <v>3678</v>
      </c>
    </row>
    <row r="10" spans="1:13">
      <c r="A10" s="29">
        <v>9</v>
      </c>
      <c r="B10" s="17" t="s">
        <v>434</v>
      </c>
      <c r="C10" s="17">
        <v>2022410342</v>
      </c>
      <c r="D10" s="17">
        <v>2201010039</v>
      </c>
      <c r="E10" s="17" t="s">
        <v>1804</v>
      </c>
      <c r="F10" s="17" t="e">
        <f>VLOOKUP(C10,'Fast Track '!B:C,2,FALSE)</f>
        <v>#N/A</v>
      </c>
      <c r="G10" s="17" t="s">
        <v>3715</v>
      </c>
      <c r="H10" s="17" t="s">
        <v>435</v>
      </c>
      <c r="I10" s="17" t="str">
        <f>VLOOKUP(C10,Sheet1!D:J,6,FALSE)</f>
        <v>2022410342.shriprakash@pt.sharda.ac.in</v>
      </c>
      <c r="J10" s="17" t="str">
        <f>VLOOKUP(D10,Sheet1!E:K,6,FALSE)</f>
        <v>9122841000</v>
      </c>
      <c r="K10" s="17" t="s">
        <v>15</v>
      </c>
      <c r="L10" s="37" t="s">
        <v>3645</v>
      </c>
      <c r="M10" t="s">
        <v>3678</v>
      </c>
    </row>
    <row r="11" spans="1:13">
      <c r="A11" s="29">
        <v>10</v>
      </c>
      <c r="B11" s="17" t="s">
        <v>501</v>
      </c>
      <c r="C11" s="17">
        <v>2022544781</v>
      </c>
      <c r="D11" s="17">
        <v>2201010131</v>
      </c>
      <c r="E11" s="17" t="s">
        <v>1804</v>
      </c>
      <c r="F11" s="17" t="e">
        <f>VLOOKUP(C11,'Fast Track '!B:C,2,FALSE)</f>
        <v>#N/A</v>
      </c>
      <c r="G11" s="17" t="s">
        <v>3716</v>
      </c>
      <c r="H11" s="17" t="s">
        <v>502</v>
      </c>
      <c r="I11" s="17" t="str">
        <f>VLOOKUP(C11,Sheet1!D:J,6,FALSE)</f>
        <v>2022544781.chandrashekhar@pt.sharda.ac.in</v>
      </c>
      <c r="J11" s="17" t="str">
        <f>VLOOKUP(D11,Sheet1!E:K,6,FALSE)</f>
        <v>9204633508</v>
      </c>
      <c r="K11" s="17" t="s">
        <v>15</v>
      </c>
      <c r="L11" s="37" t="s">
        <v>3645</v>
      </c>
      <c r="M11" t="s">
        <v>3678</v>
      </c>
    </row>
    <row r="12" spans="1:13">
      <c r="A12" s="29">
        <v>11</v>
      </c>
      <c r="B12" s="17" t="s">
        <v>481</v>
      </c>
      <c r="C12" s="17">
        <v>2022517877</v>
      </c>
      <c r="D12" s="17">
        <v>2201010401</v>
      </c>
      <c r="E12" s="17" t="s">
        <v>1804</v>
      </c>
      <c r="F12" s="17" t="e">
        <f>VLOOKUP(C12,'Fast Track '!B:C,2,FALSE)</f>
        <v>#N/A</v>
      </c>
      <c r="G12" s="17" t="s">
        <v>3717</v>
      </c>
      <c r="H12" s="17" t="s">
        <v>482</v>
      </c>
      <c r="I12" s="17" t="str">
        <f>VLOOKUP(C12,Sheet1!D:J,6,FALSE)</f>
        <v>2022517877.mehboob@pt.sharda.ac.in</v>
      </c>
      <c r="J12" s="17" t="str">
        <f>VLOOKUP(D12,Sheet1!E:K,6,FALSE)</f>
        <v>8218268108</v>
      </c>
      <c r="K12" s="17" t="s">
        <v>15</v>
      </c>
      <c r="L12" s="37" t="s">
        <v>3645</v>
      </c>
      <c r="M12" t="s">
        <v>3678</v>
      </c>
    </row>
    <row r="13" spans="1:13">
      <c r="A13" s="29">
        <v>12</v>
      </c>
      <c r="B13" s="17" t="s">
        <v>276</v>
      </c>
      <c r="C13" s="17">
        <v>2022004737</v>
      </c>
      <c r="D13" s="17">
        <v>2201010594</v>
      </c>
      <c r="E13" s="17" t="s">
        <v>1804</v>
      </c>
      <c r="F13" s="17" t="e">
        <f>VLOOKUP(C13,'Fast Track '!B:C,2,FALSE)</f>
        <v>#N/A</v>
      </c>
      <c r="G13" s="17" t="s">
        <v>3718</v>
      </c>
      <c r="H13" s="17" t="s">
        <v>277</v>
      </c>
      <c r="I13" s="17" t="str">
        <f>VLOOKUP(C13,Sheet1!D:J,6,FALSE)</f>
        <v>2022004737.sudhir@pt.sharda.ac.in</v>
      </c>
      <c r="J13" s="17" t="str">
        <f>VLOOKUP(D13,Sheet1!E:K,6,FALSE)</f>
        <v>8700933859</v>
      </c>
      <c r="K13" s="17" t="s">
        <v>15</v>
      </c>
      <c r="L13" s="37" t="s">
        <v>3645</v>
      </c>
      <c r="M13" t="s">
        <v>3678</v>
      </c>
    </row>
    <row r="14" spans="1:13">
      <c r="A14" s="29">
        <v>13</v>
      </c>
      <c r="B14" s="17" t="s">
        <v>456</v>
      </c>
      <c r="C14" s="17">
        <v>2022474990</v>
      </c>
      <c r="D14" s="17">
        <v>2201010553</v>
      </c>
      <c r="E14" s="17" t="s">
        <v>1804</v>
      </c>
      <c r="F14" s="17" t="e">
        <f>VLOOKUP(C14,'Fast Track '!B:C,2,FALSE)</f>
        <v>#N/A</v>
      </c>
      <c r="G14" s="17" t="s">
        <v>3719</v>
      </c>
      <c r="H14" s="17" t="s">
        <v>457</v>
      </c>
      <c r="I14" s="17" t="str">
        <f>VLOOKUP(C14,Sheet1!D:J,6,FALSE)</f>
        <v>2022474990.manish@pt.sharda.ac.in</v>
      </c>
      <c r="J14" s="17" t="str">
        <f>VLOOKUP(D14,Sheet1!E:K,6,FALSE)</f>
        <v>9760197197</v>
      </c>
      <c r="K14" s="17" t="s">
        <v>15</v>
      </c>
      <c r="L14" s="37" t="s">
        <v>3645</v>
      </c>
      <c r="M14" t="s">
        <v>3678</v>
      </c>
    </row>
    <row r="15" spans="1:13">
      <c r="A15" s="29">
        <v>14</v>
      </c>
      <c r="B15" s="17" t="s">
        <v>444</v>
      </c>
      <c r="C15" s="17">
        <v>2022448095</v>
      </c>
      <c r="D15" s="17">
        <v>2201010575</v>
      </c>
      <c r="E15" s="17" t="s">
        <v>1804</v>
      </c>
      <c r="F15" s="17" t="e">
        <f>VLOOKUP(C15,'Fast Track '!B:C,2,FALSE)</f>
        <v>#N/A</v>
      </c>
      <c r="G15" s="17" t="s">
        <v>3720</v>
      </c>
      <c r="H15" s="17" t="s">
        <v>445</v>
      </c>
      <c r="I15" s="17" t="str">
        <f>VLOOKUP(C15,Sheet1!D:J,6,FALSE)</f>
        <v>2022448095.rameshkumar@pt.sharda.ac.in</v>
      </c>
      <c r="J15" s="17" t="str">
        <f>VLOOKUP(D15,Sheet1!E:K,6,FALSE)</f>
        <v>9120743440</v>
      </c>
      <c r="K15" s="17" t="s">
        <v>15</v>
      </c>
      <c r="L15" s="37" t="s">
        <v>3645</v>
      </c>
      <c r="M15" t="s">
        <v>3678</v>
      </c>
    </row>
    <row r="16" spans="1:13">
      <c r="A16" s="29">
        <v>15</v>
      </c>
      <c r="B16" s="17" t="s">
        <v>489</v>
      </c>
      <c r="C16" s="17">
        <v>2022526985</v>
      </c>
      <c r="D16" s="17">
        <v>2201010581</v>
      </c>
      <c r="E16" s="17" t="s">
        <v>1804</v>
      </c>
      <c r="F16" s="17" t="e">
        <f>VLOOKUP(C16,'Fast Track '!B:C,2,FALSE)</f>
        <v>#N/A</v>
      </c>
      <c r="G16" s="17" t="s">
        <v>3721</v>
      </c>
      <c r="H16" s="17" t="s">
        <v>490</v>
      </c>
      <c r="I16" s="17" t="str">
        <f>VLOOKUP(C16,Sheet1!D:J,6,FALSE)</f>
        <v>2022526985.rajeshkumar@pt.sharda.ac.in</v>
      </c>
      <c r="J16" s="17" t="str">
        <f>VLOOKUP(D16,Sheet1!E:K,6,FALSE)</f>
        <v>9569076557</v>
      </c>
      <c r="K16" s="17" t="s">
        <v>15</v>
      </c>
      <c r="L16" s="37" t="s">
        <v>3645</v>
      </c>
      <c r="M16" t="s">
        <v>3678</v>
      </c>
    </row>
    <row r="17" spans="1:13">
      <c r="A17" s="29">
        <v>16</v>
      </c>
      <c r="B17" s="17" t="s">
        <v>406</v>
      </c>
      <c r="C17" s="17">
        <v>2022004280</v>
      </c>
      <c r="D17" s="17">
        <v>2201010591</v>
      </c>
      <c r="E17" s="17" t="s">
        <v>1804</v>
      </c>
      <c r="F17" s="17" t="e">
        <f>VLOOKUP(C17,'Fast Track '!B:C,2,FALSE)</f>
        <v>#N/A</v>
      </c>
      <c r="G17" s="17" t="s">
        <v>3722</v>
      </c>
      <c r="H17" s="17" t="s">
        <v>407</v>
      </c>
      <c r="I17" s="17" t="str">
        <f>VLOOKUP(C17,Sheet1!D:J,6,FALSE)</f>
        <v>2022004280.deepak@pt.sharda.ac.in</v>
      </c>
      <c r="J17" s="17" t="str">
        <f>VLOOKUP(D17,Sheet1!E:K,6,FALSE)</f>
        <v>9878949921</v>
      </c>
      <c r="K17" s="17" t="s">
        <v>15</v>
      </c>
      <c r="L17" s="37" t="s">
        <v>3645</v>
      </c>
      <c r="M17" t="s">
        <v>3678</v>
      </c>
    </row>
    <row r="18" spans="1:13">
      <c r="A18" s="29">
        <v>17</v>
      </c>
      <c r="B18" s="17" t="s">
        <v>272</v>
      </c>
      <c r="C18" s="17">
        <v>2022004675</v>
      </c>
      <c r="D18" s="17">
        <v>2201010596</v>
      </c>
      <c r="E18" s="17" t="s">
        <v>1804</v>
      </c>
      <c r="F18" s="17" t="e">
        <f>VLOOKUP(C18,'Fast Track '!B:C,2,FALSE)</f>
        <v>#N/A</v>
      </c>
      <c r="G18" s="17" t="s">
        <v>3723</v>
      </c>
      <c r="H18" s="17" t="s">
        <v>273</v>
      </c>
      <c r="I18" s="17" t="str">
        <f>VLOOKUP(C18,Sheet1!D:J,6,FALSE)</f>
        <v>2022004675.manish@pt.sharda.ac.in</v>
      </c>
      <c r="J18" s="17" t="str">
        <f>VLOOKUP(D18,Sheet1!E:K,6,FALSE)</f>
        <v>9199424192</v>
      </c>
      <c r="K18" s="17" t="s">
        <v>15</v>
      </c>
      <c r="L18" s="37" t="s">
        <v>3645</v>
      </c>
      <c r="M18" t="s">
        <v>3678</v>
      </c>
    </row>
    <row r="19" spans="1:13">
      <c r="A19" s="29">
        <v>18</v>
      </c>
      <c r="B19" s="17" t="s">
        <v>416</v>
      </c>
      <c r="C19" s="17">
        <v>2022007543</v>
      </c>
      <c r="D19" s="17">
        <v>2201010851</v>
      </c>
      <c r="E19" s="17" t="s">
        <v>1804</v>
      </c>
      <c r="F19" s="17" t="e">
        <f>VLOOKUP(C19,'Fast Track '!B:C,2,FALSE)</f>
        <v>#N/A</v>
      </c>
      <c r="G19" s="17" t="s">
        <v>3724</v>
      </c>
      <c r="H19" s="17" t="s">
        <v>417</v>
      </c>
      <c r="I19" s="17" t="str">
        <f>VLOOKUP(C19,Sheet1!D:J,6,FALSE)</f>
        <v>2022007543.rajesh@pt.sharda.ac.in</v>
      </c>
      <c r="J19" s="17" t="str">
        <f>VLOOKUP(D19,Sheet1!E:K,6,FALSE)</f>
        <v>9625563966</v>
      </c>
      <c r="K19" s="17" t="s">
        <v>15</v>
      </c>
      <c r="L19" s="37" t="s">
        <v>3645</v>
      </c>
      <c r="M19" t="s">
        <v>3678</v>
      </c>
    </row>
    <row r="20" spans="1:13">
      <c r="A20" s="29">
        <v>19</v>
      </c>
      <c r="B20" s="17" t="s">
        <v>577</v>
      </c>
      <c r="C20" s="17">
        <v>2022433132</v>
      </c>
      <c r="D20" s="17">
        <v>2201010015</v>
      </c>
      <c r="E20" s="17" t="s">
        <v>1804</v>
      </c>
      <c r="F20" s="17" t="e">
        <f>VLOOKUP(C20,'Fast Track '!B:C,2,FALSE)</f>
        <v>#N/A</v>
      </c>
      <c r="G20" s="17" t="s">
        <v>3725</v>
      </c>
      <c r="H20" s="17" t="s">
        <v>578</v>
      </c>
      <c r="I20" s="17" t="str">
        <f>VLOOKUP(C20,Sheet1!D:J,6,FALSE)</f>
        <v>2022433132.amal@pt.sharda.ac.in</v>
      </c>
      <c r="J20" s="17" t="str">
        <f>VLOOKUP(D20,Sheet1!E:K,6,FALSE)</f>
        <v>9026662038</v>
      </c>
      <c r="K20" s="17" t="s">
        <v>15</v>
      </c>
      <c r="L20" s="37" t="s">
        <v>3645</v>
      </c>
      <c r="M20" t="s">
        <v>3678</v>
      </c>
    </row>
    <row r="21" spans="1:13">
      <c r="A21" s="29">
        <v>20</v>
      </c>
      <c r="B21" s="17" t="s">
        <v>618</v>
      </c>
      <c r="C21" s="17">
        <v>2022530377</v>
      </c>
      <c r="D21" s="17">
        <v>2201010273</v>
      </c>
      <c r="E21" s="17" t="s">
        <v>1804</v>
      </c>
      <c r="F21" s="17" t="e">
        <f>VLOOKUP(C21,'Fast Track '!B:C,2,FALSE)</f>
        <v>#N/A</v>
      </c>
      <c r="G21" s="17" t="s">
        <v>3726</v>
      </c>
      <c r="H21" s="17" t="s">
        <v>619</v>
      </c>
      <c r="I21" s="17" t="str">
        <f>VLOOKUP(C21,Sheet1!D:J,6,FALSE)</f>
        <v>2022530377.harishankar@pt.sharda.ac.in</v>
      </c>
      <c r="J21" s="17" t="str">
        <f>VLOOKUP(D21,Sheet1!E:K,6,FALSE)</f>
        <v>7668900069</v>
      </c>
      <c r="K21" s="17" t="s">
        <v>15</v>
      </c>
      <c r="L21" s="37" t="s">
        <v>3645</v>
      </c>
      <c r="M21" t="s">
        <v>3678</v>
      </c>
    </row>
    <row r="22" spans="1:13">
      <c r="A22" s="29">
        <v>21</v>
      </c>
      <c r="B22" s="17" t="s">
        <v>612</v>
      </c>
      <c r="C22" s="17">
        <v>2022516793</v>
      </c>
      <c r="D22" s="17">
        <v>2201010377</v>
      </c>
      <c r="E22" s="17" t="s">
        <v>1804</v>
      </c>
      <c r="F22" s="17" t="e">
        <f>VLOOKUP(C22,'Fast Track '!B:C,2,FALSE)</f>
        <v>#N/A</v>
      </c>
      <c r="G22" s="17" t="s">
        <v>3727</v>
      </c>
      <c r="H22" s="17" t="s">
        <v>613</v>
      </c>
      <c r="I22" s="17" t="str">
        <f>VLOOKUP(C22,Sheet1!D:J,6,FALSE)</f>
        <v>2022516793.pannalal@pt.sharda.ac.in</v>
      </c>
      <c r="J22" s="17" t="str">
        <f>VLOOKUP(D22,Sheet1!E:K,6,FALSE)</f>
        <v>9198829393</v>
      </c>
      <c r="K22" s="17" t="s">
        <v>15</v>
      </c>
      <c r="L22" s="37" t="s">
        <v>3645</v>
      </c>
      <c r="M22" t="s">
        <v>3678</v>
      </c>
    </row>
    <row r="23" spans="1:13">
      <c r="A23" s="29">
        <v>22</v>
      </c>
      <c r="B23" s="17" t="s">
        <v>575</v>
      </c>
      <c r="C23" s="17">
        <v>2022428593</v>
      </c>
      <c r="D23" s="17">
        <v>2201010571</v>
      </c>
      <c r="E23" s="17" t="s">
        <v>1804</v>
      </c>
      <c r="F23" s="17" t="e">
        <f>VLOOKUP(C23,'Fast Track '!B:C,2,FALSE)</f>
        <v>#N/A</v>
      </c>
      <c r="G23" s="17" t="s">
        <v>3728</v>
      </c>
      <c r="H23" s="17" t="s">
        <v>576</v>
      </c>
      <c r="I23" s="17" t="str">
        <f>VLOOKUP(C23,Sheet1!D:J,6,FALSE)</f>
        <v>2022428593.dwipanjal@pt.sharda.ac.in</v>
      </c>
      <c r="J23" s="17" t="str">
        <f>VLOOKUP(D23,Sheet1!E:K,6,FALSE)</f>
        <v>8011998716</v>
      </c>
      <c r="K23" s="17" t="s">
        <v>15</v>
      </c>
      <c r="L23" s="37" t="s">
        <v>3645</v>
      </c>
      <c r="M23" t="s">
        <v>3678</v>
      </c>
    </row>
    <row r="24" spans="1:13">
      <c r="A24" s="29">
        <v>23</v>
      </c>
      <c r="B24" s="17" t="s">
        <v>637</v>
      </c>
      <c r="C24" s="17">
        <v>2022811446</v>
      </c>
      <c r="D24" s="17">
        <v>2201010600</v>
      </c>
      <c r="E24" s="17" t="s">
        <v>1804</v>
      </c>
      <c r="F24" s="17" t="e">
        <f>VLOOKUP(C24,'Fast Track '!B:C,2,FALSE)</f>
        <v>#N/A</v>
      </c>
      <c r="G24" s="17" t="s">
        <v>3729</v>
      </c>
      <c r="H24" s="17" t="s">
        <v>638</v>
      </c>
      <c r="I24" s="17" t="str">
        <f>VLOOKUP(C24,Sheet1!D:J,6,FALSE)</f>
        <v>2022811446.devender@pt.sharda.ac.in</v>
      </c>
      <c r="J24" s="17" t="str">
        <f>VLOOKUP(D24,Sheet1!E:K,6,FALSE)</f>
        <v>9064547302</v>
      </c>
      <c r="K24" s="17" t="s">
        <v>15</v>
      </c>
      <c r="L24" s="37" t="s">
        <v>3645</v>
      </c>
      <c r="M24" t="s">
        <v>3678</v>
      </c>
    </row>
    <row r="25" spans="1:13">
      <c r="A25" s="29">
        <v>24</v>
      </c>
      <c r="B25" s="17" t="s">
        <v>645</v>
      </c>
      <c r="C25" s="17">
        <v>2022006609</v>
      </c>
      <c r="D25" s="17">
        <v>2201010606</v>
      </c>
      <c r="E25" s="17" t="s">
        <v>1804</v>
      </c>
      <c r="F25" s="17" t="e">
        <f>VLOOKUP(C25,'Fast Track '!B:C,2,FALSE)</f>
        <v>#N/A</v>
      </c>
      <c r="G25" s="17" t="s">
        <v>3730</v>
      </c>
      <c r="H25" s="17" t="s">
        <v>646</v>
      </c>
      <c r="I25" s="17" t="str">
        <f>VLOOKUP(C25,Sheet1!D:J,6,FALSE)</f>
        <v>2022006609.ramesh@pt.sharda.ac.in</v>
      </c>
      <c r="J25" s="17" t="str">
        <f>VLOOKUP(D25,Sheet1!E:K,6,FALSE)</f>
        <v>8009622418</v>
      </c>
      <c r="K25" s="17" t="s">
        <v>15</v>
      </c>
      <c r="L25" s="37" t="s">
        <v>3645</v>
      </c>
      <c r="M25" t="s">
        <v>3678</v>
      </c>
    </row>
    <row r="26" spans="1:13">
      <c r="A26" s="29">
        <v>25</v>
      </c>
      <c r="B26" s="17" t="s">
        <v>602</v>
      </c>
      <c r="C26" s="17">
        <v>2022508269</v>
      </c>
      <c r="D26" s="17">
        <v>2201010687</v>
      </c>
      <c r="E26" s="17" t="s">
        <v>1804</v>
      </c>
      <c r="F26" s="17" t="e">
        <f>VLOOKUP(C26,'Fast Track '!B:C,2,FALSE)</f>
        <v>#N/A</v>
      </c>
      <c r="G26" s="17" t="s">
        <v>3731</v>
      </c>
      <c r="H26" s="17" t="s">
        <v>603</v>
      </c>
      <c r="I26" s="17" t="str">
        <f>VLOOKUP(C26,Sheet1!D:J,6,FALSE)</f>
        <v>2022508269.alok@pt.sharda.ac.in</v>
      </c>
      <c r="J26" s="17" t="str">
        <f>VLOOKUP(D26,Sheet1!E:K,6,FALSE)</f>
        <v>8115622991</v>
      </c>
      <c r="K26" s="17" t="s">
        <v>15</v>
      </c>
      <c r="L26" s="37" t="s">
        <v>3645</v>
      </c>
      <c r="M26" t="s">
        <v>3678</v>
      </c>
    </row>
    <row r="27" spans="1:13">
      <c r="A27" s="29">
        <v>26</v>
      </c>
      <c r="B27" s="17" t="s">
        <v>592</v>
      </c>
      <c r="C27" s="17">
        <v>2022503088</v>
      </c>
      <c r="D27" s="17">
        <v>2201010716</v>
      </c>
      <c r="E27" s="17" t="s">
        <v>1804</v>
      </c>
      <c r="F27" s="17" t="e">
        <f>VLOOKUP(C27,'Fast Track '!B:C,2,FALSE)</f>
        <v>#N/A</v>
      </c>
      <c r="G27" s="17" t="s">
        <v>3732</v>
      </c>
      <c r="H27" s="17" t="s">
        <v>593</v>
      </c>
      <c r="I27" s="17" t="str">
        <f>VLOOKUP(C27,Sheet1!D:J,6,FALSE)</f>
        <v>2022503088.patwardhan@pt.sharda.ac.in</v>
      </c>
      <c r="J27" s="17" t="str">
        <f>VLOOKUP(D27,Sheet1!E:K,6,FALSE)</f>
        <v>9627522860</v>
      </c>
      <c r="K27" s="17" t="s">
        <v>15</v>
      </c>
      <c r="L27" s="37" t="s">
        <v>3645</v>
      </c>
      <c r="M27" t="s">
        <v>3678</v>
      </c>
    </row>
    <row r="28" spans="1:13">
      <c r="A28" s="29">
        <v>27</v>
      </c>
      <c r="B28" s="17" t="s">
        <v>629</v>
      </c>
      <c r="C28" s="17">
        <v>2022554244</v>
      </c>
      <c r="D28" s="17">
        <v>2201010800</v>
      </c>
      <c r="E28" s="17" t="s">
        <v>1804</v>
      </c>
      <c r="F28" s="17" t="e">
        <f>VLOOKUP(C28,'Fast Track '!B:C,2,FALSE)</f>
        <v>#N/A</v>
      </c>
      <c r="G28" s="17" t="s">
        <v>3733</v>
      </c>
      <c r="H28" s="17" t="s">
        <v>630</v>
      </c>
      <c r="I28" s="17" t="str">
        <f>VLOOKUP(C28,Sheet1!D:J,6,FALSE)</f>
        <v>2022554244.durgeshnarayan@pt.sharda.ac.in</v>
      </c>
      <c r="J28" s="17" t="str">
        <f>VLOOKUP(D28,Sheet1!E:K,6,FALSE)</f>
        <v>8130176899</v>
      </c>
      <c r="K28" s="17" t="s">
        <v>15</v>
      </c>
      <c r="L28" s="37" t="s">
        <v>3645</v>
      </c>
      <c r="M28" t="s">
        <v>3678</v>
      </c>
    </row>
    <row r="29" spans="1:13">
      <c r="A29" s="29">
        <v>28</v>
      </c>
      <c r="B29" s="17" t="s">
        <v>541</v>
      </c>
      <c r="C29" s="17">
        <v>2022003343</v>
      </c>
      <c r="D29" s="17">
        <v>2201010828</v>
      </c>
      <c r="E29" s="17" t="s">
        <v>1804</v>
      </c>
      <c r="F29" s="17" t="e">
        <f>VLOOKUP(C29,'Fast Track '!B:C,2,FALSE)</f>
        <v>#N/A</v>
      </c>
      <c r="G29" s="17" t="s">
        <v>3734</v>
      </c>
      <c r="H29" s="17" t="s">
        <v>542</v>
      </c>
      <c r="I29" s="17" t="str">
        <f>VLOOKUP(C29,Sheet1!D:J,6,FALSE)</f>
        <v>2022003343.riyaz@pt.sharda.ac.in</v>
      </c>
      <c r="J29" s="17" t="str">
        <f>VLOOKUP(D29,Sheet1!E:K,6,FALSE)</f>
        <v>8082951516</v>
      </c>
      <c r="K29" s="17" t="s">
        <v>15</v>
      </c>
      <c r="L29" s="37" t="s">
        <v>3645</v>
      </c>
      <c r="M29" t="s">
        <v>3678</v>
      </c>
    </row>
    <row r="30" spans="1:13">
      <c r="A30" s="29">
        <v>29</v>
      </c>
      <c r="B30" s="17" t="s">
        <v>652</v>
      </c>
      <c r="C30" s="17">
        <v>2022561995</v>
      </c>
      <c r="D30" s="17">
        <v>2201010300</v>
      </c>
      <c r="E30" s="17" t="s">
        <v>1804</v>
      </c>
      <c r="F30" s="17" t="e">
        <f>VLOOKUP(C30,'Fast Track '!B:C,2,FALSE)</f>
        <v>#N/A</v>
      </c>
      <c r="G30" s="17" t="s">
        <v>3735</v>
      </c>
      <c r="H30" s="17" t="s">
        <v>653</v>
      </c>
      <c r="I30" s="17" t="str">
        <f>VLOOKUP(C30,Sheet1!D:J,6,FALSE)</f>
        <v>2022561995.gurmeet@pt.sharda.ac.in</v>
      </c>
      <c r="J30" s="17" t="str">
        <f>VLOOKUP(D30,Sheet1!E:K,6,FALSE)</f>
        <v>9818398438</v>
      </c>
      <c r="K30" s="17" t="s">
        <v>15</v>
      </c>
      <c r="L30" s="37" t="s">
        <v>3645</v>
      </c>
      <c r="M30" t="s">
        <v>3678</v>
      </c>
    </row>
    <row r="31" spans="1:13">
      <c r="A31" s="29">
        <v>30</v>
      </c>
      <c r="B31" s="17" t="s">
        <v>650</v>
      </c>
      <c r="C31" s="17">
        <v>2022528691</v>
      </c>
      <c r="D31" s="17">
        <v>2201010547</v>
      </c>
      <c r="E31" s="17" t="s">
        <v>1804</v>
      </c>
      <c r="F31" s="17" t="e">
        <f>VLOOKUP(C31,'Fast Track '!B:C,2,FALSE)</f>
        <v>#N/A</v>
      </c>
      <c r="G31" s="17" t="s">
        <v>3736</v>
      </c>
      <c r="H31" s="17" t="s">
        <v>651</v>
      </c>
      <c r="I31" s="17" t="str">
        <f>VLOOKUP(C31,Sheet1!D:J,6,FALSE)</f>
        <v>2022528691.virendrapratap@pt.sharda.ac.in</v>
      </c>
      <c r="J31" s="17" t="str">
        <f>VLOOKUP(D31,Sheet1!E:K,6,FALSE)</f>
        <v>7991355789</v>
      </c>
      <c r="K31" s="33" t="s">
        <v>15</v>
      </c>
      <c r="L31" s="37" t="s">
        <v>3644</v>
      </c>
      <c r="M31" t="s">
        <v>3651</v>
      </c>
    </row>
    <row r="32" spans="1:13">
      <c r="A32" s="29">
        <v>31</v>
      </c>
      <c r="B32" s="17" t="s">
        <v>645</v>
      </c>
      <c r="C32" s="17">
        <v>2022582528</v>
      </c>
      <c r="D32" s="17">
        <v>2201010608</v>
      </c>
      <c r="E32" s="17" t="s">
        <v>1804</v>
      </c>
      <c r="F32" s="17" t="e">
        <f>VLOOKUP(C32,'Fast Track '!B:C,2,FALSE)</f>
        <v>#N/A</v>
      </c>
      <c r="G32" s="17" t="s">
        <v>3737</v>
      </c>
      <c r="H32" s="17" t="s">
        <v>767</v>
      </c>
      <c r="I32" s="17" t="str">
        <f>VLOOKUP(C32,Sheet1!D:J,6,FALSE)</f>
        <v>2022582528.santosh@pt.sharda.ac.in</v>
      </c>
      <c r="J32" s="17" t="str">
        <f>VLOOKUP(D32,Sheet1!E:K,6,FALSE)</f>
        <v>6204202216</v>
      </c>
      <c r="K32" s="33" t="s">
        <v>15</v>
      </c>
      <c r="L32" s="37" t="s">
        <v>3644</v>
      </c>
      <c r="M32" t="s">
        <v>3651</v>
      </c>
    </row>
    <row r="33" spans="1:13">
      <c r="A33" s="29">
        <v>32</v>
      </c>
      <c r="B33" s="17" t="s">
        <v>720</v>
      </c>
      <c r="C33" s="17">
        <v>2022501073</v>
      </c>
      <c r="D33" s="17">
        <v>2201010650</v>
      </c>
      <c r="E33" s="17" t="s">
        <v>1804</v>
      </c>
      <c r="F33" s="17" t="e">
        <f>VLOOKUP(C33,'Fast Track '!B:C,2,FALSE)</f>
        <v>#N/A</v>
      </c>
      <c r="G33" s="17" t="s">
        <v>3738</v>
      </c>
      <c r="H33" s="17" t="s">
        <v>721</v>
      </c>
      <c r="I33" s="17" t="str">
        <f>VLOOKUP(C33,Sheet1!D:J,6,FALSE)</f>
        <v>2022501073.rammoorat@pt.sharda.ac.in</v>
      </c>
      <c r="J33" s="17" t="str">
        <f>VLOOKUP(D33,Sheet1!E:K,6,FALSE)</f>
        <v>6392812854</v>
      </c>
      <c r="K33" s="33" t="s">
        <v>15</v>
      </c>
      <c r="L33" s="37" t="s">
        <v>3644</v>
      </c>
      <c r="M33" t="s">
        <v>3651</v>
      </c>
    </row>
    <row r="34" spans="1:13">
      <c r="A34" s="29">
        <v>33</v>
      </c>
      <c r="B34" s="17" t="s">
        <v>765</v>
      </c>
      <c r="C34" s="17">
        <v>2022511567</v>
      </c>
      <c r="D34" s="17">
        <v>2201010701</v>
      </c>
      <c r="E34" s="17" t="s">
        <v>1804</v>
      </c>
      <c r="F34" s="17" t="e">
        <f>VLOOKUP(C34,'Fast Track '!B:C,2,FALSE)</f>
        <v>#N/A</v>
      </c>
      <c r="G34" s="17" t="s">
        <v>3739</v>
      </c>
      <c r="H34" s="17" t="s">
        <v>766</v>
      </c>
      <c r="I34" s="17" t="str">
        <f>VLOOKUP(C34,Sheet1!D:J,6,FALSE)</f>
        <v>2022511567.paras@pt.sharda.ac.in</v>
      </c>
      <c r="J34" s="17" t="str">
        <f>VLOOKUP(D34,Sheet1!E:K,6,FALSE)</f>
        <v>9304983303</v>
      </c>
      <c r="K34" s="33" t="s">
        <v>15</v>
      </c>
      <c r="L34" s="40" t="s">
        <v>3644</v>
      </c>
      <c r="M34" t="s">
        <v>3651</v>
      </c>
    </row>
    <row r="35" spans="1:13">
      <c r="A35" s="29">
        <v>34</v>
      </c>
      <c r="B35" s="17" t="s">
        <v>375</v>
      </c>
      <c r="C35" s="17">
        <v>2022552668</v>
      </c>
      <c r="D35" s="17">
        <v>2201010794</v>
      </c>
      <c r="E35" s="17" t="s">
        <v>1804</v>
      </c>
      <c r="F35" s="17" t="e">
        <f>VLOOKUP(C35,'Fast Track '!B:C,2,FALSE)</f>
        <v>#N/A</v>
      </c>
      <c r="G35" s="17" t="s">
        <v>3740</v>
      </c>
      <c r="H35" s="17" t="s">
        <v>726</v>
      </c>
      <c r="I35" s="17" t="str">
        <f>VLOOKUP(C35,Sheet1!D:J,6,FALSE)</f>
        <v>2022552668.pramodkumar@pt.sharda.ac.in</v>
      </c>
      <c r="J35" s="17" t="str">
        <f>VLOOKUP(D35,Sheet1!E:K,6,FALSE)</f>
        <v>9334859848</v>
      </c>
      <c r="K35" s="33" t="s">
        <v>15</v>
      </c>
      <c r="L35" s="37" t="s">
        <v>3644</v>
      </c>
      <c r="M35" t="s">
        <v>3651</v>
      </c>
    </row>
    <row r="36" spans="1:13">
      <c r="A36" s="29">
        <v>35</v>
      </c>
      <c r="B36" s="17" t="s">
        <v>699</v>
      </c>
      <c r="C36" s="17">
        <v>2022007786</v>
      </c>
      <c r="D36" s="17">
        <v>2201010863</v>
      </c>
      <c r="E36" s="17" t="s">
        <v>1804</v>
      </c>
      <c r="F36" s="17" t="e">
        <f>VLOOKUP(C36,'Fast Track '!B:C,2,FALSE)</f>
        <v>#N/A</v>
      </c>
      <c r="G36" s="17" t="s">
        <v>3741</v>
      </c>
      <c r="H36" s="17" t="s">
        <v>700</v>
      </c>
      <c r="I36" s="17" t="str">
        <f>VLOOKUP(C36,Sheet1!D:J,6,FALSE)</f>
        <v>2022007786.rajesh@pt.sharda.ac.in</v>
      </c>
      <c r="J36" s="17" t="str">
        <f>VLOOKUP(D36,Sheet1!E:K,6,FALSE)</f>
        <v>8178462808</v>
      </c>
      <c r="K36" s="33" t="s">
        <v>15</v>
      </c>
      <c r="L36" s="37" t="s">
        <v>3644</v>
      </c>
      <c r="M36" t="s">
        <v>3651</v>
      </c>
    </row>
    <row r="37" spans="1:13">
      <c r="A37" s="29">
        <v>36</v>
      </c>
      <c r="B37" s="17" t="s">
        <v>618</v>
      </c>
      <c r="C37" s="17">
        <v>2022604034</v>
      </c>
      <c r="D37" s="17">
        <v>2201010895</v>
      </c>
      <c r="E37" s="17" t="s">
        <v>1804</v>
      </c>
      <c r="F37" s="17" t="e">
        <f>VLOOKUP(C37,'Fast Track '!B:C,2,FALSE)</f>
        <v>#N/A</v>
      </c>
      <c r="G37" s="17" t="s">
        <v>3742</v>
      </c>
      <c r="H37" s="17" t="s">
        <v>738</v>
      </c>
      <c r="I37" s="17" t="str">
        <f>VLOOKUP(C37,Sheet1!D:J,6,FALSE)</f>
        <v>2022604034.manoj@pt.sharda.ac.in</v>
      </c>
      <c r="J37" s="17" t="str">
        <f>VLOOKUP(D37,Sheet1!E:K,6,FALSE)</f>
        <v>9368580206</v>
      </c>
      <c r="K37" s="33" t="s">
        <v>15</v>
      </c>
      <c r="L37" s="37" t="s">
        <v>3644</v>
      </c>
      <c r="M37" t="s">
        <v>3651</v>
      </c>
    </row>
    <row r="38" spans="1:13">
      <c r="A38" s="29">
        <v>37</v>
      </c>
      <c r="B38" s="17" t="s">
        <v>357</v>
      </c>
      <c r="C38" s="17">
        <v>2022509625</v>
      </c>
      <c r="D38" s="17">
        <v>2201010018</v>
      </c>
      <c r="E38" s="17" t="s">
        <v>1804</v>
      </c>
      <c r="F38" s="17" t="e">
        <f>VLOOKUP(C38,'Fast Track '!B:C,2,FALSE)</f>
        <v>#N/A</v>
      </c>
      <c r="G38" s="17" t="s">
        <v>3743</v>
      </c>
      <c r="H38" s="17" t="s">
        <v>358</v>
      </c>
      <c r="I38" s="17" t="str">
        <f>VLOOKUP(C38,Sheet1!D:J,6,FALSE)</f>
        <v>2022509625.bhuwanchandra@pt.sharda.ac.in</v>
      </c>
      <c r="J38" s="17" t="str">
        <f>VLOOKUP(D38,Sheet1!E:K,6,FALSE)</f>
        <v>9873301731</v>
      </c>
      <c r="K38" s="33" t="s">
        <v>15</v>
      </c>
      <c r="L38" s="37" t="s">
        <v>3644</v>
      </c>
      <c r="M38" t="s">
        <v>3651</v>
      </c>
    </row>
    <row r="39" spans="1:13">
      <c r="A39" s="29">
        <v>38</v>
      </c>
      <c r="B39" s="17" t="s">
        <v>302</v>
      </c>
      <c r="C39" s="17">
        <v>2022344459</v>
      </c>
      <c r="D39" s="17">
        <v>2201010069</v>
      </c>
      <c r="E39" s="17" t="s">
        <v>1804</v>
      </c>
      <c r="F39" s="17" t="e">
        <f>VLOOKUP(C39,'Fast Track '!B:C,2,FALSE)</f>
        <v>#N/A</v>
      </c>
      <c r="G39" s="17" t="s">
        <v>3744</v>
      </c>
      <c r="H39" s="17" t="s">
        <v>303</v>
      </c>
      <c r="I39" s="17" t="str">
        <f>VLOOKUP(C39,Sheet1!D:J,6,FALSE)</f>
        <v>2022344459.foraj@pt.sharda.ac.in</v>
      </c>
      <c r="J39" s="17" t="str">
        <f>VLOOKUP(D39,Sheet1!E:K,6,FALSE)</f>
        <v>6002934584</v>
      </c>
      <c r="K39" s="33" t="s">
        <v>15</v>
      </c>
      <c r="L39" s="37" t="s">
        <v>3644</v>
      </c>
      <c r="M39" t="s">
        <v>3651</v>
      </c>
    </row>
    <row r="40" spans="1:13">
      <c r="A40" s="29">
        <v>39</v>
      </c>
      <c r="B40" s="17" t="s">
        <v>349</v>
      </c>
      <c r="C40" s="17">
        <v>2022506074</v>
      </c>
      <c r="D40" s="17">
        <v>2201010150</v>
      </c>
      <c r="E40" s="17" t="s">
        <v>1804</v>
      </c>
      <c r="F40" s="17" t="e">
        <f>VLOOKUP(C40,'Fast Track '!B:C,2,FALSE)</f>
        <v>#N/A</v>
      </c>
      <c r="G40" s="17" t="s">
        <v>3745</v>
      </c>
      <c r="H40" s="17" t="s">
        <v>350</v>
      </c>
      <c r="I40" s="17" t="str">
        <f>VLOOKUP(C40,Sheet1!D:J,6,FALSE)</f>
        <v>2022506074.rajeev@pt.sharda.ac.in</v>
      </c>
      <c r="J40" s="17" t="str">
        <f>VLOOKUP(D40,Sheet1!E:K,6,FALSE)</f>
        <v>8595724282</v>
      </c>
      <c r="K40" s="33" t="s">
        <v>15</v>
      </c>
      <c r="L40" s="37" t="s">
        <v>3644</v>
      </c>
      <c r="M40" t="s">
        <v>3651</v>
      </c>
    </row>
    <row r="41" spans="1:13">
      <c r="A41" s="29">
        <v>40</v>
      </c>
      <c r="B41" s="17" t="s">
        <v>270</v>
      </c>
      <c r="C41" s="17">
        <v>2022004442</v>
      </c>
      <c r="D41" s="17">
        <v>2201010379</v>
      </c>
      <c r="E41" s="17" t="s">
        <v>1804</v>
      </c>
      <c r="F41" s="17" t="e">
        <f>VLOOKUP(C41,'Fast Track '!B:C,2,FALSE)</f>
        <v>#N/A</v>
      </c>
      <c r="G41" s="17" t="s">
        <v>3746</v>
      </c>
      <c r="H41" s="17" t="s">
        <v>271</v>
      </c>
      <c r="I41" s="17" t="str">
        <f>VLOOKUP(C41,Sheet1!D:J,6,FALSE)</f>
        <v>2022004442.ehtasham@pt.sharda.ac.in</v>
      </c>
      <c r="J41" s="17" t="str">
        <f>VLOOKUP(D41,Sheet1!E:K,6,FALSE)</f>
        <v>9958225120</v>
      </c>
      <c r="K41" s="33" t="s">
        <v>15</v>
      </c>
      <c r="L41" s="37" t="s">
        <v>3644</v>
      </c>
      <c r="M41" t="s">
        <v>3651</v>
      </c>
    </row>
    <row r="42" spans="1:13">
      <c r="A42" s="29">
        <v>41</v>
      </c>
      <c r="B42" s="17" t="s">
        <v>367</v>
      </c>
      <c r="C42" s="17">
        <v>2022807476</v>
      </c>
      <c r="D42" s="17">
        <v>2201010485</v>
      </c>
      <c r="E42" s="17" t="s">
        <v>1804</v>
      </c>
      <c r="F42" s="17" t="e">
        <f>VLOOKUP(C42,'Fast Track '!B:C,2,FALSE)</f>
        <v>#N/A</v>
      </c>
      <c r="G42" s="17" t="s">
        <v>3747</v>
      </c>
      <c r="H42" s="17" t="s">
        <v>368</v>
      </c>
      <c r="I42" s="17" t="str">
        <f>VLOOKUP(C42,Sheet1!D:J,6,FALSE)</f>
        <v>2022807476.williams@pt.sharda.ac.in</v>
      </c>
      <c r="J42" s="17" t="str">
        <f>VLOOKUP(D42,Sheet1!E:K,6,FALSE)</f>
        <v>8794720814</v>
      </c>
      <c r="K42" s="33" t="s">
        <v>15</v>
      </c>
      <c r="L42" s="37" t="s">
        <v>3644</v>
      </c>
      <c r="M42" t="s">
        <v>3651</v>
      </c>
    </row>
    <row r="43" spans="1:13">
      <c r="A43" s="29">
        <v>42</v>
      </c>
      <c r="B43" s="17" t="s">
        <v>286</v>
      </c>
      <c r="C43" s="17">
        <v>2022005582</v>
      </c>
      <c r="D43" s="17">
        <v>2201010505</v>
      </c>
      <c r="E43" s="17" t="s">
        <v>1804</v>
      </c>
      <c r="F43" s="17" t="e">
        <f>VLOOKUP(C43,'Fast Track '!B:C,2,FALSE)</f>
        <v>#N/A</v>
      </c>
      <c r="G43" s="17" t="s">
        <v>3748</v>
      </c>
      <c r="H43" s="17" t="s">
        <v>287</v>
      </c>
      <c r="I43" s="17" t="str">
        <f>VLOOKUP(C43,Sheet1!D:J,6,FALSE)</f>
        <v>2022005582.praveenkumar@pt.sharda.ac.in</v>
      </c>
      <c r="J43" s="17" t="str">
        <f>VLOOKUP(D43,Sheet1!E:K,6,FALSE)</f>
        <v>8383846696</v>
      </c>
      <c r="K43" s="33" t="s">
        <v>15</v>
      </c>
      <c r="L43" s="37" t="s">
        <v>3644</v>
      </c>
      <c r="M43" t="s">
        <v>3651</v>
      </c>
    </row>
    <row r="44" spans="1:13">
      <c r="A44" s="29">
        <v>43</v>
      </c>
      <c r="B44" s="17" t="s">
        <v>345</v>
      </c>
      <c r="C44" s="17">
        <v>2022502729</v>
      </c>
      <c r="D44" s="17">
        <v>2201010622</v>
      </c>
      <c r="E44" s="17" t="s">
        <v>1804</v>
      </c>
      <c r="F44" s="17" t="e">
        <f>VLOOKUP(C44,'Fast Track '!B:C,2,FALSE)</f>
        <v>#N/A</v>
      </c>
      <c r="G44" s="17" t="s">
        <v>3749</v>
      </c>
      <c r="H44" s="17" t="s">
        <v>346</v>
      </c>
      <c r="I44" s="17" t="str">
        <f>VLOOKUP(C44,Sheet1!D:J,6,FALSE)</f>
        <v>2022502729.brijmohan@pt.sharda.ac.in</v>
      </c>
      <c r="J44" s="17" t="str">
        <f>VLOOKUP(D44,Sheet1!E:K,6,FALSE)</f>
        <v>9334319291</v>
      </c>
      <c r="K44" s="33" t="s">
        <v>15</v>
      </c>
      <c r="L44" s="37" t="s">
        <v>3644</v>
      </c>
      <c r="M44" t="s">
        <v>3651</v>
      </c>
    </row>
    <row r="45" spans="1:13">
      <c r="A45" s="29">
        <v>44</v>
      </c>
      <c r="B45" s="17" t="s">
        <v>304</v>
      </c>
      <c r="C45" s="17">
        <v>2022359008</v>
      </c>
      <c r="D45" s="17">
        <v>2201010586</v>
      </c>
      <c r="E45" s="17" t="s">
        <v>1804</v>
      </c>
      <c r="F45" s="17" t="e">
        <f>VLOOKUP(C45,'Fast Track '!B:C,2,FALSE)</f>
        <v>#N/A</v>
      </c>
      <c r="G45" s="17" t="s">
        <v>3750</v>
      </c>
      <c r="H45" s="17" t="s">
        <v>305</v>
      </c>
      <c r="I45" s="17" t="str">
        <f>VLOOKUP(C45,Sheet1!D:J,6,FALSE)</f>
        <v>2022359008.atul@pt.sharda.ac.in</v>
      </c>
      <c r="J45" s="17" t="str">
        <f>VLOOKUP(D45,Sheet1!E:K,6,FALSE)</f>
        <v>8218723077</v>
      </c>
      <c r="K45" s="33" t="s">
        <v>15</v>
      </c>
      <c r="L45" s="40" t="s">
        <v>3644</v>
      </c>
      <c r="M45" t="s">
        <v>3651</v>
      </c>
    </row>
    <row r="46" spans="1:13">
      <c r="A46" s="29">
        <v>45</v>
      </c>
      <c r="B46" s="17" t="s">
        <v>329</v>
      </c>
      <c r="C46" s="17">
        <v>2022478479</v>
      </c>
      <c r="D46" s="17">
        <v>2201010602</v>
      </c>
      <c r="E46" s="17" t="s">
        <v>1804</v>
      </c>
      <c r="F46" s="17" t="e">
        <f>VLOOKUP(C46,'Fast Track '!B:C,2,FALSE)</f>
        <v>#N/A</v>
      </c>
      <c r="G46" s="17" t="s">
        <v>3751</v>
      </c>
      <c r="H46" s="17" t="s">
        <v>330</v>
      </c>
      <c r="I46" s="17" t="str">
        <f>VLOOKUP(C46,Sheet1!D:J,6,FALSE)</f>
        <v>2022478479.satendra@pt.sharda.ac.in</v>
      </c>
      <c r="J46" s="17" t="str">
        <f>VLOOKUP(D46,Sheet1!E:K,6,FALSE)</f>
        <v>9311867527</v>
      </c>
      <c r="K46" s="33" t="s">
        <v>15</v>
      </c>
      <c r="L46" s="37" t="s">
        <v>3644</v>
      </c>
      <c r="M46" t="s">
        <v>3651</v>
      </c>
    </row>
    <row r="47" spans="1:13">
      <c r="A47" s="29">
        <v>46</v>
      </c>
      <c r="B47" s="17" t="s">
        <v>278</v>
      </c>
      <c r="C47" s="17">
        <v>2022004757</v>
      </c>
      <c r="D47" s="17">
        <v>2201010779</v>
      </c>
      <c r="E47" s="17" t="s">
        <v>1804</v>
      </c>
      <c r="F47" s="17" t="e">
        <f>VLOOKUP(C47,'Fast Track '!B:C,2,FALSE)</f>
        <v>#N/A</v>
      </c>
      <c r="G47" s="17" t="s">
        <v>3752</v>
      </c>
      <c r="H47" s="17" t="s">
        <v>279</v>
      </c>
      <c r="I47" s="17" t="str">
        <f>VLOOKUP(C47,Sheet1!D:J,6,FALSE)</f>
        <v>2022004757.pramod@pt.sharda.ac.in</v>
      </c>
      <c r="J47" s="17" t="str">
        <f>VLOOKUP(D47,Sheet1!E:K,6,FALSE)</f>
        <v>8210881736</v>
      </c>
      <c r="K47" s="33" t="s">
        <v>15</v>
      </c>
      <c r="L47" s="37" t="s">
        <v>3644</v>
      </c>
      <c r="M47" t="s">
        <v>3651</v>
      </c>
    </row>
    <row r="48" spans="1:13">
      <c r="A48" s="29">
        <v>47</v>
      </c>
      <c r="B48" s="17" t="s">
        <v>768</v>
      </c>
      <c r="C48" s="17">
        <v>2022614550</v>
      </c>
      <c r="D48" s="17">
        <v>2201010901</v>
      </c>
      <c r="E48" s="17" t="s">
        <v>1804</v>
      </c>
      <c r="F48" s="17" t="e">
        <f>VLOOKUP(C48,'Fast Track '!B:C,2,FALSE)</f>
        <v>#N/A</v>
      </c>
      <c r="G48" s="17" t="s">
        <v>3753</v>
      </c>
      <c r="H48" s="17" t="s">
        <v>769</v>
      </c>
      <c r="I48" s="17" t="str">
        <f>VLOOKUP(C48,Sheet1!D:J,6,FALSE)</f>
        <v>2022614550.raikindi@pt.sharda.ac.in</v>
      </c>
      <c r="J48" s="17" t="str">
        <f>VLOOKUP(D48,Sheet1!E:K,6,FALSE)</f>
        <v>8639664896</v>
      </c>
      <c r="K48" s="33" t="s">
        <v>15</v>
      </c>
      <c r="L48" s="37" t="s">
        <v>3644</v>
      </c>
      <c r="M48" t="s">
        <v>3651</v>
      </c>
    </row>
    <row r="49" spans="1:13">
      <c r="A49" s="29">
        <v>48</v>
      </c>
      <c r="B49" s="17" t="s">
        <v>308</v>
      </c>
      <c r="C49" s="17">
        <v>2022414495</v>
      </c>
      <c r="D49" s="17">
        <v>2201010682</v>
      </c>
      <c r="E49" s="17" t="s">
        <v>1804</v>
      </c>
      <c r="F49" s="17" t="e">
        <f>VLOOKUP(C49,'Fast Track '!B:C,2,FALSE)</f>
        <v>#N/A</v>
      </c>
      <c r="G49" s="17" t="s">
        <v>3754</v>
      </c>
      <c r="H49" s="17" t="s">
        <v>309</v>
      </c>
      <c r="I49" s="17" t="str">
        <f>VLOOKUP(C49,Sheet1!D:J,6,FALSE)</f>
        <v>2022414495.anil@pt.sharda.ac.in</v>
      </c>
      <c r="J49" s="17" t="str">
        <f>VLOOKUP(D49,Sheet1!E:K,6,FALSE)</f>
        <v>8929988090</v>
      </c>
      <c r="K49" s="33" t="s">
        <v>15</v>
      </c>
      <c r="L49" s="37" t="s">
        <v>3644</v>
      </c>
      <c r="M49" t="s">
        <v>3651</v>
      </c>
    </row>
    <row r="50" spans="1:13">
      <c r="A50" s="29">
        <v>49</v>
      </c>
      <c r="B50" s="17" t="s">
        <v>460</v>
      </c>
      <c r="C50" s="17">
        <v>2022481431</v>
      </c>
      <c r="D50" s="17">
        <v>2201010213</v>
      </c>
      <c r="E50" s="17" t="s">
        <v>1804</v>
      </c>
      <c r="F50" s="17" t="e">
        <f>VLOOKUP(C50,'Fast Track '!B:C,2,FALSE)</f>
        <v>#N/A</v>
      </c>
      <c r="G50" s="17" t="s">
        <v>3755</v>
      </c>
      <c r="H50" s="17" t="s">
        <v>461</v>
      </c>
      <c r="I50" s="17" t="str">
        <f>VLOOKUP(C50,Sheet1!D:J,6,FALSE)</f>
        <v>2022481431.ashish@pt.sharda.ac.in</v>
      </c>
      <c r="J50" s="17" t="str">
        <f>VLOOKUP(D50,Sheet1!E:K,6,FALSE)</f>
        <v>8271442413</v>
      </c>
      <c r="K50" s="33" t="s">
        <v>15</v>
      </c>
      <c r="L50" s="40" t="s">
        <v>3644</v>
      </c>
      <c r="M50" t="s">
        <v>3651</v>
      </c>
    </row>
    <row r="51" spans="1:13">
      <c r="A51" s="29">
        <v>50</v>
      </c>
      <c r="B51" s="17" t="s">
        <v>402</v>
      </c>
      <c r="C51" s="17">
        <v>2022003691</v>
      </c>
      <c r="D51" s="17">
        <v>2201010245</v>
      </c>
      <c r="E51" s="17" t="s">
        <v>1804</v>
      </c>
      <c r="F51" s="17" t="e">
        <f>VLOOKUP(C51,'Fast Track '!B:C,2,FALSE)</f>
        <v>#N/A</v>
      </c>
      <c r="G51" s="17" t="s">
        <v>3756</v>
      </c>
      <c r="H51" s="17" t="s">
        <v>403</v>
      </c>
      <c r="I51" s="17" t="str">
        <f>VLOOKUP(C51,Sheet1!D:J,6,FALSE)</f>
        <v>2022003691.jitendra@pt.sharda.ac.in</v>
      </c>
      <c r="J51" s="17" t="str">
        <f>VLOOKUP(D51,Sheet1!E:K,6,FALSE)</f>
        <v>9368976764</v>
      </c>
      <c r="K51" s="33" t="s">
        <v>15</v>
      </c>
      <c r="L51" s="37" t="s">
        <v>3644</v>
      </c>
      <c r="M51" t="s">
        <v>3651</v>
      </c>
    </row>
    <row r="52" spans="1:13">
      <c r="A52" s="29">
        <v>51</v>
      </c>
      <c r="B52" s="17" t="s">
        <v>390</v>
      </c>
      <c r="C52" s="17">
        <v>2022567867</v>
      </c>
      <c r="D52" s="17">
        <v>2201010333</v>
      </c>
      <c r="E52" s="17" t="s">
        <v>1804</v>
      </c>
      <c r="F52" s="17" t="e">
        <f>VLOOKUP(C52,'Fast Track '!B:C,2,FALSE)</f>
        <v>#N/A</v>
      </c>
      <c r="G52" s="17" t="s">
        <v>3757</v>
      </c>
      <c r="H52" s="17" t="s">
        <v>391</v>
      </c>
      <c r="I52" s="17" t="str">
        <f>VLOOKUP(C52,Sheet1!D:J,6,FALSE)</f>
        <v>2022567867.ajitkumar@pt.sharda.ac.in</v>
      </c>
      <c r="J52" s="17" t="str">
        <f>VLOOKUP(D52,Sheet1!E:K,6,FALSE)</f>
        <v>9721049602</v>
      </c>
      <c r="K52" s="33" t="s">
        <v>15</v>
      </c>
      <c r="L52" s="37" t="s">
        <v>3644</v>
      </c>
      <c r="M52" t="s">
        <v>3651</v>
      </c>
    </row>
    <row r="53" spans="1:13">
      <c r="A53" s="29">
        <v>52</v>
      </c>
      <c r="B53" s="17" t="s">
        <v>463</v>
      </c>
      <c r="C53" s="17">
        <v>2022484252</v>
      </c>
      <c r="D53" s="17">
        <v>2201010731</v>
      </c>
      <c r="E53" s="17" t="s">
        <v>1804</v>
      </c>
      <c r="F53" s="17" t="e">
        <f>VLOOKUP(C53,'Fast Track '!B:C,2,FALSE)</f>
        <v>#N/A</v>
      </c>
      <c r="G53" s="17" t="s">
        <v>3758</v>
      </c>
      <c r="H53" s="17" t="s">
        <v>464</v>
      </c>
      <c r="I53" s="17" t="str">
        <f>VLOOKUP(C53,Sheet1!D:J,6,FALSE)</f>
        <v>2022484252.manoj@pt.sharda.ac.in</v>
      </c>
      <c r="J53" s="17" t="str">
        <f>VLOOKUP(D53,Sheet1!E:K,6,FALSE)</f>
        <v>8210930523</v>
      </c>
      <c r="K53" s="33" t="s">
        <v>15</v>
      </c>
      <c r="L53" s="37" t="s">
        <v>3644</v>
      </c>
      <c r="M53" t="s">
        <v>3651</v>
      </c>
    </row>
    <row r="54" spans="1:13">
      <c r="A54" s="29">
        <v>53</v>
      </c>
      <c r="B54" s="17" t="s">
        <v>392</v>
      </c>
      <c r="C54" s="17">
        <v>2022607404</v>
      </c>
      <c r="D54" s="17">
        <v>2201010896</v>
      </c>
      <c r="E54" s="17" t="s">
        <v>1804</v>
      </c>
      <c r="F54" s="17" t="e">
        <f>VLOOKUP(C54,'Fast Track '!B:C,2,FALSE)</f>
        <v>#N/A</v>
      </c>
      <c r="G54" s="17" t="s">
        <v>3759</v>
      </c>
      <c r="H54" s="17" t="s">
        <v>393</v>
      </c>
      <c r="I54" s="17" t="str">
        <f>VLOOKUP(C54,Sheet1!D:J,6,FALSE)</f>
        <v>2022607404.kadugulaamulya@pt.sharda.ac.in</v>
      </c>
      <c r="J54" s="17" t="str">
        <f>VLOOKUP(D54,Sheet1!E:K,6,FALSE)</f>
        <v>9958983309</v>
      </c>
      <c r="K54" s="33" t="s">
        <v>15</v>
      </c>
      <c r="L54" s="40" t="s">
        <v>3644</v>
      </c>
      <c r="M54" t="s">
        <v>3651</v>
      </c>
    </row>
    <row r="55" spans="1:13">
      <c r="A55" s="29">
        <v>54</v>
      </c>
      <c r="B55" s="17" t="s">
        <v>776</v>
      </c>
      <c r="C55" s="17">
        <v>2023000910</v>
      </c>
      <c r="D55" s="17">
        <v>2301017001</v>
      </c>
      <c r="E55" s="17" t="s">
        <v>1804</v>
      </c>
      <c r="F55" s="17" t="e">
        <f>VLOOKUP(C55,'Fast Track '!B:C,2,FALSE)</f>
        <v>#N/A</v>
      </c>
      <c r="G55" s="17" t="s">
        <v>3760</v>
      </c>
      <c r="H55" s="17" t="s">
        <v>777</v>
      </c>
      <c r="I55" s="17" t="str">
        <f>VLOOKUP(C55,Sheet1!D:J,6,FALSE)</f>
        <v>2023000910.ajay@pt.sharda.ac.in</v>
      </c>
      <c r="J55" s="17" t="str">
        <f>VLOOKUP(D55,Sheet1!E:K,6,FALSE)</f>
        <v>9455644313</v>
      </c>
      <c r="K55" s="33" t="s">
        <v>15</v>
      </c>
      <c r="L55" s="37" t="s">
        <v>3644</v>
      </c>
      <c r="M55" t="s">
        <v>3651</v>
      </c>
    </row>
    <row r="56" spans="1:13">
      <c r="A56" s="29">
        <v>55</v>
      </c>
      <c r="B56" s="17" t="s">
        <v>545</v>
      </c>
      <c r="C56" s="17">
        <v>2022005613</v>
      </c>
      <c r="D56" s="17">
        <v>2201010628</v>
      </c>
      <c r="E56" s="17" t="s">
        <v>1804</v>
      </c>
      <c r="F56" s="17" t="e">
        <f>VLOOKUP(C56,'Fast Track '!B:C,2,FALSE)</f>
        <v>#N/A</v>
      </c>
      <c r="G56" s="17" t="s">
        <v>3761</v>
      </c>
      <c r="H56" s="17" t="s">
        <v>546</v>
      </c>
      <c r="I56" s="17" t="str">
        <f>VLOOKUP(C56,Sheet1!D:J,6,FALSE)</f>
        <v>2022005613.praveen@pt.sharda.ac.in</v>
      </c>
      <c r="J56" s="17" t="str">
        <f>VLOOKUP(D56,Sheet1!E:K,6,FALSE)</f>
        <v>9899728401</v>
      </c>
      <c r="K56" s="33" t="s">
        <v>15</v>
      </c>
      <c r="L56" s="37" t="s">
        <v>3644</v>
      </c>
      <c r="M56" t="s">
        <v>3651</v>
      </c>
    </row>
    <row r="57" spans="1:13">
      <c r="A57" s="29">
        <v>56</v>
      </c>
      <c r="B57" s="17" t="s">
        <v>567</v>
      </c>
      <c r="C57" s="17">
        <v>2022363409</v>
      </c>
      <c r="D57" s="17">
        <v>2201010818</v>
      </c>
      <c r="E57" s="17" t="s">
        <v>1804</v>
      </c>
      <c r="F57" s="17" t="e">
        <f>VLOOKUP(C57,'Fast Track '!B:C,2,FALSE)</f>
        <v>#N/A</v>
      </c>
      <c r="G57" s="17" t="s">
        <v>3762</v>
      </c>
      <c r="H57" s="17" t="s">
        <v>568</v>
      </c>
      <c r="I57" s="17" t="str">
        <f>VLOOKUP(C57,Sheet1!D:J,6,FALSE)</f>
        <v>2022363409.yennisrinivasa@pt.sharda.ac.in</v>
      </c>
      <c r="J57" s="17" t="str">
        <f>VLOOKUP(D57,Sheet1!E:K,6,FALSE)</f>
        <v>8287434773</v>
      </c>
      <c r="K57" s="33" t="s">
        <v>15</v>
      </c>
      <c r="L57" s="40" t="s">
        <v>3644</v>
      </c>
      <c r="M57" t="s">
        <v>3651</v>
      </c>
    </row>
    <row r="58" spans="1:13">
      <c r="A58" s="29">
        <v>57</v>
      </c>
      <c r="B58" s="17" t="s">
        <v>722</v>
      </c>
      <c r="C58" s="17">
        <v>2022525962</v>
      </c>
      <c r="D58" s="17">
        <v>2201010034</v>
      </c>
      <c r="E58" s="17" t="s">
        <v>1804</v>
      </c>
      <c r="F58" s="17" t="e">
        <f>VLOOKUP(C58,'Fast Track '!B:C,2,FALSE)</f>
        <v>#N/A</v>
      </c>
      <c r="G58" s="17" t="s">
        <v>3763</v>
      </c>
      <c r="H58" s="17" t="s">
        <v>723</v>
      </c>
      <c r="I58" s="17" t="str">
        <f>VLOOKUP(C58,Sheet1!D:J,6,FALSE)</f>
        <v>2022525962.rajeshkumar@pt.sharda.ac.in</v>
      </c>
      <c r="J58" s="17" t="str">
        <f>VLOOKUP(D58,Sheet1!E:K,6,FALSE)</f>
        <v>7979715916</v>
      </c>
      <c r="K58" s="33" t="s">
        <v>15</v>
      </c>
      <c r="L58" s="37" t="s">
        <v>3644</v>
      </c>
      <c r="M58" t="s">
        <v>3651</v>
      </c>
    </row>
    <row r="59" spans="1:13">
      <c r="A59" s="29">
        <v>58</v>
      </c>
      <c r="B59" s="17" t="s">
        <v>755</v>
      </c>
      <c r="C59" s="17">
        <v>2022007202</v>
      </c>
      <c r="D59" s="17">
        <v>2201010254</v>
      </c>
      <c r="E59" s="17" t="s">
        <v>1804</v>
      </c>
      <c r="F59" s="17" t="e">
        <f>VLOOKUP(C59,'Fast Track '!B:C,2,FALSE)</f>
        <v>#N/A</v>
      </c>
      <c r="G59" s="17" t="s">
        <v>3764</v>
      </c>
      <c r="H59" s="17" t="s">
        <v>756</v>
      </c>
      <c r="I59" s="17" t="str">
        <f>VLOOKUP(C59,Sheet1!D:J,6,FALSE)</f>
        <v>2022007202.nootan@pt.sharda.ac.in</v>
      </c>
      <c r="J59" s="17" t="str">
        <f>VLOOKUP(D59,Sheet1!E:K,6,FALSE)</f>
        <v>9045186230</v>
      </c>
      <c r="K59" s="33" t="s">
        <v>15</v>
      </c>
      <c r="L59" s="37" t="s">
        <v>3644</v>
      </c>
      <c r="M59" t="s">
        <v>3651</v>
      </c>
    </row>
    <row r="60" spans="1:13">
      <c r="A60" s="29">
        <v>59</v>
      </c>
      <c r="B60" s="17" t="s">
        <v>715</v>
      </c>
      <c r="C60" s="17">
        <v>2022464792</v>
      </c>
      <c r="D60" s="17">
        <v>2201010557</v>
      </c>
      <c r="E60" s="17" t="s">
        <v>1804</v>
      </c>
      <c r="F60" s="17" t="e">
        <f>VLOOKUP(C60,'Fast Track '!B:C,2,FALSE)</f>
        <v>#N/A</v>
      </c>
      <c r="G60" s="17" t="s">
        <v>3765</v>
      </c>
      <c r="H60" s="17" t="s">
        <v>716</v>
      </c>
      <c r="I60" s="17" t="str">
        <f>VLOOKUP(C60,Sheet1!D:J,6,FALSE)</f>
        <v>2022464792.ashish@pt.sharda.ac.in</v>
      </c>
      <c r="J60" s="17" t="str">
        <f>VLOOKUP(D60,Sheet1!E:K,6,FALSE)</f>
        <v>9205390709</v>
      </c>
      <c r="K60" s="33" t="s">
        <v>15</v>
      </c>
      <c r="L60" s="37" t="s">
        <v>3644</v>
      </c>
      <c r="M60" t="s">
        <v>3651</v>
      </c>
    </row>
    <row r="61" spans="1:13">
      <c r="A61" s="29">
        <v>60</v>
      </c>
      <c r="B61" s="17" t="s">
        <v>315</v>
      </c>
      <c r="C61" s="17">
        <v>2022446378</v>
      </c>
      <c r="D61" s="17">
        <v>2201010160</v>
      </c>
      <c r="E61" s="17" t="s">
        <v>1804</v>
      </c>
      <c r="F61" s="17" t="e">
        <f>VLOOKUP(C61,'Fast Track '!B:C,2,FALSE)</f>
        <v>#N/A</v>
      </c>
      <c r="G61" s="17" t="s">
        <v>3766</v>
      </c>
      <c r="H61" s="17" t="s">
        <v>316</v>
      </c>
      <c r="I61" s="17" t="str">
        <f>VLOOKUP(C61,Sheet1!D:J,6,FALSE)</f>
        <v>2022446378.arun@pt.sharda.ac.in</v>
      </c>
      <c r="J61" s="17" t="str">
        <f>VLOOKUP(D61,Sheet1!E:K,6,FALSE)</f>
        <v>6201817713</v>
      </c>
      <c r="K61" s="33" t="s">
        <v>15</v>
      </c>
      <c r="L61" s="37" t="s">
        <v>3644</v>
      </c>
      <c r="M61" t="s">
        <v>3651</v>
      </c>
    </row>
  </sheetData>
  <conditionalFormatting sqref="C1">
    <cfRule type="duplicateValues" dxfId="150" priority="807"/>
  </conditionalFormatting>
  <conditionalFormatting sqref="C1:D1">
    <cfRule type="duplicateValues" dxfId="149" priority="809"/>
    <cfRule type="duplicateValues" dxfId="148" priority="810"/>
  </conditionalFormatting>
  <dataValidations count="1">
    <dataValidation type="list" allowBlank="1" showErrorMessage="1" sqref="L2:L61">
      <formula1>"G1,G2"</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M87"/>
  <sheetViews>
    <sheetView workbookViewId="0">
      <selection activeCell="A2" sqref="A2:N87"/>
    </sheetView>
  </sheetViews>
  <sheetFormatPr defaultRowHeight="14.5"/>
  <cols>
    <col min="1" max="1" width="8.90625" style="27"/>
    <col min="2" max="2" width="17.90625" bestFit="1" customWidth="1"/>
    <col min="3" max="3" width="13.6328125" customWidth="1"/>
    <col min="4" max="4" width="11" bestFit="1" customWidth="1"/>
    <col min="5" max="5" width="14.36328125" bestFit="1" customWidth="1"/>
    <col min="6" max="7" width="14.36328125" customWidth="1"/>
    <col min="8" max="8" width="34.08984375" bestFit="1" customWidth="1"/>
    <col min="9" max="9" width="39.08984375" bestFit="1" customWidth="1"/>
    <col min="10" max="10" width="14.54296875" bestFit="1" customWidth="1"/>
    <col min="11" max="11" width="15.6328125" bestFit="1" customWidth="1"/>
    <col min="12" max="12" width="11.54296875" style="38" customWidth="1"/>
  </cols>
  <sheetData>
    <row r="1" spans="1:13" ht="25">
      <c r="A1" s="1" t="s">
        <v>1</v>
      </c>
      <c r="B1" s="1" t="s">
        <v>2</v>
      </c>
      <c r="C1" s="1" t="s">
        <v>3</v>
      </c>
      <c r="D1" s="1" t="s">
        <v>4</v>
      </c>
      <c r="E1" s="1" t="s">
        <v>1817</v>
      </c>
      <c r="F1" s="1"/>
      <c r="G1" s="1"/>
      <c r="H1" s="1" t="s">
        <v>6</v>
      </c>
      <c r="I1" s="1" t="s">
        <v>1819</v>
      </c>
      <c r="J1" s="1" t="s">
        <v>1820</v>
      </c>
      <c r="K1" s="1" t="s">
        <v>7</v>
      </c>
      <c r="L1" s="36" t="s">
        <v>3676</v>
      </c>
      <c r="M1" s="41" t="s">
        <v>3677</v>
      </c>
    </row>
    <row r="2" spans="1:13">
      <c r="A2" s="26">
        <v>1</v>
      </c>
      <c r="B2" s="17" t="s">
        <v>961</v>
      </c>
      <c r="C2" s="17">
        <v>2022478036</v>
      </c>
      <c r="D2" s="17">
        <v>2201010605</v>
      </c>
      <c r="E2" s="17" t="s">
        <v>1805</v>
      </c>
      <c r="F2" s="17" t="str">
        <f>VLOOKUP(C2,'Fast Track '!B:C,2,FALSE)</f>
        <v xml:space="preserve">Fasttrack </v>
      </c>
      <c r="G2" s="17" t="s">
        <v>3707</v>
      </c>
      <c r="H2" s="17" t="s">
        <v>962</v>
      </c>
      <c r="I2" s="17" t="str">
        <f>VLOOKUP(C2,Sheet1!D:J,6,FALSE)</f>
        <v>2022478036.ajay@pt.sharda.ac.in</v>
      </c>
      <c r="J2" s="17" t="str">
        <f>VLOOKUP(D2,Sheet1!E:K,6,FALSE)</f>
        <v>9358584820</v>
      </c>
      <c r="K2" s="17" t="s">
        <v>15</v>
      </c>
      <c r="L2" s="37" t="s">
        <v>3645</v>
      </c>
      <c r="M2" t="s">
        <v>3652</v>
      </c>
    </row>
    <row r="3" spans="1:13">
      <c r="A3" s="26">
        <v>2</v>
      </c>
      <c r="B3" s="17" t="s">
        <v>907</v>
      </c>
      <c r="C3" s="17">
        <v>2022004547</v>
      </c>
      <c r="D3" s="17">
        <v>2201010635</v>
      </c>
      <c r="E3" s="17" t="s">
        <v>1805</v>
      </c>
      <c r="F3" s="17" t="str">
        <f>VLOOKUP(C3,'Fast Track '!B:C,2,FALSE)</f>
        <v xml:space="preserve">Fasttrack </v>
      </c>
      <c r="G3" s="17" t="s">
        <v>3708</v>
      </c>
      <c r="H3" s="17" t="s">
        <v>908</v>
      </c>
      <c r="I3" s="17" t="str">
        <f>VLOOKUP(C3,Sheet1!D:J,6,FALSE)</f>
        <v>2022004547.sanjay@pt.sharda.ac.in</v>
      </c>
      <c r="J3" s="17" t="str">
        <f>VLOOKUP(D3,Sheet1!E:K,6,FALSE)</f>
        <v>7011428007</v>
      </c>
      <c r="K3" s="17" t="s">
        <v>15</v>
      </c>
      <c r="L3" s="37" t="s">
        <v>3645</v>
      </c>
      <c r="M3" t="s">
        <v>3652</v>
      </c>
    </row>
    <row r="4" spans="1:13">
      <c r="A4" s="26">
        <v>3</v>
      </c>
      <c r="B4" s="17" t="s">
        <v>1106</v>
      </c>
      <c r="C4" s="17">
        <v>2022507647</v>
      </c>
      <c r="D4" s="17">
        <v>2201010353</v>
      </c>
      <c r="E4" s="17" t="s">
        <v>1805</v>
      </c>
      <c r="F4" s="17" t="str">
        <f>VLOOKUP(C4,'Fast Track '!B:C,2,FALSE)</f>
        <v xml:space="preserve">Fasttrack </v>
      </c>
      <c r="G4" s="17" t="s">
        <v>3709</v>
      </c>
      <c r="H4" s="17" t="s">
        <v>1107</v>
      </c>
      <c r="I4" s="17" t="str">
        <f>VLOOKUP(C4,Sheet1!D:J,6,FALSE)</f>
        <v>2022507647.dinesh@pt.sharda.ac.in</v>
      </c>
      <c r="J4" s="17" t="str">
        <f>VLOOKUP(D4,Sheet1!E:K,6,FALSE)</f>
        <v>8448777978</v>
      </c>
      <c r="K4" s="17" t="s">
        <v>15</v>
      </c>
      <c r="L4" s="37" t="s">
        <v>3645</v>
      </c>
      <c r="M4" t="s">
        <v>3652</v>
      </c>
    </row>
    <row r="5" spans="1:13">
      <c r="A5" s="26">
        <v>4</v>
      </c>
      <c r="B5" s="17" t="s">
        <v>1102</v>
      </c>
      <c r="C5" s="17">
        <v>2022492018</v>
      </c>
      <c r="D5" s="17">
        <v>2201010489</v>
      </c>
      <c r="E5" s="17" t="s">
        <v>1805</v>
      </c>
      <c r="F5" s="17" t="str">
        <f>VLOOKUP(C5,'Fast Track '!B:C,2,FALSE)</f>
        <v xml:space="preserve">Fasttrack </v>
      </c>
      <c r="G5" s="17" t="s">
        <v>3710</v>
      </c>
      <c r="H5" s="17" t="s">
        <v>1103</v>
      </c>
      <c r="I5" s="17" t="str">
        <f>VLOOKUP(C5,Sheet1!D:J,6,FALSE)</f>
        <v>2022492018.ashokprasad@pt.sharda.ac.in</v>
      </c>
      <c r="J5" s="17" t="str">
        <f>VLOOKUP(D5,Sheet1!E:K,6,FALSE)</f>
        <v>8235853597</v>
      </c>
      <c r="K5" s="17" t="s">
        <v>15</v>
      </c>
      <c r="L5" s="37" t="s">
        <v>3645</v>
      </c>
      <c r="M5" t="s">
        <v>3652</v>
      </c>
    </row>
    <row r="6" spans="1:13">
      <c r="A6" s="26">
        <v>5</v>
      </c>
      <c r="B6" s="17" t="s">
        <v>1044</v>
      </c>
      <c r="C6" s="17">
        <v>2022003923</v>
      </c>
      <c r="D6" s="17">
        <v>2201010829</v>
      </c>
      <c r="E6" s="17" t="s">
        <v>1805</v>
      </c>
      <c r="F6" s="17" t="str">
        <f>VLOOKUP(C6,'Fast Track '!B:C,2,FALSE)</f>
        <v xml:space="preserve">Fasttrack </v>
      </c>
      <c r="G6" s="17" t="s">
        <v>3711</v>
      </c>
      <c r="H6" s="17" t="s">
        <v>1045</v>
      </c>
      <c r="I6" s="17" t="str">
        <f>VLOOKUP(C6,Sheet1!D:J,6,FALSE)</f>
        <v>2022003923.muzaffarjan@pt.sharda.ac.in</v>
      </c>
      <c r="J6" s="17" t="str">
        <f>VLOOKUP(D6,Sheet1!E:K,6,FALSE)</f>
        <v>7006813062</v>
      </c>
      <c r="K6" s="17" t="s">
        <v>15</v>
      </c>
      <c r="L6" s="37" t="s">
        <v>3645</v>
      </c>
      <c r="M6" t="s">
        <v>3652</v>
      </c>
    </row>
    <row r="7" spans="1:13">
      <c r="A7" s="26">
        <v>6</v>
      </c>
      <c r="B7" s="17" t="s">
        <v>503</v>
      </c>
      <c r="C7" s="17">
        <v>2022544783</v>
      </c>
      <c r="D7" s="17">
        <v>2201010481</v>
      </c>
      <c r="E7" s="17" t="s">
        <v>1805</v>
      </c>
      <c r="F7" s="17" t="str">
        <f>VLOOKUP(C7,'Fast Track '!B:C,2,FALSE)</f>
        <v xml:space="preserve">Fasttrack </v>
      </c>
      <c r="G7" s="17" t="s">
        <v>3712</v>
      </c>
      <c r="H7" s="17" t="s">
        <v>504</v>
      </c>
      <c r="I7" s="17" t="str">
        <f>VLOOKUP(C7,Sheet1!D:J,6,FALSE)</f>
        <v>2022544783.ramkumar@pt.sharda.ac.in</v>
      </c>
      <c r="J7" s="17" t="str">
        <f>VLOOKUP(D7,Sheet1!E:K,6,FALSE)</f>
        <v>6203504840</v>
      </c>
      <c r="K7" s="17" t="s">
        <v>15</v>
      </c>
      <c r="L7" s="37" t="s">
        <v>3645</v>
      </c>
      <c r="M7" t="s">
        <v>3652</v>
      </c>
    </row>
    <row r="8" spans="1:13">
      <c r="A8" s="26">
        <v>7</v>
      </c>
      <c r="B8" s="17" t="s">
        <v>400</v>
      </c>
      <c r="C8" s="17">
        <v>2022003580</v>
      </c>
      <c r="D8" s="17">
        <v>2201010782</v>
      </c>
      <c r="E8" s="17" t="s">
        <v>1805</v>
      </c>
      <c r="F8" s="17" t="str">
        <f>VLOOKUP(C8,'Fast Track '!B:C,2,FALSE)</f>
        <v xml:space="preserve">Fasttrack </v>
      </c>
      <c r="G8" s="17" t="s">
        <v>3713</v>
      </c>
      <c r="H8" s="17" t="s">
        <v>401</v>
      </c>
      <c r="I8" s="17" t="str">
        <f>VLOOKUP(C8,Sheet1!D:J,6,FALSE)</f>
        <v>2022003580.shivram@pt.sharda.ac.in</v>
      </c>
      <c r="J8" s="17" t="str">
        <f>VLOOKUP(D8,Sheet1!E:K,6,FALSE)</f>
        <v>9424991187</v>
      </c>
      <c r="K8" s="17" t="s">
        <v>15</v>
      </c>
      <c r="L8" s="37" t="s">
        <v>3645</v>
      </c>
      <c r="M8" t="s">
        <v>3652</v>
      </c>
    </row>
    <row r="9" spans="1:13">
      <c r="A9" s="26">
        <v>8</v>
      </c>
      <c r="B9" s="17" t="s">
        <v>353</v>
      </c>
      <c r="C9" s="17">
        <v>2022506580</v>
      </c>
      <c r="D9" s="17">
        <v>2201010556</v>
      </c>
      <c r="E9" s="17" t="s">
        <v>1805</v>
      </c>
      <c r="F9" s="17" t="str">
        <f>VLOOKUP(C9,'Fast Track '!B:C,2,FALSE)</f>
        <v xml:space="preserve">Fasttrack </v>
      </c>
      <c r="G9" s="17" t="s">
        <v>3714</v>
      </c>
      <c r="H9" s="17" t="s">
        <v>354</v>
      </c>
      <c r="I9" s="17" t="str">
        <f>VLOOKUP(C9,Sheet1!D:J,6,FALSE)</f>
        <v>2022506580.ramchandra@pt.sharda.ac.in</v>
      </c>
      <c r="J9" s="17" t="str">
        <f>VLOOKUP(D9,Sheet1!E:K,6,FALSE)</f>
        <v>6200734740</v>
      </c>
      <c r="K9" s="17" t="s">
        <v>15</v>
      </c>
      <c r="L9" s="37" t="s">
        <v>3645</v>
      </c>
      <c r="M9" t="s">
        <v>3652</v>
      </c>
    </row>
    <row r="10" spans="1:13">
      <c r="A10" s="26">
        <v>9</v>
      </c>
      <c r="B10" s="17" t="s">
        <v>432</v>
      </c>
      <c r="C10" s="17">
        <v>2022405479</v>
      </c>
      <c r="D10" s="17">
        <v>2201010062</v>
      </c>
      <c r="E10" s="17" t="s">
        <v>1805</v>
      </c>
      <c r="F10" s="17" t="str">
        <f>VLOOKUP(C10,'Fast Track '!B:C,2,FALSE)</f>
        <v xml:space="preserve">Fasttrack </v>
      </c>
      <c r="G10" s="17" t="s">
        <v>3715</v>
      </c>
      <c r="H10" s="17" t="s">
        <v>433</v>
      </c>
      <c r="I10" s="17" t="str">
        <f>VLOOKUP(C10,Sheet1!D:J,6,FALSE)</f>
        <v>2022405479.arvindkumar@pt.sharda.ac.in</v>
      </c>
      <c r="J10" s="17" t="str">
        <f>VLOOKUP(D10,Sheet1!E:K,6,FALSE)</f>
        <v>9936616269</v>
      </c>
      <c r="K10" s="17" t="s">
        <v>15</v>
      </c>
      <c r="L10" s="37" t="s">
        <v>3645</v>
      </c>
      <c r="M10" t="s">
        <v>3652</v>
      </c>
    </row>
    <row r="11" spans="1:13">
      <c r="A11" s="26">
        <v>10</v>
      </c>
      <c r="B11" s="17" t="s">
        <v>505</v>
      </c>
      <c r="C11" s="17">
        <v>2022552819</v>
      </c>
      <c r="D11" s="17">
        <v>2201010005</v>
      </c>
      <c r="E11" s="17" t="s">
        <v>1805</v>
      </c>
      <c r="F11" s="17" t="str">
        <f>VLOOKUP(C11,'Fast Track '!B:C,2,FALSE)</f>
        <v xml:space="preserve">Fasttrack </v>
      </c>
      <c r="G11" s="17" t="s">
        <v>3716</v>
      </c>
      <c r="H11" s="17" t="s">
        <v>506</v>
      </c>
      <c r="I11" s="17" t="str">
        <f>VLOOKUP(C11,Sheet1!D:J,6,FALSE)</f>
        <v>2022552819.d.k@pt.sharda.ac.in</v>
      </c>
      <c r="J11" s="17" t="str">
        <f>VLOOKUP(D11,Sheet1!E:K,6,FALSE)</f>
        <v>8077831479</v>
      </c>
      <c r="K11" s="17" t="s">
        <v>15</v>
      </c>
      <c r="L11" s="37" t="s">
        <v>3645</v>
      </c>
      <c r="M11" t="s">
        <v>3652</v>
      </c>
    </row>
    <row r="12" spans="1:13">
      <c r="A12" s="26">
        <v>11</v>
      </c>
      <c r="B12" s="17" t="s">
        <v>310</v>
      </c>
      <c r="C12" s="17">
        <v>2022418998</v>
      </c>
      <c r="D12" s="17">
        <v>2201010756</v>
      </c>
      <c r="E12" s="17" t="s">
        <v>1805</v>
      </c>
      <c r="F12" s="17" t="str">
        <f>VLOOKUP(C12,'Fast Track '!B:C,2,FALSE)</f>
        <v xml:space="preserve">Fasttrack </v>
      </c>
      <c r="G12" s="17" t="s">
        <v>3717</v>
      </c>
      <c r="H12" s="17" t="s">
        <v>311</v>
      </c>
      <c r="I12" s="17" t="str">
        <f>VLOOKUP(C12,Sheet1!D:J,6,FALSE)</f>
        <v>2022418998.inder@pt.sharda.ac.in</v>
      </c>
      <c r="J12" s="17" t="str">
        <f>VLOOKUP(D12,Sheet1!E:K,6,FALSE)</f>
        <v>8076622787</v>
      </c>
      <c r="K12" s="17" t="s">
        <v>15</v>
      </c>
      <c r="L12" s="37" t="s">
        <v>3645</v>
      </c>
      <c r="M12" t="s">
        <v>3652</v>
      </c>
    </row>
    <row r="13" spans="1:13">
      <c r="A13" s="26">
        <v>12</v>
      </c>
      <c r="B13" s="17" t="s">
        <v>695</v>
      </c>
      <c r="C13" s="17">
        <v>2022007306</v>
      </c>
      <c r="D13" s="17">
        <v>2201010840</v>
      </c>
      <c r="E13" s="17" t="s">
        <v>1805</v>
      </c>
      <c r="F13" s="17" t="str">
        <f>VLOOKUP(C13,'Fast Track '!B:C,2,FALSE)</f>
        <v xml:space="preserve">Fasttrack </v>
      </c>
      <c r="G13" s="17" t="s">
        <v>3718</v>
      </c>
      <c r="H13" s="17" t="s">
        <v>696</v>
      </c>
      <c r="I13" s="17" t="str">
        <f>VLOOKUP(C13,Sheet1!D:J,6,FALSE)</f>
        <v>2022007306.suresh@pt.sharda.ac.in</v>
      </c>
      <c r="J13" s="17" t="str">
        <f>VLOOKUP(D13,Sheet1!E:K,6,FALSE)</f>
        <v>8817200009</v>
      </c>
      <c r="K13" s="17" t="s">
        <v>15</v>
      </c>
      <c r="L13" s="37" t="s">
        <v>3645</v>
      </c>
      <c r="M13" t="s">
        <v>3652</v>
      </c>
    </row>
    <row r="14" spans="1:13">
      <c r="A14" s="26">
        <v>13</v>
      </c>
      <c r="B14" s="17" t="s">
        <v>62</v>
      </c>
      <c r="C14" s="17">
        <v>2022395305</v>
      </c>
      <c r="D14" s="17">
        <v>2201010140</v>
      </c>
      <c r="E14" s="17" t="s">
        <v>1805</v>
      </c>
      <c r="F14" s="17" t="str">
        <f>VLOOKUP(C14,'Fast Track '!B:C,2,FALSE)</f>
        <v xml:space="preserve">Fasttrack </v>
      </c>
      <c r="G14" s="17" t="s">
        <v>3719</v>
      </c>
      <c r="H14" s="17" t="s">
        <v>63</v>
      </c>
      <c r="I14" s="17" t="str">
        <f>VLOOKUP(C14,Sheet1!D:J,6,FALSE)</f>
        <v>2022395305.rajnish@pt.sharda.ac.in</v>
      </c>
      <c r="J14" s="17" t="str">
        <f>VLOOKUP(D14,Sheet1!E:K,6,FALSE)</f>
        <v>9289575803</v>
      </c>
      <c r="K14" s="17" t="s">
        <v>15</v>
      </c>
      <c r="L14" s="37" t="s">
        <v>3645</v>
      </c>
      <c r="M14" t="s">
        <v>3652</v>
      </c>
    </row>
    <row r="15" spans="1:13">
      <c r="A15" s="26">
        <v>14</v>
      </c>
      <c r="B15" s="17" t="s">
        <v>68</v>
      </c>
      <c r="C15" s="17">
        <v>2022423199</v>
      </c>
      <c r="D15" s="17">
        <v>2201010812</v>
      </c>
      <c r="E15" s="17" t="s">
        <v>1805</v>
      </c>
      <c r="F15" s="17" t="str">
        <f>VLOOKUP(C15,'Fast Track '!B:C,2,FALSE)</f>
        <v xml:space="preserve">Fasttrack </v>
      </c>
      <c r="G15" s="17" t="s">
        <v>3720</v>
      </c>
      <c r="H15" s="17" t="s">
        <v>69</v>
      </c>
      <c r="I15" s="17" t="str">
        <f>VLOOKUP(C15,Sheet1!D:J,6,FALSE)</f>
        <v>2022423199.indrasingh@pt.sharda.ac.in</v>
      </c>
      <c r="J15" s="17" t="str">
        <f>VLOOKUP(D15,Sheet1!E:K,6,FALSE)</f>
        <v>9871836528</v>
      </c>
      <c r="K15" s="17" t="s">
        <v>15</v>
      </c>
      <c r="L15" s="37" t="s">
        <v>3645</v>
      </c>
      <c r="M15" t="s">
        <v>3652</v>
      </c>
    </row>
    <row r="16" spans="1:13">
      <c r="A16" s="26">
        <v>15</v>
      </c>
      <c r="B16" s="17" t="s">
        <v>231</v>
      </c>
      <c r="C16" s="17">
        <v>2022577648</v>
      </c>
      <c r="D16" s="17">
        <v>2201010102</v>
      </c>
      <c r="E16" s="17" t="s">
        <v>1805</v>
      </c>
      <c r="F16" s="17" t="str">
        <f>VLOOKUP(C16,'Fast Track '!B:C,2,FALSE)</f>
        <v xml:space="preserve">Fasttrack </v>
      </c>
      <c r="G16" s="17" t="s">
        <v>3721</v>
      </c>
      <c r="H16" s="17" t="s">
        <v>232</v>
      </c>
      <c r="I16" s="17" t="str">
        <f>VLOOKUP(C16,Sheet1!D:J,6,FALSE)</f>
        <v>2022577648.subhashchandra@pt.sharda.ac.in</v>
      </c>
      <c r="J16" s="17" t="str">
        <f>VLOOKUP(D16,Sheet1!E:K,6,FALSE)</f>
        <v>8825258063</v>
      </c>
      <c r="K16" s="17" t="s">
        <v>15</v>
      </c>
      <c r="L16" s="37" t="s">
        <v>3645</v>
      </c>
      <c r="M16" t="s">
        <v>3652</v>
      </c>
    </row>
    <row r="17" spans="1:13">
      <c r="A17" s="26">
        <v>16</v>
      </c>
      <c r="B17" s="17" t="s">
        <v>251</v>
      </c>
      <c r="C17" s="17">
        <v>2022834464</v>
      </c>
      <c r="D17" s="17">
        <v>2201010437</v>
      </c>
      <c r="E17" s="17" t="s">
        <v>1805</v>
      </c>
      <c r="F17" s="17" t="str">
        <f>VLOOKUP(C17,'Fast Track '!B:C,2,FALSE)</f>
        <v xml:space="preserve">Fasttrack </v>
      </c>
      <c r="G17" s="17" t="s">
        <v>3722</v>
      </c>
      <c r="H17" s="17" t="s">
        <v>252</v>
      </c>
      <c r="I17" s="17" t="str">
        <f>VLOOKUP(C17,Sheet1!D:J,6,FALSE)</f>
        <v>2022834464.bhikhariya@pt.sharda.ac.in</v>
      </c>
      <c r="J17" s="17" t="str">
        <f>VLOOKUP(D17,Sheet1!E:K,6,FALSE)</f>
        <v>91 8757443219</v>
      </c>
      <c r="K17" s="17" t="s">
        <v>15</v>
      </c>
      <c r="L17" s="37" t="s">
        <v>3645</v>
      </c>
      <c r="M17" t="s">
        <v>3652</v>
      </c>
    </row>
    <row r="18" spans="1:13">
      <c r="A18" s="26">
        <v>17</v>
      </c>
      <c r="B18" s="17" t="s">
        <v>225</v>
      </c>
      <c r="C18" s="17">
        <v>2022561225</v>
      </c>
      <c r="D18" s="17">
        <v>2201010750</v>
      </c>
      <c r="E18" s="17" t="s">
        <v>1805</v>
      </c>
      <c r="F18" s="17" t="str">
        <f>VLOOKUP(C18,'Fast Track '!B:C,2,FALSE)</f>
        <v xml:space="preserve">Fasttrack </v>
      </c>
      <c r="G18" s="17" t="s">
        <v>3723</v>
      </c>
      <c r="H18" s="17" t="s">
        <v>226</v>
      </c>
      <c r="I18" s="17" t="str">
        <f>VLOOKUP(C18,Sheet1!D:J,6,FALSE)</f>
        <v>2022561225.navdeep@pt.sharda.ac.in</v>
      </c>
      <c r="J18" s="17" t="str">
        <f>VLOOKUP(D18,Sheet1!E:K,6,FALSE)</f>
        <v>8791477144</v>
      </c>
      <c r="K18" s="17" t="s">
        <v>15</v>
      </c>
      <c r="L18" s="37" t="s">
        <v>3645</v>
      </c>
      <c r="M18" t="s">
        <v>3652</v>
      </c>
    </row>
    <row r="19" spans="1:13">
      <c r="A19" s="26">
        <v>18</v>
      </c>
      <c r="B19" s="17" t="s">
        <v>471</v>
      </c>
      <c r="C19" s="17">
        <v>2022502947</v>
      </c>
      <c r="D19" s="17">
        <v>2201010698</v>
      </c>
      <c r="E19" s="17" t="s">
        <v>1805</v>
      </c>
      <c r="F19" s="17" t="str">
        <f>VLOOKUP(C19,'Fast Track '!B:C,2,FALSE)</f>
        <v xml:space="preserve">Fasttrack </v>
      </c>
      <c r="G19" s="17" t="s">
        <v>3724</v>
      </c>
      <c r="H19" s="17" t="s">
        <v>472</v>
      </c>
      <c r="I19" s="17" t="str">
        <f>VLOOKUP(C19,Sheet1!D:J,6,FALSE)</f>
        <v>2022502947.jai@pt.sharda.ac.in</v>
      </c>
      <c r="J19" s="17" t="str">
        <f>VLOOKUP(D19,Sheet1!E:K,6,FALSE)</f>
        <v>9315149393</v>
      </c>
      <c r="K19" s="17" t="s">
        <v>15</v>
      </c>
      <c r="L19" s="37" t="s">
        <v>3645</v>
      </c>
      <c r="M19" t="s">
        <v>3652</v>
      </c>
    </row>
    <row r="20" spans="1:13">
      <c r="A20" s="26">
        <v>19</v>
      </c>
      <c r="B20" s="17" t="s">
        <v>485</v>
      </c>
      <c r="C20" s="17">
        <v>2022521244</v>
      </c>
      <c r="D20" s="17">
        <v>2201010700</v>
      </c>
      <c r="E20" s="17" t="s">
        <v>1805</v>
      </c>
      <c r="F20" s="17" t="e">
        <f>VLOOKUP(C20,'Fast Track '!B:C,2,FALSE)</f>
        <v>#N/A</v>
      </c>
      <c r="G20" s="17" t="s">
        <v>3725</v>
      </c>
      <c r="H20" s="17" t="s">
        <v>486</v>
      </c>
      <c r="I20" s="17" t="str">
        <f>VLOOKUP(C20,Sheet1!D:J,6,FALSE)</f>
        <v>2022521244.bansilal@pt.sharda.ac.in</v>
      </c>
      <c r="J20" s="17" t="str">
        <f>VLOOKUP(D20,Sheet1!E:K,6,FALSE)</f>
        <v>8595849890</v>
      </c>
      <c r="K20" s="17" t="s">
        <v>15</v>
      </c>
      <c r="L20" s="37" t="s">
        <v>3645</v>
      </c>
      <c r="M20" t="s">
        <v>3652</v>
      </c>
    </row>
    <row r="21" spans="1:13">
      <c r="A21" s="26">
        <v>20</v>
      </c>
      <c r="B21" s="17" t="s">
        <v>426</v>
      </c>
      <c r="C21" s="17">
        <v>2022387392</v>
      </c>
      <c r="D21" s="17">
        <v>2201010713</v>
      </c>
      <c r="E21" s="17" t="s">
        <v>1805</v>
      </c>
      <c r="F21" s="17" t="e">
        <f>VLOOKUP(C21,'Fast Track '!B:C,2,FALSE)</f>
        <v>#N/A</v>
      </c>
      <c r="G21" s="17" t="s">
        <v>3726</v>
      </c>
      <c r="H21" s="17" t="s">
        <v>427</v>
      </c>
      <c r="I21" s="17" t="str">
        <f>VLOOKUP(C21,Sheet1!D:J,6,FALSE)</f>
        <v>2022387392.soumen@pt.sharda.ac.in</v>
      </c>
      <c r="J21" s="17" t="str">
        <f>VLOOKUP(D21,Sheet1!E:K,6,FALSE)</f>
        <v>8145257669</v>
      </c>
      <c r="K21" s="17" t="s">
        <v>15</v>
      </c>
      <c r="L21" s="37" t="s">
        <v>3645</v>
      </c>
      <c r="M21" t="s">
        <v>3652</v>
      </c>
    </row>
    <row r="22" spans="1:13">
      <c r="A22" s="26">
        <v>21</v>
      </c>
      <c r="B22" s="17" t="s">
        <v>418</v>
      </c>
      <c r="C22" s="17">
        <v>2022007728</v>
      </c>
      <c r="D22" s="17">
        <v>2201010862</v>
      </c>
      <c r="E22" s="17" t="s">
        <v>1805</v>
      </c>
      <c r="F22" s="17" t="e">
        <f>VLOOKUP(C22,'Fast Track '!B:C,2,FALSE)</f>
        <v>#N/A</v>
      </c>
      <c r="G22" s="17" t="s">
        <v>3727</v>
      </c>
      <c r="H22" s="17" t="s">
        <v>419</v>
      </c>
      <c r="I22" s="17" t="str">
        <f>VLOOKUP(C22,Sheet1!D:J,6,FALSE)</f>
        <v>2022007728.mdwasim@pt.sharda.ac.in</v>
      </c>
      <c r="J22" s="17" t="str">
        <f>VLOOKUP(D22,Sheet1!E:K,6,FALSE)</f>
        <v>8709670822</v>
      </c>
      <c r="K22" s="17" t="s">
        <v>15</v>
      </c>
      <c r="L22" s="37" t="s">
        <v>3645</v>
      </c>
      <c r="M22" t="s">
        <v>3652</v>
      </c>
    </row>
    <row r="23" spans="1:13">
      <c r="A23" s="26">
        <v>22</v>
      </c>
      <c r="B23" s="17" t="s">
        <v>627</v>
      </c>
      <c r="C23" s="17">
        <v>2022548161</v>
      </c>
      <c r="D23" s="17">
        <v>2201010317</v>
      </c>
      <c r="E23" s="17" t="s">
        <v>1805</v>
      </c>
      <c r="F23" s="17" t="e">
        <f>VLOOKUP(C23,'Fast Track '!B:C,2,FALSE)</f>
        <v>#N/A</v>
      </c>
      <c r="G23" s="17" t="s">
        <v>3728</v>
      </c>
      <c r="H23" s="17" t="s">
        <v>628</v>
      </c>
      <c r="I23" s="17" t="str">
        <f>VLOOKUP(C23,Sheet1!D:J,6,FALSE)</f>
        <v>2022548161.subodhchandra@pt.sharda.ac.in</v>
      </c>
      <c r="J23" s="17" t="str">
        <f>VLOOKUP(D23,Sheet1!E:K,6,FALSE)</f>
        <v>6207071618</v>
      </c>
      <c r="K23" s="17" t="s">
        <v>15</v>
      </c>
      <c r="L23" s="37" t="s">
        <v>3645</v>
      </c>
      <c r="M23" t="s">
        <v>3652</v>
      </c>
    </row>
    <row r="24" spans="1:13">
      <c r="A24" s="26">
        <v>23</v>
      </c>
      <c r="B24" s="17" t="s">
        <v>579</v>
      </c>
      <c r="C24" s="17">
        <v>2022435738</v>
      </c>
      <c r="D24" s="17">
        <v>2201010330</v>
      </c>
      <c r="E24" s="17" t="s">
        <v>1805</v>
      </c>
      <c r="F24" s="17" t="e">
        <f>VLOOKUP(C24,'Fast Track '!B:C,2,FALSE)</f>
        <v>#N/A</v>
      </c>
      <c r="G24" s="17" t="s">
        <v>3729</v>
      </c>
      <c r="H24" s="17" t="s">
        <v>580</v>
      </c>
      <c r="I24" s="17" t="str">
        <f>VLOOKUP(C24,Sheet1!D:J,6,FALSE)</f>
        <v>2022435738.kalyan@pt.sharda.ac.in</v>
      </c>
      <c r="J24" s="17" t="str">
        <f>VLOOKUP(D24,Sheet1!E:K,6,FALSE)</f>
        <v>9065663362</v>
      </c>
      <c r="K24" s="17" t="s">
        <v>15</v>
      </c>
      <c r="L24" s="37" t="s">
        <v>3645</v>
      </c>
      <c r="M24" t="s">
        <v>3652</v>
      </c>
    </row>
    <row r="25" spans="1:13">
      <c r="A25" s="26">
        <v>24</v>
      </c>
      <c r="B25" s="17" t="s">
        <v>559</v>
      </c>
      <c r="C25" s="17">
        <v>2022331708</v>
      </c>
      <c r="D25" s="17">
        <v>2201010345</v>
      </c>
      <c r="E25" s="17" t="s">
        <v>1805</v>
      </c>
      <c r="F25" s="17" t="e">
        <f>VLOOKUP(C25,'Fast Track '!B:C,2,FALSE)</f>
        <v>#N/A</v>
      </c>
      <c r="G25" s="17" t="s">
        <v>3730</v>
      </c>
      <c r="H25" s="17" t="s">
        <v>560</v>
      </c>
      <c r="I25" s="17" t="str">
        <f>VLOOKUP(C25,Sheet1!D:J,6,FALSE)</f>
        <v>2022331708.mithilesh@pt.sharda.ac.in</v>
      </c>
      <c r="J25" s="17" t="str">
        <f>VLOOKUP(D25,Sheet1!E:K,6,FALSE)</f>
        <v>6205510692</v>
      </c>
      <c r="K25" s="17" t="s">
        <v>15</v>
      </c>
      <c r="L25" s="37" t="s">
        <v>3645</v>
      </c>
      <c r="M25" t="s">
        <v>3652</v>
      </c>
    </row>
    <row r="26" spans="1:13">
      <c r="A26" s="26">
        <v>25</v>
      </c>
      <c r="B26" s="17" t="s">
        <v>641</v>
      </c>
      <c r="C26" s="17">
        <v>2022006143</v>
      </c>
      <c r="D26" s="17">
        <v>2201010490</v>
      </c>
      <c r="E26" s="17" t="s">
        <v>1805</v>
      </c>
      <c r="F26" s="17" t="e">
        <f>VLOOKUP(C26,'Fast Track '!B:C,2,FALSE)</f>
        <v>#N/A</v>
      </c>
      <c r="G26" s="17" t="s">
        <v>3731</v>
      </c>
      <c r="H26" s="17" t="s">
        <v>642</v>
      </c>
      <c r="I26" s="17" t="str">
        <f>VLOOKUP(C26,Sheet1!D:J,6,FALSE)</f>
        <v>2022006143.amit@pt.sharda.ac.in</v>
      </c>
      <c r="J26" s="17" t="str">
        <f>VLOOKUP(D26,Sheet1!E:K,6,FALSE)</f>
        <v>9643355554</v>
      </c>
      <c r="K26" s="17" t="s">
        <v>15</v>
      </c>
      <c r="L26" s="37" t="s">
        <v>3645</v>
      </c>
      <c r="M26" t="s">
        <v>3652</v>
      </c>
    </row>
    <row r="27" spans="1:13">
      <c r="A27" s="26">
        <v>26</v>
      </c>
      <c r="B27" s="17" t="s">
        <v>594</v>
      </c>
      <c r="C27" s="17">
        <v>2022505917</v>
      </c>
      <c r="D27" s="17">
        <v>2201010514</v>
      </c>
      <c r="E27" s="17" t="s">
        <v>1805</v>
      </c>
      <c r="F27" s="17" t="e">
        <f>VLOOKUP(C27,'Fast Track '!B:C,2,FALSE)</f>
        <v>#N/A</v>
      </c>
      <c r="G27" s="17" t="s">
        <v>3732</v>
      </c>
      <c r="H27" s="17" t="s">
        <v>595</v>
      </c>
      <c r="I27" s="17" t="str">
        <f>VLOOKUP(C27,Sheet1!D:J,6,FALSE)</f>
        <v>2022505917.sureshchandra@pt.sharda.ac.in</v>
      </c>
      <c r="J27" s="17" t="str">
        <f>VLOOKUP(D27,Sheet1!E:K,6,FALSE)</f>
        <v>7351924508</v>
      </c>
      <c r="K27" s="17" t="s">
        <v>15</v>
      </c>
      <c r="L27" s="37" t="s">
        <v>3645</v>
      </c>
      <c r="M27" t="s">
        <v>3652</v>
      </c>
    </row>
    <row r="28" spans="1:13">
      <c r="A28" s="26">
        <v>27</v>
      </c>
      <c r="B28" s="17" t="s">
        <v>620</v>
      </c>
      <c r="C28" s="17">
        <v>2022531964</v>
      </c>
      <c r="D28" s="17">
        <v>2201010692</v>
      </c>
      <c r="E28" s="17" t="s">
        <v>1805</v>
      </c>
      <c r="F28" s="17" t="e">
        <f>VLOOKUP(C28,'Fast Track '!B:C,2,FALSE)</f>
        <v>#N/A</v>
      </c>
      <c r="G28" s="17" t="s">
        <v>3733</v>
      </c>
      <c r="H28" s="17" t="s">
        <v>621</v>
      </c>
      <c r="I28" s="17" t="str">
        <f>VLOOKUP(C28,Sheet1!D:J,6,FALSE)</f>
        <v>2022531964.nipu@pt.sharda.ac.in</v>
      </c>
      <c r="J28" s="17" t="str">
        <f>VLOOKUP(D28,Sheet1!E:K,6,FALSE)</f>
        <v>6203252388</v>
      </c>
      <c r="K28" s="17" t="s">
        <v>15</v>
      </c>
      <c r="L28" s="37" t="s">
        <v>3645</v>
      </c>
      <c r="M28" t="s">
        <v>3652</v>
      </c>
    </row>
    <row r="29" spans="1:13">
      <c r="A29" s="26">
        <v>28</v>
      </c>
      <c r="B29" s="17" t="s">
        <v>739</v>
      </c>
      <c r="C29" s="17">
        <v>2022805717</v>
      </c>
      <c r="D29" s="17">
        <v>2201010059</v>
      </c>
      <c r="E29" s="17" t="s">
        <v>1805</v>
      </c>
      <c r="F29" s="17" t="e">
        <f>VLOOKUP(C29,'Fast Track '!B:C,2,FALSE)</f>
        <v>#N/A</v>
      </c>
      <c r="G29" s="17" t="s">
        <v>3734</v>
      </c>
      <c r="H29" s="17" t="s">
        <v>740</v>
      </c>
      <c r="I29" s="17" t="str">
        <f>VLOOKUP(C29,Sheet1!D:J,6,FALSE)</f>
        <v>2022805717.sarbajitastani@pt.sharda.ac.in</v>
      </c>
      <c r="J29" s="17" t="str">
        <f>VLOOKUP(D29,Sheet1!E:K,6,FALSE)</f>
        <v>977 9841883474</v>
      </c>
      <c r="K29" s="17" t="s">
        <v>15</v>
      </c>
      <c r="L29" s="37" t="s">
        <v>3645</v>
      </c>
      <c r="M29" t="s">
        <v>3652</v>
      </c>
    </row>
    <row r="30" spans="1:13">
      <c r="A30" s="26">
        <v>29</v>
      </c>
      <c r="B30" s="17" t="s">
        <v>377</v>
      </c>
      <c r="C30" s="17">
        <v>2022005223</v>
      </c>
      <c r="D30" s="17">
        <v>2201010076</v>
      </c>
      <c r="E30" s="17" t="s">
        <v>1805</v>
      </c>
      <c r="F30" s="17" t="e">
        <f>VLOOKUP(C30,'Fast Track '!B:C,2,FALSE)</f>
        <v>#N/A</v>
      </c>
      <c r="G30" s="17" t="s">
        <v>3735</v>
      </c>
      <c r="H30" s="17" t="s">
        <v>684</v>
      </c>
      <c r="I30" s="17" t="str">
        <f>VLOOKUP(C30,Sheet1!D:J,6,FALSE)</f>
        <v>2022005223.arvind@pt.sharda.ac.in</v>
      </c>
      <c r="J30" s="17" t="str">
        <f>VLOOKUP(D30,Sheet1!E:K,6,FALSE)</f>
        <v>8862957493</v>
      </c>
      <c r="K30" s="17" t="s">
        <v>15</v>
      </c>
      <c r="L30" s="37" t="s">
        <v>3645</v>
      </c>
      <c r="M30" t="s">
        <v>3652</v>
      </c>
    </row>
    <row r="31" spans="1:13">
      <c r="A31" s="26">
        <v>30</v>
      </c>
      <c r="B31" s="17" t="s">
        <v>730</v>
      </c>
      <c r="C31" s="17">
        <v>2022574196</v>
      </c>
      <c r="D31" s="17">
        <v>2201010266</v>
      </c>
      <c r="E31" s="17" t="s">
        <v>1805</v>
      </c>
      <c r="F31" s="17" t="e">
        <f>VLOOKUP(C31,'Fast Track '!B:C,2,FALSE)</f>
        <v>#N/A</v>
      </c>
      <c r="G31" s="17" t="s">
        <v>3736</v>
      </c>
      <c r="H31" s="17" t="s">
        <v>731</v>
      </c>
      <c r="I31" s="17" t="str">
        <f>VLOOKUP(C31,Sheet1!D:J,6,FALSE)</f>
        <v>2022574196.virender@pt.sharda.ac.in</v>
      </c>
      <c r="J31" s="17" t="str">
        <f>VLOOKUP(D31,Sheet1!E:K,6,FALSE)</f>
        <v>9958019671</v>
      </c>
      <c r="K31" s="17" t="s">
        <v>15</v>
      </c>
      <c r="L31" s="37" t="s">
        <v>3645</v>
      </c>
      <c r="M31" t="s">
        <v>3652</v>
      </c>
    </row>
    <row r="32" spans="1:13">
      <c r="A32" s="26">
        <v>31</v>
      </c>
      <c r="B32" s="17" t="s">
        <v>727</v>
      </c>
      <c r="C32" s="17">
        <v>2022552969</v>
      </c>
      <c r="D32" s="17">
        <v>2201010299</v>
      </c>
      <c r="E32" s="17" t="s">
        <v>1805</v>
      </c>
      <c r="F32" s="17" t="e">
        <f>VLOOKUP(C32,'Fast Track '!B:C,2,FALSE)</f>
        <v>#N/A</v>
      </c>
      <c r="G32" s="17" t="s">
        <v>3737</v>
      </c>
      <c r="H32" s="17" t="s">
        <v>728</v>
      </c>
      <c r="I32" s="17" t="str">
        <f>VLOOKUP(C32,Sheet1!D:J,6,FALSE)</f>
        <v>2022552969.mdkhurshed@pt.sharda.ac.in</v>
      </c>
      <c r="J32" s="17" t="str">
        <f>VLOOKUP(D32,Sheet1!E:K,6,FALSE)</f>
        <v>6207785380</v>
      </c>
      <c r="K32" s="17" t="s">
        <v>15</v>
      </c>
      <c r="L32" s="37" t="s">
        <v>3645</v>
      </c>
      <c r="M32" t="s">
        <v>3652</v>
      </c>
    </row>
    <row r="33" spans="1:13">
      <c r="A33" s="26">
        <v>32</v>
      </c>
      <c r="B33" s="17" t="s">
        <v>718</v>
      </c>
      <c r="C33" s="17">
        <v>2022472832</v>
      </c>
      <c r="D33" s="17">
        <v>2201010474</v>
      </c>
      <c r="E33" s="17" t="s">
        <v>1805</v>
      </c>
      <c r="F33" s="17" t="e">
        <f>VLOOKUP(C33,'Fast Track '!B:C,2,FALSE)</f>
        <v>#N/A</v>
      </c>
      <c r="G33" s="17" t="s">
        <v>3738</v>
      </c>
      <c r="H33" s="17" t="s">
        <v>719</v>
      </c>
      <c r="I33" s="17" t="str">
        <f>VLOOKUP(C33,Sheet1!D:J,6,FALSE)</f>
        <v>2022472832.jitendra@pt.sharda.ac.in</v>
      </c>
      <c r="J33" s="17" t="str">
        <f>VLOOKUP(D33,Sheet1!E:K,6,FALSE)</f>
        <v>9166305081</v>
      </c>
      <c r="K33" s="17" t="s">
        <v>15</v>
      </c>
      <c r="L33" s="37" t="s">
        <v>3645</v>
      </c>
      <c r="M33" t="s">
        <v>3652</v>
      </c>
    </row>
    <row r="34" spans="1:13">
      <c r="A34" s="26">
        <v>33</v>
      </c>
      <c r="B34" s="17" t="s">
        <v>707</v>
      </c>
      <c r="C34" s="17">
        <v>2022414180</v>
      </c>
      <c r="D34" s="17">
        <v>2201010476</v>
      </c>
      <c r="E34" s="17" t="s">
        <v>1805</v>
      </c>
      <c r="F34" s="17" t="e">
        <f>VLOOKUP(C34,'Fast Track '!B:C,2,FALSE)</f>
        <v>#N/A</v>
      </c>
      <c r="G34" s="17" t="s">
        <v>3739</v>
      </c>
      <c r="H34" s="17" t="s">
        <v>708</v>
      </c>
      <c r="I34" s="17" t="str">
        <f>VLOOKUP(C34,Sheet1!D:J,6,FALSE)</f>
        <v>2022414180.oodham@pt.sharda.ac.in</v>
      </c>
      <c r="J34" s="17" t="str">
        <f>VLOOKUP(D34,Sheet1!E:K,6,FALSE)</f>
        <v>8477002963</v>
      </c>
      <c r="K34" s="17" t="s">
        <v>15</v>
      </c>
      <c r="L34" s="37" t="s">
        <v>3644</v>
      </c>
      <c r="M34" t="s">
        <v>3653</v>
      </c>
    </row>
    <row r="35" spans="1:13">
      <c r="A35" s="26">
        <v>34</v>
      </c>
      <c r="B35" s="17" t="s">
        <v>732</v>
      </c>
      <c r="C35" s="17">
        <v>2022576883</v>
      </c>
      <c r="D35" s="17">
        <v>2201010599</v>
      </c>
      <c r="E35" s="17" t="s">
        <v>1805</v>
      </c>
      <c r="F35" s="17" t="e">
        <f>VLOOKUP(C35,'Fast Track '!B:C,2,FALSE)</f>
        <v>#N/A</v>
      </c>
      <c r="G35" s="17" t="s">
        <v>3740</v>
      </c>
      <c r="H35" s="17" t="s">
        <v>733</v>
      </c>
      <c r="I35" s="17" t="str">
        <f>VLOOKUP(C35,Sheet1!D:J,6,FALSE)</f>
        <v>2022576883.fulkumar@pt.sharda.ac.in</v>
      </c>
      <c r="J35" s="17" t="str">
        <f>VLOOKUP(D35,Sheet1!E:K,6,FALSE)</f>
        <v>7050298675</v>
      </c>
      <c r="K35" s="17" t="s">
        <v>15</v>
      </c>
      <c r="L35" s="37" t="s">
        <v>3644</v>
      </c>
      <c r="M35" t="s">
        <v>3653</v>
      </c>
    </row>
    <row r="36" spans="1:13">
      <c r="A36" s="26">
        <v>35</v>
      </c>
      <c r="B36" s="17" t="s">
        <v>645</v>
      </c>
      <c r="C36" s="17">
        <v>2022467393</v>
      </c>
      <c r="D36" s="17">
        <v>2201010607</v>
      </c>
      <c r="E36" s="17" t="s">
        <v>1805</v>
      </c>
      <c r="F36" s="17" t="e">
        <f>VLOOKUP(C36,'Fast Track '!B:C,2,FALSE)</f>
        <v>#N/A</v>
      </c>
      <c r="G36" s="17" t="s">
        <v>3741</v>
      </c>
      <c r="H36" s="17" t="s">
        <v>649</v>
      </c>
      <c r="I36" s="17" t="str">
        <f>VLOOKUP(C36,Sheet1!D:J,6,FALSE)</f>
        <v>2022467393.anilkumar@pt.sharda.ac.in</v>
      </c>
      <c r="J36" s="17" t="str">
        <f>VLOOKUP(D36,Sheet1!E:K,6,FALSE)</f>
        <v>6205854664</v>
      </c>
      <c r="K36" s="17" t="s">
        <v>15</v>
      </c>
      <c r="L36" s="37" t="s">
        <v>3644</v>
      </c>
      <c r="M36" t="s">
        <v>3653</v>
      </c>
    </row>
    <row r="37" spans="1:13">
      <c r="A37" s="26">
        <v>36</v>
      </c>
      <c r="B37" s="17" t="s">
        <v>678</v>
      </c>
      <c r="C37" s="17">
        <v>2022002769</v>
      </c>
      <c r="D37" s="17">
        <v>2201010786</v>
      </c>
      <c r="E37" s="17" t="s">
        <v>1805</v>
      </c>
      <c r="F37" s="17" t="e">
        <f>VLOOKUP(C37,'Fast Track '!B:C,2,FALSE)</f>
        <v>#N/A</v>
      </c>
      <c r="G37" s="17" t="s">
        <v>3742</v>
      </c>
      <c r="H37" s="17" t="s">
        <v>679</v>
      </c>
      <c r="I37" s="17" t="str">
        <f>VLOOKUP(C37,Sheet1!D:J,6,FALSE)</f>
        <v>2022002769.loha@pt.sharda.ac.in</v>
      </c>
      <c r="J37" s="17" t="str">
        <f>VLOOKUP(D37,Sheet1!E:K,6,FALSE)</f>
        <v>6206528186</v>
      </c>
      <c r="K37" s="17" t="s">
        <v>15</v>
      </c>
      <c r="L37" s="37" t="s">
        <v>3644</v>
      </c>
      <c r="M37" t="s">
        <v>3653</v>
      </c>
    </row>
    <row r="38" spans="1:13">
      <c r="A38" s="26">
        <v>37</v>
      </c>
      <c r="B38" s="17" t="s">
        <v>691</v>
      </c>
      <c r="C38" s="17">
        <v>2022007111</v>
      </c>
      <c r="D38" s="17">
        <v>2201010788</v>
      </c>
      <c r="E38" s="17" t="s">
        <v>1805</v>
      </c>
      <c r="F38" s="17" t="e">
        <f>VLOOKUP(C38,'Fast Track '!B:C,2,FALSE)</f>
        <v>#N/A</v>
      </c>
      <c r="G38" s="17" t="s">
        <v>3743</v>
      </c>
      <c r="H38" s="17" t="s">
        <v>692</v>
      </c>
      <c r="I38" s="17" t="str">
        <f>VLOOKUP(C38,Sheet1!D:J,6,FALSE)</f>
        <v>2022007111.mantosh@pt.sharda.ac.in</v>
      </c>
      <c r="J38" s="17" t="str">
        <f>VLOOKUP(D38,Sheet1!E:K,6,FALSE)</f>
        <v>9211535436</v>
      </c>
      <c r="K38" s="17" t="s">
        <v>15</v>
      </c>
      <c r="L38" s="37" t="s">
        <v>3644</v>
      </c>
      <c r="M38" t="s">
        <v>3653</v>
      </c>
    </row>
    <row r="39" spans="1:13">
      <c r="A39" s="26">
        <v>38</v>
      </c>
      <c r="B39" s="17" t="s">
        <v>257</v>
      </c>
      <c r="C39" s="17">
        <v>2022007403</v>
      </c>
      <c r="D39" s="17">
        <v>2201010847</v>
      </c>
      <c r="E39" s="17" t="s">
        <v>1805</v>
      </c>
      <c r="F39" s="17" t="e">
        <f>VLOOKUP(C39,'Fast Track '!B:C,2,FALSE)</f>
        <v>#N/A</v>
      </c>
      <c r="G39" s="17" t="s">
        <v>3744</v>
      </c>
      <c r="H39" s="17" t="s">
        <v>648</v>
      </c>
      <c r="I39" s="17" t="str">
        <f>VLOOKUP(C39,Sheet1!D:J,6,FALSE)</f>
        <v>2022007403.narendrakumar@pt.sharda.ac.in</v>
      </c>
      <c r="J39" s="17" t="str">
        <f>VLOOKUP(D39,Sheet1!E:K,6,FALSE)</f>
        <v>7042191280</v>
      </c>
      <c r="K39" s="17" t="s">
        <v>15</v>
      </c>
      <c r="L39" s="37" t="s">
        <v>3645</v>
      </c>
      <c r="M39" t="s">
        <v>3652</v>
      </c>
    </row>
    <row r="40" spans="1:13">
      <c r="A40" s="26">
        <v>39</v>
      </c>
      <c r="B40" s="17" t="s">
        <v>383</v>
      </c>
      <c r="C40" s="17">
        <v>2022555807</v>
      </c>
      <c r="D40" s="17">
        <v>2201010881</v>
      </c>
      <c r="E40" s="17" t="s">
        <v>1805</v>
      </c>
      <c r="F40" s="17" t="e">
        <f>VLOOKUP(C40,'Fast Track '!B:C,2,FALSE)</f>
        <v>#N/A</v>
      </c>
      <c r="G40" s="17" t="s">
        <v>3745</v>
      </c>
      <c r="H40" s="17" t="s">
        <v>729</v>
      </c>
      <c r="I40" s="17" t="str">
        <f>VLOOKUP(C40,Sheet1!D:J,6,FALSE)</f>
        <v>2022555807.ajay@pt.sharda.ac.in</v>
      </c>
      <c r="J40" s="17" t="str">
        <f>VLOOKUP(D40,Sheet1!E:K,6,FALSE)</f>
        <v>6204870834</v>
      </c>
      <c r="K40" s="17" t="s">
        <v>15</v>
      </c>
      <c r="L40" s="37" t="s">
        <v>3644</v>
      </c>
      <c r="M40" t="s">
        <v>3653</v>
      </c>
    </row>
    <row r="41" spans="1:13">
      <c r="A41" s="26">
        <v>40</v>
      </c>
      <c r="B41" s="17" t="s">
        <v>317</v>
      </c>
      <c r="C41" s="17">
        <v>2022448509</v>
      </c>
      <c r="D41" s="17">
        <v>2201010118</v>
      </c>
      <c r="E41" s="17" t="s">
        <v>1805</v>
      </c>
      <c r="F41" s="17" t="e">
        <f>VLOOKUP(C41,'Fast Track '!B:C,2,FALSE)</f>
        <v>#N/A</v>
      </c>
      <c r="G41" s="17" t="s">
        <v>3746</v>
      </c>
      <c r="H41" s="17" t="s">
        <v>318</v>
      </c>
      <c r="I41" s="17" t="str">
        <f>VLOOKUP(C41,Sheet1!D:J,6,FALSE)</f>
        <v>2022448509.chandraprakash@pt.sharda.ac.in</v>
      </c>
      <c r="J41" s="17" t="str">
        <f>VLOOKUP(D41,Sheet1!E:K,6,FALSE)</f>
        <v>9044002858</v>
      </c>
      <c r="K41" s="17" t="s">
        <v>15</v>
      </c>
      <c r="L41" s="37" t="s">
        <v>3644</v>
      </c>
      <c r="M41" t="s">
        <v>3653</v>
      </c>
    </row>
    <row r="42" spans="1:13">
      <c r="A42" s="26">
        <v>41</v>
      </c>
      <c r="B42" s="17" t="s">
        <v>288</v>
      </c>
      <c r="C42" s="17">
        <v>2022005818</v>
      </c>
      <c r="D42" s="17">
        <v>2201010531</v>
      </c>
      <c r="E42" s="17" t="s">
        <v>1805</v>
      </c>
      <c r="F42" s="17" t="e">
        <f>VLOOKUP(C42,'Fast Track '!B:C,2,FALSE)</f>
        <v>#N/A</v>
      </c>
      <c r="G42" s="17" t="s">
        <v>3747</v>
      </c>
      <c r="H42" s="17" t="s">
        <v>289</v>
      </c>
      <c r="I42" s="17" t="str">
        <f>VLOOKUP(C42,Sheet1!D:J,6,FALSE)</f>
        <v>2022005818.deepakkumar@pt.sharda.ac.in</v>
      </c>
      <c r="J42" s="17" t="str">
        <f>VLOOKUP(D42,Sheet1!E:K,6,FALSE)</f>
        <v>8882946326</v>
      </c>
      <c r="K42" s="17" t="s">
        <v>15</v>
      </c>
      <c r="L42" s="37" t="s">
        <v>3644</v>
      </c>
      <c r="M42" t="s">
        <v>3653</v>
      </c>
    </row>
    <row r="43" spans="1:13">
      <c r="A43" s="26">
        <v>42</v>
      </c>
      <c r="B43" s="17" t="s">
        <v>321</v>
      </c>
      <c r="C43" s="17">
        <v>2022463682</v>
      </c>
      <c r="D43" s="17">
        <v>2201010570</v>
      </c>
      <c r="E43" s="17" t="s">
        <v>1805</v>
      </c>
      <c r="F43" s="17" t="e">
        <f>VLOOKUP(C43,'Fast Track '!B:C,2,FALSE)</f>
        <v>#N/A</v>
      </c>
      <c r="G43" s="17" t="s">
        <v>3748</v>
      </c>
      <c r="H43" s="17" t="s">
        <v>322</v>
      </c>
      <c r="I43" s="17" t="str">
        <f>VLOOKUP(C43,Sheet1!D:J,6,FALSE)</f>
        <v>2022463682.deviprasad@pt.sharda.ac.in</v>
      </c>
      <c r="J43" s="17" t="str">
        <f>VLOOKUP(D43,Sheet1!E:K,6,FALSE)</f>
        <v>8368486434</v>
      </c>
      <c r="K43" s="17" t="s">
        <v>15</v>
      </c>
      <c r="L43" s="37" t="s">
        <v>3644</v>
      </c>
      <c r="M43" t="s">
        <v>3653</v>
      </c>
    </row>
    <row r="44" spans="1:13">
      <c r="A44" s="26">
        <v>43</v>
      </c>
      <c r="B44" s="17" t="s">
        <v>282</v>
      </c>
      <c r="C44" s="17">
        <v>2022005275</v>
      </c>
      <c r="D44" s="17">
        <v>2201010675</v>
      </c>
      <c r="E44" s="17" t="s">
        <v>1805</v>
      </c>
      <c r="F44" s="17" t="e">
        <f>VLOOKUP(C44,'Fast Track '!B:C,2,FALSE)</f>
        <v>#N/A</v>
      </c>
      <c r="G44" s="17" t="s">
        <v>3749</v>
      </c>
      <c r="H44" s="17" t="s">
        <v>283</v>
      </c>
      <c r="I44" s="17" t="str">
        <f>VLOOKUP(C44,Sheet1!D:J,6,FALSE)</f>
        <v>2022005275.vijendra@pt.sharda.ac.in</v>
      </c>
      <c r="J44" s="17" t="str">
        <f>VLOOKUP(D44,Sheet1!E:K,6,FALSE)</f>
        <v>8787096109</v>
      </c>
      <c r="K44" s="17" t="s">
        <v>15</v>
      </c>
      <c r="L44" s="37" t="s">
        <v>3644</v>
      </c>
      <c r="M44" t="s">
        <v>3653</v>
      </c>
    </row>
    <row r="45" spans="1:13">
      <c r="A45" s="26">
        <v>44</v>
      </c>
      <c r="B45" s="17" t="s">
        <v>355</v>
      </c>
      <c r="C45" s="17">
        <v>2022506607</v>
      </c>
      <c r="D45" s="17">
        <v>2201010680</v>
      </c>
      <c r="E45" s="17" t="s">
        <v>1805</v>
      </c>
      <c r="F45" s="17" t="e">
        <f>VLOOKUP(C45,'Fast Track '!B:C,2,FALSE)</f>
        <v>#N/A</v>
      </c>
      <c r="G45" s="17" t="s">
        <v>3750</v>
      </c>
      <c r="H45" s="17" t="s">
        <v>356</v>
      </c>
      <c r="I45" s="17" t="str">
        <f>VLOOKUP(C45,Sheet1!D:J,6,FALSE)</f>
        <v>2022506607.shyamnath@pt.sharda.ac.in</v>
      </c>
      <c r="J45" s="17" t="str">
        <f>VLOOKUP(D45,Sheet1!E:K,6,FALSE)</f>
        <v>7903140320</v>
      </c>
      <c r="K45" s="17" t="s">
        <v>15</v>
      </c>
      <c r="L45" s="37" t="s">
        <v>3644</v>
      </c>
      <c r="M45" t="s">
        <v>3653</v>
      </c>
    </row>
    <row r="46" spans="1:13">
      <c r="A46" s="26">
        <v>45</v>
      </c>
      <c r="B46" s="17" t="s">
        <v>280</v>
      </c>
      <c r="C46" s="17">
        <v>2022005062</v>
      </c>
      <c r="D46" s="17">
        <v>2201010764</v>
      </c>
      <c r="E46" s="17" t="s">
        <v>1805</v>
      </c>
      <c r="F46" s="17" t="e">
        <f>VLOOKUP(C46,'Fast Track '!B:C,2,FALSE)</f>
        <v>#N/A</v>
      </c>
      <c r="G46" s="17" t="s">
        <v>3751</v>
      </c>
      <c r="H46" s="17" t="s">
        <v>281</v>
      </c>
      <c r="I46" s="17" t="str">
        <f>VLOOKUP(C46,Sheet1!D:J,6,FALSE)</f>
        <v>2022005062.varunpratap@pt.sharda.ac.in</v>
      </c>
      <c r="J46" s="17" t="str">
        <f>VLOOKUP(D46,Sheet1!E:K,6,FALSE)</f>
        <v>9058561411</v>
      </c>
      <c r="K46" s="17" t="s">
        <v>15</v>
      </c>
      <c r="L46" s="37" t="s">
        <v>3644</v>
      </c>
      <c r="M46" t="s">
        <v>3653</v>
      </c>
    </row>
    <row r="47" spans="1:13">
      <c r="A47" s="26">
        <v>46</v>
      </c>
      <c r="B47" s="17" t="s">
        <v>359</v>
      </c>
      <c r="C47" s="17">
        <v>2022511135</v>
      </c>
      <c r="D47" s="17">
        <v>2201010774</v>
      </c>
      <c r="E47" s="17" t="s">
        <v>1805</v>
      </c>
      <c r="F47" s="17" t="e">
        <f>VLOOKUP(C47,'Fast Track '!B:C,2,FALSE)</f>
        <v>#N/A</v>
      </c>
      <c r="G47" s="17" t="s">
        <v>3752</v>
      </c>
      <c r="H47" s="17" t="s">
        <v>360</v>
      </c>
      <c r="I47" s="17" t="str">
        <f>VLOOKUP(C47,Sheet1!D:J,6,FALSE)</f>
        <v>2022511135.ajaykumar@pt.sharda.ac.in</v>
      </c>
      <c r="J47" s="17" t="str">
        <f>VLOOKUP(D47,Sheet1!E:K,6,FALSE)</f>
        <v>8887729889</v>
      </c>
      <c r="K47" s="17" t="s">
        <v>15</v>
      </c>
      <c r="L47" s="37" t="s">
        <v>3644</v>
      </c>
      <c r="M47" t="s">
        <v>3653</v>
      </c>
    </row>
    <row r="48" spans="1:13">
      <c r="A48" s="26">
        <v>47</v>
      </c>
      <c r="B48" s="17" t="s">
        <v>343</v>
      </c>
      <c r="C48" s="17">
        <v>2022498812</v>
      </c>
      <c r="D48" s="17">
        <v>2201010796</v>
      </c>
      <c r="E48" s="17" t="s">
        <v>1805</v>
      </c>
      <c r="F48" s="17" t="str">
        <f>VLOOKUP(C48,'Fast Track '!B:C,2,FALSE)</f>
        <v xml:space="preserve">Fasttrack </v>
      </c>
      <c r="G48" s="17" t="s">
        <v>3753</v>
      </c>
      <c r="H48" s="17" t="s">
        <v>344</v>
      </c>
      <c r="I48" s="17" t="str">
        <f>VLOOKUP(C48,Sheet1!D:J,6,FALSE)</f>
        <v>2022498812.mukesh@pt.sharda.ac.in</v>
      </c>
      <c r="J48" s="17" t="str">
        <f>VLOOKUP(D48,Sheet1!E:K,6,FALSE)</f>
        <v>9910261441</v>
      </c>
      <c r="K48" s="17" t="s">
        <v>15</v>
      </c>
      <c r="L48" s="37" t="s">
        <v>3644</v>
      </c>
      <c r="M48" t="s">
        <v>3653</v>
      </c>
    </row>
    <row r="49" spans="1:13">
      <c r="A49" s="26">
        <v>48</v>
      </c>
      <c r="B49" s="17" t="s">
        <v>473</v>
      </c>
      <c r="C49" s="17">
        <v>2022508346</v>
      </c>
      <c r="D49" s="17">
        <v>2201010003</v>
      </c>
      <c r="E49" s="17" t="s">
        <v>1805</v>
      </c>
      <c r="F49" s="17" t="e">
        <f>VLOOKUP(C49,'Fast Track '!B:C,2,FALSE)</f>
        <v>#N/A</v>
      </c>
      <c r="G49" s="17" t="s">
        <v>3754</v>
      </c>
      <c r="H49" s="17" t="s">
        <v>474</v>
      </c>
      <c r="I49" s="17" t="str">
        <f>VLOOKUP(C49,Sheet1!D:J,6,FALSE)</f>
        <v>2022508346.anil@pt.sharda.ac.in</v>
      </c>
      <c r="J49" s="17" t="str">
        <f>VLOOKUP(D49,Sheet1!E:K,6,FALSE)</f>
        <v>7505018957</v>
      </c>
      <c r="K49" s="17" t="s">
        <v>15</v>
      </c>
      <c r="L49" s="37" t="s">
        <v>3644</v>
      </c>
      <c r="M49" t="s">
        <v>3653</v>
      </c>
    </row>
    <row r="50" spans="1:13">
      <c r="A50" s="26">
        <v>49</v>
      </c>
      <c r="B50" s="17" t="s">
        <v>438</v>
      </c>
      <c r="C50" s="17">
        <v>2022413603</v>
      </c>
      <c r="D50" s="17">
        <v>2201010153</v>
      </c>
      <c r="E50" s="17" t="s">
        <v>1805</v>
      </c>
      <c r="F50" s="17" t="e">
        <f>VLOOKUP(C50,'Fast Track '!B:C,2,FALSE)</f>
        <v>#N/A</v>
      </c>
      <c r="G50" s="17" t="s">
        <v>3755</v>
      </c>
      <c r="H50" s="17" t="s">
        <v>439</v>
      </c>
      <c r="I50" s="17" t="str">
        <f>VLOOKUP(C50,Sheet1!D:J,6,FALSE)</f>
        <v>2022413603.chnachal@pt.sharda.ac.in</v>
      </c>
      <c r="J50" s="17" t="str">
        <f>VLOOKUP(D50,Sheet1!E:K,6,FALSE)</f>
        <v>7895527454</v>
      </c>
      <c r="K50" s="17" t="s">
        <v>15</v>
      </c>
      <c r="L50" s="37" t="s">
        <v>3644</v>
      </c>
      <c r="M50" t="s">
        <v>3653</v>
      </c>
    </row>
    <row r="51" spans="1:13">
      <c r="A51" s="26">
        <v>50</v>
      </c>
      <c r="B51" s="17" t="s">
        <v>483</v>
      </c>
      <c r="C51" s="17">
        <v>2022519020</v>
      </c>
      <c r="D51" s="17">
        <v>2201010185</v>
      </c>
      <c r="E51" s="17" t="s">
        <v>1805</v>
      </c>
      <c r="F51" s="17" t="e">
        <f>VLOOKUP(C51,'Fast Track '!B:C,2,FALSE)</f>
        <v>#N/A</v>
      </c>
      <c r="G51" s="17" t="s">
        <v>3756</v>
      </c>
      <c r="H51" s="17" t="s">
        <v>484</v>
      </c>
      <c r="I51" s="17" t="str">
        <f>VLOOKUP(C51,Sheet1!D:J,6,FALSE)</f>
        <v>2022519020.chhedi@pt.sharda.ac.in</v>
      </c>
      <c r="J51" s="17" t="str">
        <f>VLOOKUP(D51,Sheet1!E:K,6,FALSE)</f>
        <v>9161767047</v>
      </c>
      <c r="K51" s="17" t="s">
        <v>15</v>
      </c>
      <c r="L51" s="37" t="s">
        <v>3644</v>
      </c>
      <c r="M51" t="s">
        <v>3653</v>
      </c>
    </row>
    <row r="52" spans="1:13">
      <c r="A52" s="26">
        <v>51</v>
      </c>
      <c r="B52" s="17" t="s">
        <v>467</v>
      </c>
      <c r="C52" s="17">
        <v>2022497244</v>
      </c>
      <c r="D52" s="17">
        <v>2201010237</v>
      </c>
      <c r="E52" s="17" t="s">
        <v>1805</v>
      </c>
      <c r="F52" s="17" t="e">
        <f>VLOOKUP(C52,'Fast Track '!B:C,2,FALSE)</f>
        <v>#N/A</v>
      </c>
      <c r="G52" s="17" t="s">
        <v>3757</v>
      </c>
      <c r="H52" s="17" t="s">
        <v>468</v>
      </c>
      <c r="I52" s="17" t="str">
        <f>VLOOKUP(C52,Sheet1!D:J,6,FALSE)</f>
        <v>2022497244.anwar@pt.sharda.ac.in</v>
      </c>
      <c r="J52" s="17" t="str">
        <f>VLOOKUP(D52,Sheet1!E:K,6,FALSE)</f>
        <v>8630446523</v>
      </c>
      <c r="K52" s="17" t="s">
        <v>15</v>
      </c>
      <c r="L52" s="37" t="s">
        <v>3644</v>
      </c>
      <c r="M52" t="s">
        <v>3653</v>
      </c>
    </row>
    <row r="53" spans="1:13">
      <c r="A53" s="26">
        <v>52</v>
      </c>
      <c r="B53" s="17" t="s">
        <v>313</v>
      </c>
      <c r="C53" s="17">
        <v>2022484179</v>
      </c>
      <c r="D53" s="17">
        <v>2201010285</v>
      </c>
      <c r="E53" s="17" t="s">
        <v>1805</v>
      </c>
      <c r="F53" s="17" t="e">
        <f>VLOOKUP(C53,'Fast Track '!B:C,2,FALSE)</f>
        <v>#N/A</v>
      </c>
      <c r="G53" s="17" t="s">
        <v>3758</v>
      </c>
      <c r="H53" s="17" t="s">
        <v>462</v>
      </c>
      <c r="I53" s="17" t="str">
        <f>VLOOKUP(C53,Sheet1!D:J,6,FALSE)</f>
        <v>2022484179.pramodkumar@pt.sharda.ac.in</v>
      </c>
      <c r="J53" s="17" t="str">
        <f>VLOOKUP(D53,Sheet1!E:K,6,FALSE)</f>
        <v>9304389808</v>
      </c>
      <c r="K53" s="17" t="s">
        <v>15</v>
      </c>
      <c r="L53" s="37" t="s">
        <v>3644</v>
      </c>
      <c r="M53" t="s">
        <v>3653</v>
      </c>
    </row>
    <row r="54" spans="1:13">
      <c r="A54" s="26">
        <v>53</v>
      </c>
      <c r="B54" s="17" t="s">
        <v>477</v>
      </c>
      <c r="C54" s="17">
        <v>2022515249</v>
      </c>
      <c r="D54" s="17">
        <v>2201010352</v>
      </c>
      <c r="E54" s="17" t="s">
        <v>1805</v>
      </c>
      <c r="F54" s="17" t="e">
        <f>VLOOKUP(C54,'Fast Track '!B:C,2,FALSE)</f>
        <v>#N/A</v>
      </c>
      <c r="G54" s="17" t="s">
        <v>3759</v>
      </c>
      <c r="H54" s="17" t="s">
        <v>478</v>
      </c>
      <c r="I54" s="17" t="str">
        <f>VLOOKUP(C54,Sheet1!D:J,6,FALSE)</f>
        <v>2022515249.mukesh@pt.sharda.ac.in</v>
      </c>
      <c r="J54" s="17" t="str">
        <f>VLOOKUP(D54,Sheet1!E:K,6,FALSE)</f>
        <v>9129848274</v>
      </c>
      <c r="K54" s="17" t="s">
        <v>15</v>
      </c>
      <c r="L54" s="37" t="s">
        <v>3644</v>
      </c>
      <c r="M54" t="s">
        <v>3653</v>
      </c>
    </row>
    <row r="55" spans="1:13">
      <c r="A55" s="26">
        <v>54</v>
      </c>
      <c r="B55" s="17" t="s">
        <v>465</v>
      </c>
      <c r="C55" s="17">
        <v>2022484682</v>
      </c>
      <c r="D55" s="17">
        <v>2201010807</v>
      </c>
      <c r="E55" s="17" t="s">
        <v>1805</v>
      </c>
      <c r="F55" s="17" t="e">
        <f>VLOOKUP(C55,'Fast Track '!B:C,2,FALSE)</f>
        <v>#N/A</v>
      </c>
      <c r="G55" s="17" t="s">
        <v>3760</v>
      </c>
      <c r="H55" s="17" t="s">
        <v>466</v>
      </c>
      <c r="I55" s="17" t="str">
        <f>VLOOKUP(C55,Sheet1!D:J,6,FALSE)</f>
        <v>2022484682.arjun@pt.sharda.ac.in</v>
      </c>
      <c r="J55" s="17" t="str">
        <f>VLOOKUP(D55,Sheet1!E:K,6,FALSE)</f>
        <v>9414268820</v>
      </c>
      <c r="K55" s="17" t="s">
        <v>15</v>
      </c>
      <c r="L55" s="37" t="s">
        <v>3644</v>
      </c>
      <c r="M55" t="s">
        <v>3653</v>
      </c>
    </row>
    <row r="56" spans="1:13">
      <c r="A56" s="26">
        <v>55</v>
      </c>
      <c r="B56" s="17" t="s">
        <v>625</v>
      </c>
      <c r="C56" s="17">
        <v>2022540466</v>
      </c>
      <c r="D56" s="17">
        <v>2201010135</v>
      </c>
      <c r="E56" s="17" t="s">
        <v>1805</v>
      </c>
      <c r="F56" s="17" t="e">
        <f>VLOOKUP(C56,'Fast Track '!B:C,2,FALSE)</f>
        <v>#N/A</v>
      </c>
      <c r="G56" s="17" t="s">
        <v>3761</v>
      </c>
      <c r="H56" s="17" t="s">
        <v>626</v>
      </c>
      <c r="I56" s="17" t="str">
        <f>VLOOKUP(C56,Sheet1!D:J,6,FALSE)</f>
        <v>2022540466.jagga@pt.sharda.ac.in</v>
      </c>
      <c r="J56" s="17" t="str">
        <f>VLOOKUP(D56,Sheet1!E:K,6,FALSE)</f>
        <v>9462607285</v>
      </c>
      <c r="K56" s="17" t="s">
        <v>15</v>
      </c>
      <c r="L56" s="37" t="s">
        <v>3644</v>
      </c>
      <c r="M56" t="s">
        <v>3653</v>
      </c>
    </row>
    <row r="57" spans="1:13">
      <c r="A57" s="26">
        <v>56</v>
      </c>
      <c r="B57" s="17" t="s">
        <v>598</v>
      </c>
      <c r="C57" s="17">
        <v>2022506880</v>
      </c>
      <c r="D57" s="17">
        <v>2201010275</v>
      </c>
      <c r="E57" s="17" t="s">
        <v>1805</v>
      </c>
      <c r="F57" s="17" t="e">
        <f>VLOOKUP(C57,'Fast Track '!B:C,2,FALSE)</f>
        <v>#N/A</v>
      </c>
      <c r="G57" s="17" t="s">
        <v>3762</v>
      </c>
      <c r="H57" s="17" t="s">
        <v>599</v>
      </c>
      <c r="I57" s="17" t="str">
        <f>VLOOKUP(C57,Sheet1!D:J,6,FALSE)</f>
        <v>2022506880.durga@pt.sharda.ac.in</v>
      </c>
      <c r="J57" s="17" t="str">
        <f>VLOOKUP(D57,Sheet1!E:K,6,FALSE)</f>
        <v>7060867763</v>
      </c>
      <c r="K57" s="17" t="s">
        <v>15</v>
      </c>
      <c r="L57" s="37" t="s">
        <v>3644</v>
      </c>
      <c r="M57" t="s">
        <v>3653</v>
      </c>
    </row>
    <row r="58" spans="1:13">
      <c r="A58" s="26">
        <v>57</v>
      </c>
      <c r="B58" s="17" t="s">
        <v>635</v>
      </c>
      <c r="C58" s="17">
        <v>2022805251</v>
      </c>
      <c r="D58" s="17">
        <v>2201010543</v>
      </c>
      <c r="E58" s="17" t="s">
        <v>1805</v>
      </c>
      <c r="F58" s="17" t="e">
        <f>VLOOKUP(C58,'Fast Track '!B:C,2,FALSE)</f>
        <v>#N/A</v>
      </c>
      <c r="G58" s="17" t="s">
        <v>3763</v>
      </c>
      <c r="H58" s="17" t="s">
        <v>636</v>
      </c>
      <c r="I58" s="17" t="str">
        <f>VLOOKUP(C58,Sheet1!D:J,6,FALSE)</f>
        <v>2022805251.parshuram@pt.sharda.ac.in</v>
      </c>
      <c r="J58" s="17" t="str">
        <f>VLOOKUP(D58,Sheet1!E:K,6,FALSE)</f>
        <v>91 9661565894</v>
      </c>
      <c r="K58" s="17" t="s">
        <v>15</v>
      </c>
      <c r="L58" s="37" t="s">
        <v>3644</v>
      </c>
      <c r="M58" t="s">
        <v>3653</v>
      </c>
    </row>
    <row r="59" spans="1:13">
      <c r="A59" s="26">
        <v>58</v>
      </c>
      <c r="B59" s="17" t="s">
        <v>713</v>
      </c>
      <c r="C59" s="17">
        <v>2022453096</v>
      </c>
      <c r="D59" s="17">
        <v>2201010510</v>
      </c>
      <c r="E59" s="17" t="s">
        <v>1805</v>
      </c>
      <c r="F59" s="17" t="e">
        <f>VLOOKUP(C59,'Fast Track '!B:C,2,FALSE)</f>
        <v>#N/A</v>
      </c>
      <c r="G59" s="17" t="s">
        <v>3764</v>
      </c>
      <c r="H59" s="17" t="s">
        <v>714</v>
      </c>
      <c r="I59" s="17" t="str">
        <f>VLOOKUP(C59,Sheet1!D:J,6,FALSE)</f>
        <v>2022453096.viplav@pt.sharda.ac.in</v>
      </c>
      <c r="J59" s="17" t="str">
        <f>VLOOKUP(D59,Sheet1!E:K,6,FALSE)</f>
        <v>8271863383</v>
      </c>
      <c r="K59" s="17" t="s">
        <v>15</v>
      </c>
      <c r="L59" s="37" t="s">
        <v>3644</v>
      </c>
      <c r="M59" t="s">
        <v>3653</v>
      </c>
    </row>
    <row r="60" spans="1:13">
      <c r="A60" s="26">
        <v>59</v>
      </c>
      <c r="B60" s="17" t="s">
        <v>701</v>
      </c>
      <c r="C60" s="17">
        <v>2022007819</v>
      </c>
      <c r="D60" s="17">
        <v>2201010866</v>
      </c>
      <c r="E60" s="17" t="s">
        <v>1805</v>
      </c>
      <c r="F60" s="17" t="e">
        <f>VLOOKUP(C60,'Fast Track '!B:C,2,FALSE)</f>
        <v>#N/A</v>
      </c>
      <c r="G60" s="17" t="s">
        <v>3765</v>
      </c>
      <c r="H60" s="17" t="s">
        <v>702</v>
      </c>
      <c r="I60" s="17" t="str">
        <f>VLOOKUP(C60,Sheet1!D:J,6,FALSE)</f>
        <v>2022007819.ramanand@pt.sharda.ac.in</v>
      </c>
      <c r="J60" s="17" t="str">
        <f>VLOOKUP(D60,Sheet1!E:K,6,FALSE)</f>
        <v>6299567700</v>
      </c>
      <c r="K60" s="17" t="s">
        <v>15</v>
      </c>
      <c r="L60" s="37" t="s">
        <v>3644</v>
      </c>
      <c r="M60" t="s">
        <v>3653</v>
      </c>
    </row>
    <row r="61" spans="1:13">
      <c r="A61" s="26">
        <v>60</v>
      </c>
      <c r="B61" s="17" t="s">
        <v>751</v>
      </c>
      <c r="C61" s="17">
        <v>2022835895</v>
      </c>
      <c r="D61" s="17">
        <v>2201010910</v>
      </c>
      <c r="E61" s="17" t="s">
        <v>1805</v>
      </c>
      <c r="F61" s="17" t="e">
        <f>VLOOKUP(C61,'Fast Track '!B:C,2,FALSE)</f>
        <v>#N/A</v>
      </c>
      <c r="G61" s="17" t="s">
        <v>3766</v>
      </c>
      <c r="H61" s="17" t="s">
        <v>752</v>
      </c>
      <c r="I61" s="17" t="str">
        <f>VLOOKUP(C61,Sheet1!D:J,6,FALSE)</f>
        <v>2022835895.pashupati@pt.sharda.ac.in</v>
      </c>
      <c r="J61" s="17" t="str">
        <f>VLOOKUP(D61,Sheet1!E:K,6,FALSE)</f>
        <v>91 8084332903</v>
      </c>
      <c r="K61" s="17" t="s">
        <v>15</v>
      </c>
      <c r="L61" s="37" t="s">
        <v>3644</v>
      </c>
      <c r="M61" t="s">
        <v>3653</v>
      </c>
    </row>
    <row r="62" spans="1:13">
      <c r="A62" s="26">
        <v>61</v>
      </c>
      <c r="B62" s="17" t="s">
        <v>323</v>
      </c>
      <c r="C62" s="17">
        <v>2022472005</v>
      </c>
      <c r="D62" s="17">
        <v>2201010296</v>
      </c>
      <c r="E62" s="17" t="s">
        <v>1805</v>
      </c>
      <c r="F62" s="17" t="e">
        <f>VLOOKUP(C62,'Fast Track '!B:C,2,FALSE)</f>
        <v>#N/A</v>
      </c>
      <c r="G62" s="17" t="s">
        <v>3767</v>
      </c>
      <c r="H62" s="17" t="s">
        <v>324</v>
      </c>
      <c r="I62" s="17" t="str">
        <f>VLOOKUP(C62,Sheet1!D:J,6,FALSE)</f>
        <v>2022472005.arunkumar@pt.sharda.ac.in</v>
      </c>
      <c r="J62" s="17" t="str">
        <f>VLOOKUP(D62,Sheet1!E:K,6,FALSE)</f>
        <v>8434862779</v>
      </c>
      <c r="K62" s="17" t="s">
        <v>15</v>
      </c>
      <c r="L62" s="37" t="s">
        <v>3644</v>
      </c>
      <c r="M62" t="s">
        <v>3653</v>
      </c>
    </row>
    <row r="63" spans="1:13">
      <c r="A63" s="26">
        <v>62</v>
      </c>
      <c r="B63" s="17" t="s">
        <v>347</v>
      </c>
      <c r="C63" s="17">
        <v>2022504261</v>
      </c>
      <c r="D63" s="17">
        <v>2201010475</v>
      </c>
      <c r="E63" s="17" t="s">
        <v>1805</v>
      </c>
      <c r="F63" s="17" t="e">
        <f>VLOOKUP(C63,'Fast Track '!B:C,2,FALSE)</f>
        <v>#N/A</v>
      </c>
      <c r="G63" s="17" t="s">
        <v>3768</v>
      </c>
      <c r="H63" s="17" t="s">
        <v>348</v>
      </c>
      <c r="I63" s="17" t="str">
        <f>VLOOKUP(C63,Sheet1!D:J,6,FALSE)</f>
        <v>2022504261.arunkumar@pt.sharda.ac.in</v>
      </c>
      <c r="J63" s="17" t="str">
        <f>VLOOKUP(D63,Sheet1!E:K,6,FALSE)</f>
        <v>8797904778</v>
      </c>
      <c r="K63" s="17" t="s">
        <v>15</v>
      </c>
      <c r="L63" s="37" t="s">
        <v>3644</v>
      </c>
      <c r="M63" t="s">
        <v>3653</v>
      </c>
    </row>
    <row r="64" spans="1:13">
      <c r="A64" s="26">
        <v>63</v>
      </c>
      <c r="B64" s="17" t="s">
        <v>268</v>
      </c>
      <c r="C64" s="17">
        <v>2022003889</v>
      </c>
      <c r="D64" s="17">
        <v>2201010770</v>
      </c>
      <c r="E64" s="17" t="s">
        <v>1805</v>
      </c>
      <c r="F64" s="17" t="e">
        <f>VLOOKUP(C64,'Fast Track '!B:C,2,FALSE)</f>
        <v>#N/A</v>
      </c>
      <c r="G64" s="17" t="s">
        <v>3769</v>
      </c>
      <c r="H64" s="17" t="s">
        <v>269</v>
      </c>
      <c r="I64" s="17" t="str">
        <f>VLOOKUP(C64,Sheet1!D:J,6,FALSE)</f>
        <v>2022003889.subhash@pt.sharda.ac.in</v>
      </c>
      <c r="J64" s="17" t="str">
        <f>VLOOKUP(D64,Sheet1!E:K,6,FALSE)</f>
        <v>9034265709</v>
      </c>
      <c r="K64" s="17" t="s">
        <v>15</v>
      </c>
      <c r="L64" s="37" t="s">
        <v>3644</v>
      </c>
      <c r="M64" t="s">
        <v>3653</v>
      </c>
    </row>
    <row r="65" spans="1:13">
      <c r="A65" s="26">
        <v>64</v>
      </c>
      <c r="B65" s="17" t="s">
        <v>711</v>
      </c>
      <c r="C65" s="17">
        <v>2022450179</v>
      </c>
      <c r="D65" s="17">
        <v>2201010826</v>
      </c>
      <c r="E65" s="17" t="s">
        <v>1805</v>
      </c>
      <c r="F65" s="17" t="e">
        <f>VLOOKUP(C65,'Fast Track '!B:C,2,FALSE)</f>
        <v>#N/A</v>
      </c>
      <c r="G65" s="17" t="s">
        <v>3770</v>
      </c>
      <c r="H65" s="17" t="s">
        <v>712</v>
      </c>
      <c r="I65" s="17" t="str">
        <f>VLOOKUP(C65,Sheet1!D:J,6,FALSE)</f>
        <v>2022450179.abdulhamied@pt.sharda.ac.in</v>
      </c>
      <c r="J65" s="17" t="str">
        <f>VLOOKUP(D65,Sheet1!E:K,6,FALSE)</f>
        <v>8899667050</v>
      </c>
      <c r="K65" s="17" t="s">
        <v>15</v>
      </c>
      <c r="L65" s="37" t="s">
        <v>3644</v>
      </c>
      <c r="M65" t="s">
        <v>3653</v>
      </c>
    </row>
    <row r="66" spans="1:13">
      <c r="A66" s="26">
        <v>65</v>
      </c>
      <c r="B66" s="54" t="s">
        <v>1753</v>
      </c>
      <c r="C66" s="55">
        <v>2022435623</v>
      </c>
      <c r="D66" s="55">
        <v>2201010108</v>
      </c>
      <c r="E66" s="17" t="s">
        <v>1805</v>
      </c>
      <c r="F66" s="17" t="e">
        <f>VLOOKUP(C66,'Fast Track '!B:C,2,FALSE)</f>
        <v>#N/A</v>
      </c>
      <c r="G66" s="17" t="s">
        <v>3771</v>
      </c>
      <c r="H66" s="54" t="s">
        <v>1754</v>
      </c>
      <c r="I66" s="54" t="s">
        <v>3101</v>
      </c>
      <c r="J66" s="54" t="s">
        <v>3102</v>
      </c>
      <c r="K66" s="54" t="s">
        <v>1401</v>
      </c>
      <c r="L66" s="60" t="s">
        <v>3644</v>
      </c>
      <c r="M66" s="57" t="s">
        <v>3674</v>
      </c>
    </row>
    <row r="67" spans="1:13">
      <c r="A67" s="26">
        <v>66</v>
      </c>
      <c r="B67" s="54" t="s">
        <v>668</v>
      </c>
      <c r="C67" s="55">
        <v>2022431018</v>
      </c>
      <c r="D67" s="55">
        <v>2201010421</v>
      </c>
      <c r="E67" s="17" t="s">
        <v>1805</v>
      </c>
      <c r="F67" s="17" t="e">
        <f>VLOOKUP(C67,'Fast Track '!B:C,2,FALSE)</f>
        <v>#N/A</v>
      </c>
      <c r="G67" s="17" t="s">
        <v>3772</v>
      </c>
      <c r="H67" s="54" t="s">
        <v>1748</v>
      </c>
      <c r="I67" s="54" t="s">
        <v>3103</v>
      </c>
      <c r="J67" s="54" t="s">
        <v>3104</v>
      </c>
      <c r="K67" s="54" t="s">
        <v>1401</v>
      </c>
      <c r="L67" s="60" t="s">
        <v>3644</v>
      </c>
      <c r="M67" s="57" t="s">
        <v>3674</v>
      </c>
    </row>
    <row r="68" spans="1:13">
      <c r="A68" s="26">
        <v>67</v>
      </c>
      <c r="B68" s="54" t="s">
        <v>1751</v>
      </c>
      <c r="C68" s="55">
        <v>2022434137</v>
      </c>
      <c r="D68" s="55">
        <v>2201010501</v>
      </c>
      <c r="E68" s="17" t="s">
        <v>1805</v>
      </c>
      <c r="F68" s="17" t="e">
        <f>VLOOKUP(C68,'Fast Track '!B:C,2,FALSE)</f>
        <v>#N/A</v>
      </c>
      <c r="G68" s="17" t="s">
        <v>3773</v>
      </c>
      <c r="H68" s="54" t="s">
        <v>1752</v>
      </c>
      <c r="I68" s="54" t="s">
        <v>3105</v>
      </c>
      <c r="J68" s="54" t="s">
        <v>3106</v>
      </c>
      <c r="K68" s="54" t="s">
        <v>1401</v>
      </c>
      <c r="L68" s="60" t="s">
        <v>3644</v>
      </c>
      <c r="M68" s="57" t="s">
        <v>3674</v>
      </c>
    </row>
    <row r="69" spans="1:13">
      <c r="A69" s="26">
        <v>68</v>
      </c>
      <c r="B69" s="54" t="s">
        <v>1451</v>
      </c>
      <c r="C69" s="55">
        <v>2022343833</v>
      </c>
      <c r="D69" s="55">
        <v>2201010129</v>
      </c>
      <c r="E69" s="17" t="s">
        <v>1805</v>
      </c>
      <c r="F69" s="17" t="e">
        <f>VLOOKUP(C69,'Fast Track '!B:C,2,FALSE)</f>
        <v>#N/A</v>
      </c>
      <c r="G69" s="17" t="s">
        <v>3774</v>
      </c>
      <c r="H69" s="54" t="s">
        <v>1452</v>
      </c>
      <c r="I69" s="54" t="s">
        <v>3227</v>
      </c>
      <c r="J69" s="54" t="s">
        <v>3228</v>
      </c>
      <c r="K69" s="54" t="s">
        <v>1401</v>
      </c>
      <c r="L69" s="60" t="s">
        <v>3644</v>
      </c>
      <c r="M69" s="57" t="s">
        <v>3674</v>
      </c>
    </row>
    <row r="70" spans="1:13">
      <c r="A70" s="26">
        <v>69</v>
      </c>
      <c r="B70" s="54" t="s">
        <v>1488</v>
      </c>
      <c r="C70" s="55">
        <v>2022601278</v>
      </c>
      <c r="D70" s="55">
        <v>2201010921</v>
      </c>
      <c r="E70" s="17" t="s">
        <v>1805</v>
      </c>
      <c r="F70" s="17" t="str">
        <f>VLOOKUP(C70,'Fast Track '!B:C,2,FALSE)</f>
        <v xml:space="preserve">Fasttrack </v>
      </c>
      <c r="G70" s="17" t="s">
        <v>3775</v>
      </c>
      <c r="H70" s="54" t="s">
        <v>1489</v>
      </c>
      <c r="I70" s="54" t="s">
        <v>3229</v>
      </c>
      <c r="J70" s="54" t="s">
        <v>3230</v>
      </c>
      <c r="K70" s="54" t="s">
        <v>1401</v>
      </c>
      <c r="L70" s="60" t="s">
        <v>3644</v>
      </c>
      <c r="M70" s="57" t="s">
        <v>3674</v>
      </c>
    </row>
    <row r="71" spans="1:13">
      <c r="A71" s="26">
        <v>70</v>
      </c>
      <c r="B71" s="54" t="s">
        <v>1580</v>
      </c>
      <c r="C71" s="55">
        <v>2022523814</v>
      </c>
      <c r="D71" s="55">
        <v>2201010130</v>
      </c>
      <c r="E71" s="17" t="s">
        <v>1805</v>
      </c>
      <c r="F71" s="17" t="e">
        <f>VLOOKUP(C71,'Fast Track '!B:C,2,FALSE)</f>
        <v>#N/A</v>
      </c>
      <c r="G71" s="17" t="s">
        <v>3776</v>
      </c>
      <c r="H71" s="54" t="s">
        <v>1581</v>
      </c>
      <c r="I71" s="54" t="s">
        <v>3357</v>
      </c>
      <c r="J71" s="54" t="s">
        <v>3358</v>
      </c>
      <c r="K71" s="54" t="s">
        <v>1401</v>
      </c>
      <c r="L71" s="60" t="s">
        <v>3644</v>
      </c>
      <c r="M71" s="57" t="s">
        <v>3674</v>
      </c>
    </row>
    <row r="72" spans="1:13">
      <c r="A72" s="26">
        <v>71</v>
      </c>
      <c r="B72" s="54" t="s">
        <v>1539</v>
      </c>
      <c r="C72" s="55">
        <v>2022314446</v>
      </c>
      <c r="D72" s="55">
        <v>2201010181</v>
      </c>
      <c r="E72" s="17" t="s">
        <v>1805</v>
      </c>
      <c r="F72" s="17" t="e">
        <f>VLOOKUP(C72,'Fast Track '!B:C,2,FALSE)</f>
        <v>#N/A</v>
      </c>
      <c r="G72" s="17" t="s">
        <v>3777</v>
      </c>
      <c r="H72" s="54" t="s">
        <v>1540</v>
      </c>
      <c r="I72" s="54" t="s">
        <v>3359</v>
      </c>
      <c r="J72" s="54" t="s">
        <v>3360</v>
      </c>
      <c r="K72" s="54" t="s">
        <v>1401</v>
      </c>
      <c r="L72" s="60" t="s">
        <v>3644</v>
      </c>
      <c r="M72" s="57" t="s">
        <v>3674</v>
      </c>
    </row>
    <row r="73" spans="1:13">
      <c r="A73" s="26">
        <v>72</v>
      </c>
      <c r="B73" s="54" t="s">
        <v>1545</v>
      </c>
      <c r="C73" s="55">
        <v>2022342643</v>
      </c>
      <c r="D73" s="55">
        <v>2201010228</v>
      </c>
      <c r="E73" s="17" t="s">
        <v>1805</v>
      </c>
      <c r="F73" s="17" t="e">
        <f>VLOOKUP(C73,'Fast Track '!B:C,2,FALSE)</f>
        <v>#N/A</v>
      </c>
      <c r="G73" s="17" t="s">
        <v>3778</v>
      </c>
      <c r="H73" s="54" t="s">
        <v>1546</v>
      </c>
      <c r="I73" s="54" t="s">
        <v>3361</v>
      </c>
      <c r="J73" s="54" t="s">
        <v>3362</v>
      </c>
      <c r="K73" s="54" t="s">
        <v>1401</v>
      </c>
      <c r="L73" s="60" t="s">
        <v>3644</v>
      </c>
      <c r="M73" s="57" t="s">
        <v>3674</v>
      </c>
    </row>
    <row r="74" spans="1:13">
      <c r="A74" s="26">
        <v>73</v>
      </c>
      <c r="B74" s="54" t="s">
        <v>1427</v>
      </c>
      <c r="C74" s="55">
        <v>2022007077</v>
      </c>
      <c r="D74" s="55">
        <v>2201010343</v>
      </c>
      <c r="E74" s="17" t="s">
        <v>1805</v>
      </c>
      <c r="F74" s="17" t="e">
        <f>VLOOKUP(C74,'Fast Track '!B:C,2,FALSE)</f>
        <v>#N/A</v>
      </c>
      <c r="G74" s="17" t="s">
        <v>3779</v>
      </c>
      <c r="H74" s="54" t="s">
        <v>1428</v>
      </c>
      <c r="I74" s="54" t="s">
        <v>3363</v>
      </c>
      <c r="J74" s="54" t="s">
        <v>3364</v>
      </c>
      <c r="K74" s="54" t="s">
        <v>1401</v>
      </c>
      <c r="L74" s="60" t="s">
        <v>3644</v>
      </c>
      <c r="M74" s="57" t="s">
        <v>3674</v>
      </c>
    </row>
    <row r="75" spans="1:13">
      <c r="A75" s="26">
        <v>74</v>
      </c>
      <c r="B75" s="54" t="s">
        <v>1413</v>
      </c>
      <c r="C75" s="55">
        <v>2022006247</v>
      </c>
      <c r="D75" s="55">
        <v>2201010359</v>
      </c>
      <c r="E75" s="17" t="s">
        <v>1805</v>
      </c>
      <c r="F75" s="17" t="e">
        <f>VLOOKUP(C75,'Fast Track '!B:C,2,FALSE)</f>
        <v>#N/A</v>
      </c>
      <c r="G75" s="17" t="s">
        <v>3780</v>
      </c>
      <c r="H75" s="54" t="s">
        <v>1414</v>
      </c>
      <c r="I75" s="54" t="s">
        <v>3365</v>
      </c>
      <c r="J75" s="54" t="s">
        <v>3366</v>
      </c>
      <c r="K75" s="54" t="s">
        <v>1401</v>
      </c>
      <c r="L75" s="60" t="s">
        <v>3644</v>
      </c>
      <c r="M75" s="57" t="s">
        <v>3674</v>
      </c>
    </row>
    <row r="76" spans="1:13">
      <c r="A76" s="26">
        <v>75</v>
      </c>
      <c r="B76" s="54" t="s">
        <v>1588</v>
      </c>
      <c r="C76" s="55">
        <v>2022006233</v>
      </c>
      <c r="D76" s="55">
        <v>2201010425</v>
      </c>
      <c r="E76" s="17" t="s">
        <v>1805</v>
      </c>
      <c r="F76" s="17" t="e">
        <f>VLOOKUP(C76,'Fast Track '!B:C,2,FALSE)</f>
        <v>#N/A</v>
      </c>
      <c r="G76" s="17" t="s">
        <v>3781</v>
      </c>
      <c r="H76" s="54" t="s">
        <v>1589</v>
      </c>
      <c r="I76" s="54" t="s">
        <v>3367</v>
      </c>
      <c r="J76" s="54" t="s">
        <v>3368</v>
      </c>
      <c r="K76" s="54" t="s">
        <v>1401</v>
      </c>
      <c r="L76" s="60" t="s">
        <v>3644</v>
      </c>
      <c r="M76" s="57" t="s">
        <v>3674</v>
      </c>
    </row>
    <row r="77" spans="1:13">
      <c r="A77" s="26">
        <v>76</v>
      </c>
      <c r="B77" s="54" t="s">
        <v>1494</v>
      </c>
      <c r="C77" s="55">
        <v>2022817981</v>
      </c>
      <c r="D77" s="55">
        <v>2201010442</v>
      </c>
      <c r="E77" s="17" t="s">
        <v>1805</v>
      </c>
      <c r="F77" s="17" t="e">
        <f>VLOOKUP(C77,'Fast Track '!B:C,2,FALSE)</f>
        <v>#N/A</v>
      </c>
      <c r="G77" s="17" t="s">
        <v>3782</v>
      </c>
      <c r="H77" s="54" t="s">
        <v>1495</v>
      </c>
      <c r="I77" s="54" t="s">
        <v>3369</v>
      </c>
      <c r="J77" s="54" t="s">
        <v>3370</v>
      </c>
      <c r="K77" s="54" t="s">
        <v>1401</v>
      </c>
      <c r="L77" s="60" t="s">
        <v>3644</v>
      </c>
      <c r="M77" s="57" t="s">
        <v>3674</v>
      </c>
    </row>
    <row r="78" spans="1:13">
      <c r="A78" s="26">
        <v>77</v>
      </c>
      <c r="B78" s="54" t="s">
        <v>838</v>
      </c>
      <c r="C78" s="55">
        <v>2022003325</v>
      </c>
      <c r="D78" s="55">
        <v>2201010535</v>
      </c>
      <c r="E78" s="17" t="s">
        <v>1805</v>
      </c>
      <c r="F78" s="17" t="e">
        <f>VLOOKUP(C78,'Fast Track '!B:C,2,FALSE)</f>
        <v>#N/A</v>
      </c>
      <c r="G78" s="17" t="s">
        <v>3783</v>
      </c>
      <c r="H78" s="54" t="s">
        <v>1517</v>
      </c>
      <c r="I78" s="54" t="s">
        <v>3371</v>
      </c>
      <c r="J78" s="54" t="s">
        <v>3372</v>
      </c>
      <c r="K78" s="54" t="s">
        <v>1401</v>
      </c>
      <c r="L78" s="60" t="s">
        <v>3644</v>
      </c>
      <c r="M78" s="57" t="s">
        <v>3674</v>
      </c>
    </row>
    <row r="79" spans="1:13">
      <c r="A79" s="26">
        <v>78</v>
      </c>
      <c r="B79" s="54" t="s">
        <v>1429</v>
      </c>
      <c r="C79" s="55">
        <v>2022007217</v>
      </c>
      <c r="D79" s="55">
        <v>2201010916</v>
      </c>
      <c r="E79" s="17" t="s">
        <v>1805</v>
      </c>
      <c r="F79" s="17" t="str">
        <f>VLOOKUP(C79,'Fast Track '!B:C,2,FALSE)</f>
        <v xml:space="preserve">Fasttrack </v>
      </c>
      <c r="G79" s="17" t="s">
        <v>3784</v>
      </c>
      <c r="H79" s="54" t="s">
        <v>1430</v>
      </c>
      <c r="I79" s="54" t="s">
        <v>3373</v>
      </c>
      <c r="J79" s="54" t="s">
        <v>3374</v>
      </c>
      <c r="K79" s="54" t="s">
        <v>1401</v>
      </c>
      <c r="L79" s="60" t="s">
        <v>3644</v>
      </c>
      <c r="M79" s="57" t="s">
        <v>3674</v>
      </c>
    </row>
    <row r="80" spans="1:13">
      <c r="A80" s="26">
        <v>79</v>
      </c>
      <c r="B80" s="54" t="s">
        <v>1478</v>
      </c>
      <c r="C80" s="55">
        <v>2022543882</v>
      </c>
      <c r="D80" s="55">
        <v>2201010918</v>
      </c>
      <c r="E80" s="17" t="s">
        <v>1805</v>
      </c>
      <c r="F80" s="17" t="e">
        <f>VLOOKUP(C80,'Fast Track '!B:C,2,FALSE)</f>
        <v>#N/A</v>
      </c>
      <c r="G80" s="17" t="s">
        <v>3785</v>
      </c>
      <c r="H80" s="54" t="s">
        <v>1479</v>
      </c>
      <c r="I80" s="54" t="s">
        <v>3375</v>
      </c>
      <c r="J80" s="54" t="s">
        <v>3376</v>
      </c>
      <c r="K80" s="54" t="s">
        <v>1401</v>
      </c>
      <c r="L80" s="60" t="s">
        <v>3644</v>
      </c>
      <c r="M80" s="57" t="s">
        <v>3674</v>
      </c>
    </row>
    <row r="81" spans="1:13">
      <c r="A81" s="26">
        <v>80</v>
      </c>
      <c r="B81" s="54" t="s">
        <v>1584</v>
      </c>
      <c r="C81" s="55">
        <v>2022594965</v>
      </c>
      <c r="D81" s="55">
        <v>2201010919</v>
      </c>
      <c r="E81" s="17" t="s">
        <v>1805</v>
      </c>
      <c r="F81" s="17" t="str">
        <f>VLOOKUP(C81,'Fast Track '!B:C,2,FALSE)</f>
        <v xml:space="preserve">Fasttrack </v>
      </c>
      <c r="G81" s="17" t="s">
        <v>3786</v>
      </c>
      <c r="H81" s="54" t="s">
        <v>1585</v>
      </c>
      <c r="I81" s="54" t="s">
        <v>3377</v>
      </c>
      <c r="J81" s="54" t="s">
        <v>3378</v>
      </c>
      <c r="K81" s="54" t="s">
        <v>1401</v>
      </c>
      <c r="L81" s="60" t="s">
        <v>3644</v>
      </c>
      <c r="M81" s="57" t="s">
        <v>3674</v>
      </c>
    </row>
    <row r="82" spans="1:13">
      <c r="A82" s="26">
        <v>81</v>
      </c>
      <c r="B82" s="54" t="s">
        <v>1486</v>
      </c>
      <c r="C82" s="55">
        <v>2022597147</v>
      </c>
      <c r="D82" s="55">
        <v>2201010920</v>
      </c>
      <c r="E82" s="17" t="s">
        <v>1805</v>
      </c>
      <c r="F82" s="17" t="e">
        <f>VLOOKUP(C82,'Fast Track '!B:C,2,FALSE)</f>
        <v>#N/A</v>
      </c>
      <c r="G82" s="17" t="s">
        <v>3787</v>
      </c>
      <c r="H82" s="54" t="s">
        <v>1487</v>
      </c>
      <c r="I82" s="54" t="s">
        <v>3379</v>
      </c>
      <c r="J82" s="54" t="s">
        <v>3380</v>
      </c>
      <c r="K82" s="54" t="s">
        <v>1401</v>
      </c>
      <c r="L82" s="60" t="s">
        <v>3644</v>
      </c>
      <c r="M82" s="57" t="s">
        <v>3674</v>
      </c>
    </row>
    <row r="83" spans="1:13">
      <c r="A83" s="26">
        <v>82</v>
      </c>
      <c r="B83" s="54" t="s">
        <v>1399</v>
      </c>
      <c r="C83" s="55">
        <v>2022003741</v>
      </c>
      <c r="D83" s="55">
        <v>2201070028</v>
      </c>
      <c r="E83" s="17" t="s">
        <v>1805</v>
      </c>
      <c r="F83" s="17" t="e">
        <f>VLOOKUP(C83,'Fast Track '!B:C,2,FALSE)</f>
        <v>#N/A</v>
      </c>
      <c r="G83" s="17" t="s">
        <v>3788</v>
      </c>
      <c r="H83" s="54" t="s">
        <v>1400</v>
      </c>
      <c r="I83" s="54" t="s">
        <v>3381</v>
      </c>
      <c r="J83" s="54" t="s">
        <v>3382</v>
      </c>
      <c r="K83" s="54" t="s">
        <v>1401</v>
      </c>
      <c r="L83" s="60" t="s">
        <v>3644</v>
      </c>
      <c r="M83" s="57" t="s">
        <v>3674</v>
      </c>
    </row>
    <row r="84" spans="1:13">
      <c r="A84" s="26">
        <v>83</v>
      </c>
      <c r="B84" s="54" t="s">
        <v>1611</v>
      </c>
      <c r="C84" s="55">
        <v>2022006824</v>
      </c>
      <c r="D84" s="55">
        <v>2201010093</v>
      </c>
      <c r="E84" s="17" t="s">
        <v>1805</v>
      </c>
      <c r="F84" s="17" t="e">
        <f>VLOOKUP(C84,'Fast Track '!B:C,2,FALSE)</f>
        <v>#N/A</v>
      </c>
      <c r="G84" s="17" t="s">
        <v>3789</v>
      </c>
      <c r="H84" s="54" t="s">
        <v>1612</v>
      </c>
      <c r="I84" s="54" t="s">
        <v>3483</v>
      </c>
      <c r="J84" s="54" t="s">
        <v>3484</v>
      </c>
      <c r="K84" s="54" t="s">
        <v>1401</v>
      </c>
      <c r="L84" s="60" t="s">
        <v>3644</v>
      </c>
      <c r="M84" s="57" t="s">
        <v>3674</v>
      </c>
    </row>
    <row r="85" spans="1:13">
      <c r="A85" s="26">
        <v>84</v>
      </c>
      <c r="B85" s="54" t="s">
        <v>1453</v>
      </c>
      <c r="C85" s="55">
        <v>2022351697</v>
      </c>
      <c r="D85" s="55">
        <v>2201010373</v>
      </c>
      <c r="E85" s="17" t="s">
        <v>1805</v>
      </c>
      <c r="F85" s="17" t="e">
        <f>VLOOKUP(C85,'Fast Track '!B:C,2,FALSE)</f>
        <v>#N/A</v>
      </c>
      <c r="G85" s="17" t="s">
        <v>3790</v>
      </c>
      <c r="H85" s="54" t="s">
        <v>1454</v>
      </c>
      <c r="I85" s="54" t="s">
        <v>3485</v>
      </c>
      <c r="J85" s="54" t="s">
        <v>3486</v>
      </c>
      <c r="K85" s="54" t="s">
        <v>1401</v>
      </c>
      <c r="L85" s="60" t="s">
        <v>3644</v>
      </c>
      <c r="M85" s="57" t="s">
        <v>3674</v>
      </c>
    </row>
    <row r="86" spans="1:13">
      <c r="A86" s="26">
        <v>85</v>
      </c>
      <c r="B86" s="54" t="s">
        <v>1681</v>
      </c>
      <c r="C86" s="55">
        <v>2022833430</v>
      </c>
      <c r="D86" s="55">
        <v>2201010479</v>
      </c>
      <c r="E86" s="17" t="s">
        <v>1805</v>
      </c>
      <c r="F86" s="17" t="e">
        <f>VLOOKUP(C86,'Fast Track '!B:C,2,FALSE)</f>
        <v>#N/A</v>
      </c>
      <c r="G86" s="17" t="s">
        <v>3791</v>
      </c>
      <c r="H86" s="54" t="s">
        <v>1682</v>
      </c>
      <c r="I86" s="54" t="s">
        <v>3487</v>
      </c>
      <c r="J86" s="54" t="s">
        <v>3488</v>
      </c>
      <c r="K86" s="54" t="s">
        <v>1401</v>
      </c>
      <c r="L86" s="60" t="s">
        <v>3644</v>
      </c>
      <c r="M86" s="57" t="s">
        <v>3674</v>
      </c>
    </row>
    <row r="87" spans="1:13">
      <c r="A87" s="26">
        <v>86</v>
      </c>
      <c r="B87" s="54" t="s">
        <v>1625</v>
      </c>
      <c r="C87" s="55">
        <v>2022360934</v>
      </c>
      <c r="D87" s="55">
        <v>2201010784</v>
      </c>
      <c r="E87" s="17" t="s">
        <v>1805</v>
      </c>
      <c r="F87" s="17" t="e">
        <f>VLOOKUP(C87,'Fast Track '!B:C,2,FALSE)</f>
        <v>#N/A</v>
      </c>
      <c r="G87" s="17" t="s">
        <v>3792</v>
      </c>
      <c r="H87" s="54" t="s">
        <v>1626</v>
      </c>
      <c r="I87" s="54" t="s">
        <v>3489</v>
      </c>
      <c r="J87" s="54" t="s">
        <v>3490</v>
      </c>
      <c r="K87" s="54" t="s">
        <v>1401</v>
      </c>
      <c r="L87" s="60" t="s">
        <v>3644</v>
      </c>
      <c r="M87" s="57" t="s">
        <v>3674</v>
      </c>
    </row>
  </sheetData>
  <conditionalFormatting sqref="C66:C87">
    <cfRule type="duplicateValues" dxfId="147" priority="4"/>
  </conditionalFormatting>
  <conditionalFormatting sqref="C66:D87">
    <cfRule type="duplicateValues" dxfId="146" priority="5"/>
    <cfRule type="duplicateValues" dxfId="145" priority="6"/>
  </conditionalFormatting>
  <conditionalFormatting sqref="C1">
    <cfRule type="duplicateValues" dxfId="144" priority="811"/>
  </conditionalFormatting>
  <conditionalFormatting sqref="C1:D1">
    <cfRule type="duplicateValues" dxfId="143" priority="813"/>
    <cfRule type="duplicateValues" dxfId="142" priority="814"/>
  </conditionalFormatting>
  <dataValidations count="1">
    <dataValidation type="list" allowBlank="1" showErrorMessage="1" sqref="L2:L87">
      <formula1>"G1,G2"</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M125"/>
  <sheetViews>
    <sheetView topLeftCell="A48" workbookViewId="0">
      <selection activeCell="L63" sqref="A1:M66"/>
    </sheetView>
  </sheetViews>
  <sheetFormatPr defaultRowHeight="14.5"/>
  <cols>
    <col min="1" max="1" width="5.90625" style="30" bestFit="1" customWidth="1"/>
    <col min="2" max="2" width="19.54296875" bestFit="1" customWidth="1"/>
    <col min="3" max="4" width="11" bestFit="1" customWidth="1"/>
    <col min="5" max="5" width="14.36328125" bestFit="1" customWidth="1"/>
    <col min="6" max="7" width="14.36328125" customWidth="1"/>
    <col min="8" max="8" width="37.6328125" bestFit="1" customWidth="1"/>
    <col min="9" max="9" width="40.6328125" bestFit="1" customWidth="1"/>
    <col min="10" max="10" width="14.54296875" bestFit="1" customWidth="1"/>
    <col min="11" max="11" width="15.6328125" bestFit="1" customWidth="1"/>
    <col min="12" max="12" width="11.54296875" style="38" customWidth="1"/>
  </cols>
  <sheetData>
    <row r="1" spans="1:13" ht="25">
      <c r="A1" s="28" t="s">
        <v>1</v>
      </c>
      <c r="B1" s="1" t="s">
        <v>2</v>
      </c>
      <c r="C1" s="1" t="s">
        <v>3</v>
      </c>
      <c r="D1" s="1" t="s">
        <v>4</v>
      </c>
      <c r="E1" s="1" t="s">
        <v>1817</v>
      </c>
      <c r="F1" s="1"/>
      <c r="G1" s="1"/>
      <c r="H1" s="1" t="s">
        <v>6</v>
      </c>
      <c r="I1" s="1" t="s">
        <v>1819</v>
      </c>
      <c r="J1" s="1" t="s">
        <v>1820</v>
      </c>
      <c r="K1" s="1" t="s">
        <v>7</v>
      </c>
      <c r="L1" s="36" t="s">
        <v>3676</v>
      </c>
      <c r="M1" s="41" t="s">
        <v>3677</v>
      </c>
    </row>
    <row r="2" spans="1:13">
      <c r="A2" s="29">
        <v>1</v>
      </c>
      <c r="B2" s="17" t="s">
        <v>262</v>
      </c>
      <c r="C2" s="17">
        <v>2022000982</v>
      </c>
      <c r="D2" s="17">
        <v>2201010125</v>
      </c>
      <c r="E2" s="17" t="s">
        <v>1806</v>
      </c>
      <c r="F2" s="17" t="e">
        <f>VLOOKUP(C2,'Fast Track '!B:C,2,FALSE)</f>
        <v>#N/A</v>
      </c>
      <c r="G2" s="17" t="s">
        <v>3707</v>
      </c>
      <c r="H2" s="17" t="s">
        <v>263</v>
      </c>
      <c r="I2" s="17" t="str">
        <f>VLOOKUP(C2,Sheet1!D:J,6,FALSE)</f>
        <v>2022000982.mdafroz@pt.sharda.ac.in</v>
      </c>
      <c r="J2" s="17" t="str">
        <f>VLOOKUP(D2,Sheet1!E:K,6,FALSE)</f>
        <v>8929586849</v>
      </c>
      <c r="K2" s="17" t="str">
        <f>VLOOKUP(E2,Sheet1!F:L,6,FALSE)</f>
        <v>Computer Science</v>
      </c>
      <c r="L2" s="37" t="s">
        <v>3645</v>
      </c>
      <c r="M2" t="s">
        <v>3654</v>
      </c>
    </row>
    <row r="3" spans="1:13">
      <c r="A3" s="29">
        <v>2</v>
      </c>
      <c r="B3" s="17" t="s">
        <v>327</v>
      </c>
      <c r="C3" s="17">
        <v>2022476992</v>
      </c>
      <c r="D3" s="17">
        <v>2201010263</v>
      </c>
      <c r="E3" s="17" t="s">
        <v>1806</v>
      </c>
      <c r="F3" s="17" t="e">
        <f>VLOOKUP(C3,'Fast Track '!B:C,2,FALSE)</f>
        <v>#N/A</v>
      </c>
      <c r="G3" s="17" t="s">
        <v>3708</v>
      </c>
      <c r="H3" s="17" t="s">
        <v>328</v>
      </c>
      <c r="I3" s="17" t="str">
        <f>VLOOKUP(C3,Sheet1!D:J,6,FALSE)</f>
        <v>2022476992.ram@pt.sharda.ac.in</v>
      </c>
      <c r="J3" s="17" t="str">
        <f>VLOOKUP(D3,Sheet1!E:K,6,FALSE)</f>
        <v>7007382747</v>
      </c>
      <c r="K3" s="17" t="str">
        <f>VLOOKUP(E3,Sheet1!F:L,6,FALSE)</f>
        <v>Computer Science</v>
      </c>
      <c r="L3" s="37" t="s">
        <v>3645</v>
      </c>
      <c r="M3" t="s">
        <v>3654</v>
      </c>
    </row>
    <row r="4" spans="1:13">
      <c r="A4" s="29">
        <v>3</v>
      </c>
      <c r="B4" s="17" t="s">
        <v>337</v>
      </c>
      <c r="C4" s="17">
        <v>2022482951</v>
      </c>
      <c r="D4" s="17">
        <v>2201010270</v>
      </c>
      <c r="E4" s="17" t="s">
        <v>1806</v>
      </c>
      <c r="F4" s="17" t="e">
        <f>VLOOKUP(C4,'Fast Track '!B:C,2,FALSE)</f>
        <v>#N/A</v>
      </c>
      <c r="G4" s="17" t="s">
        <v>3709</v>
      </c>
      <c r="H4" s="17" t="s">
        <v>338</v>
      </c>
      <c r="I4" s="17" t="str">
        <f>VLOOKUP(C4,Sheet1!D:J,6,FALSE)</f>
        <v>2022482951.bobinder@pt.sharda.ac.in</v>
      </c>
      <c r="J4" s="17" t="str">
        <f>VLOOKUP(D4,Sheet1!E:K,6,FALSE)</f>
        <v>8439358060</v>
      </c>
      <c r="K4" s="17" t="str">
        <f>VLOOKUP(E4,Sheet1!F:L,6,FALSE)</f>
        <v>Computer Science</v>
      </c>
      <c r="L4" s="37" t="s">
        <v>3645</v>
      </c>
      <c r="M4" t="s">
        <v>3654</v>
      </c>
    </row>
    <row r="5" spans="1:13">
      <c r="A5" s="29">
        <v>4</v>
      </c>
      <c r="B5" s="17" t="s">
        <v>294</v>
      </c>
      <c r="C5" s="17">
        <v>2022301943</v>
      </c>
      <c r="D5" s="17">
        <v>2201010318</v>
      </c>
      <c r="E5" s="17" t="s">
        <v>1806</v>
      </c>
      <c r="F5" s="17" t="e">
        <f>VLOOKUP(C5,'Fast Track '!B:C,2,FALSE)</f>
        <v>#N/A</v>
      </c>
      <c r="G5" s="17" t="s">
        <v>3710</v>
      </c>
      <c r="H5" s="17" t="s">
        <v>295</v>
      </c>
      <c r="I5" s="17" t="str">
        <f>VLOOKUP(C5,Sheet1!D:J,6,FALSE)</f>
        <v>2022301943.b@pt.sharda.ac.in</v>
      </c>
      <c r="J5" s="17" t="str">
        <f>VLOOKUP(D5,Sheet1!E:K,6,FALSE)</f>
        <v>9205507667</v>
      </c>
      <c r="K5" s="17" t="str">
        <f>VLOOKUP(E5,Sheet1!F:L,6,FALSE)</f>
        <v>Computer Science</v>
      </c>
      <c r="L5" s="37" t="s">
        <v>3645</v>
      </c>
      <c r="M5" t="s">
        <v>3654</v>
      </c>
    </row>
    <row r="6" spans="1:13">
      <c r="A6" s="29">
        <v>5</v>
      </c>
      <c r="B6" s="17" t="s">
        <v>331</v>
      </c>
      <c r="C6" s="17">
        <v>2022480728</v>
      </c>
      <c r="D6" s="17">
        <v>2201010389</v>
      </c>
      <c r="E6" s="17" t="s">
        <v>1806</v>
      </c>
      <c r="F6" s="17" t="e">
        <f>VLOOKUP(C6,'Fast Track '!B:C,2,FALSE)</f>
        <v>#N/A</v>
      </c>
      <c r="G6" s="17" t="s">
        <v>3711</v>
      </c>
      <c r="H6" s="17" t="s">
        <v>332</v>
      </c>
      <c r="I6" s="17" t="str">
        <f>VLOOKUP(C6,Sheet1!D:J,6,FALSE)</f>
        <v>2022480728.md@pt.sharda.ac.in</v>
      </c>
      <c r="J6" s="17" t="str">
        <f>VLOOKUP(D6,Sheet1!E:K,6,FALSE)</f>
        <v>9717511182</v>
      </c>
      <c r="K6" s="17" t="str">
        <f>VLOOKUP(E6,Sheet1!F:L,6,FALSE)</f>
        <v>Computer Science</v>
      </c>
      <c r="L6" s="37" t="s">
        <v>3645</v>
      </c>
      <c r="M6" t="s">
        <v>3654</v>
      </c>
    </row>
    <row r="7" spans="1:13">
      <c r="A7" s="29">
        <v>6</v>
      </c>
      <c r="B7" s="17" t="s">
        <v>266</v>
      </c>
      <c r="C7" s="17">
        <v>2022003695</v>
      </c>
      <c r="D7" s="17">
        <v>2201010515</v>
      </c>
      <c r="E7" s="17" t="s">
        <v>1806</v>
      </c>
      <c r="F7" s="17" t="e">
        <f>VLOOKUP(C7,'Fast Track '!B:C,2,FALSE)</f>
        <v>#N/A</v>
      </c>
      <c r="G7" s="17" t="s">
        <v>3712</v>
      </c>
      <c r="H7" s="17" t="s">
        <v>267</v>
      </c>
      <c r="I7" s="17" t="str">
        <f>VLOOKUP(C7,Sheet1!D:J,6,FALSE)</f>
        <v>2022003695.anup@pt.sharda.ac.in</v>
      </c>
      <c r="J7" s="17" t="str">
        <f>VLOOKUP(D7,Sheet1!E:K,6,FALSE)</f>
        <v>7903443437</v>
      </c>
      <c r="K7" s="17" t="str">
        <f>VLOOKUP(E7,Sheet1!F:L,6,FALSE)</f>
        <v>Computer Science</v>
      </c>
      <c r="L7" s="37" t="s">
        <v>3645</v>
      </c>
      <c r="M7" t="s">
        <v>3654</v>
      </c>
    </row>
    <row r="8" spans="1:13">
      <c r="A8" s="29">
        <v>7</v>
      </c>
      <c r="B8" s="17" t="s">
        <v>296</v>
      </c>
      <c r="C8" s="17">
        <v>2022306401</v>
      </c>
      <c r="D8" s="17">
        <v>2201010585</v>
      </c>
      <c r="E8" s="17" t="s">
        <v>1806</v>
      </c>
      <c r="F8" s="17" t="e">
        <f>VLOOKUP(C8,'Fast Track '!B:C,2,FALSE)</f>
        <v>#N/A</v>
      </c>
      <c r="G8" s="17" t="s">
        <v>3713</v>
      </c>
      <c r="H8" s="17" t="s">
        <v>297</v>
      </c>
      <c r="I8" s="17" t="str">
        <f>VLOOKUP(C8,Sheet1!D:J,6,FALSE)</f>
        <v>2022306401.naveen@pt.sharda.ac.in</v>
      </c>
      <c r="J8" s="17" t="str">
        <f>VLOOKUP(D8,Sheet1!E:K,6,FALSE)</f>
        <v>8595590409</v>
      </c>
      <c r="K8" s="17" t="str">
        <f>VLOOKUP(E8,Sheet1!F:L,6,FALSE)</f>
        <v>Computer Science</v>
      </c>
      <c r="L8" s="37" t="s">
        <v>3645</v>
      </c>
      <c r="M8" t="s">
        <v>3654</v>
      </c>
    </row>
    <row r="9" spans="1:13">
      <c r="A9" s="29">
        <v>8</v>
      </c>
      <c r="B9" s="17" t="s">
        <v>264</v>
      </c>
      <c r="C9" s="17">
        <v>2022002431</v>
      </c>
      <c r="D9" s="17">
        <v>2201010745</v>
      </c>
      <c r="E9" s="17" t="s">
        <v>1806</v>
      </c>
      <c r="F9" s="17" t="e">
        <f>VLOOKUP(C9,'Fast Track '!B:C,2,FALSE)</f>
        <v>#N/A</v>
      </c>
      <c r="G9" s="17" t="s">
        <v>3714</v>
      </c>
      <c r="H9" s="17" t="s">
        <v>265</v>
      </c>
      <c r="I9" s="17" t="str">
        <f>VLOOKUP(C9,Sheet1!D:J,6,FALSE)</f>
        <v>2022002431.manjesh@pt.sharda.ac.in</v>
      </c>
      <c r="J9" s="17" t="str">
        <f>VLOOKUP(D9,Sheet1!E:K,6,FALSE)</f>
        <v>8851522509</v>
      </c>
      <c r="K9" s="17" t="str">
        <f>VLOOKUP(E9,Sheet1!F:L,6,FALSE)</f>
        <v>Computer Science</v>
      </c>
      <c r="L9" s="37" t="s">
        <v>3645</v>
      </c>
      <c r="M9" t="s">
        <v>3654</v>
      </c>
    </row>
    <row r="10" spans="1:13">
      <c r="A10" s="29">
        <v>9</v>
      </c>
      <c r="B10" s="17" t="s">
        <v>373</v>
      </c>
      <c r="C10" s="17">
        <v>2022006932</v>
      </c>
      <c r="D10" s="17">
        <v>2201010834</v>
      </c>
      <c r="E10" s="17" t="s">
        <v>1806</v>
      </c>
      <c r="F10" s="17" t="e">
        <f>VLOOKUP(C10,'Fast Track '!B:C,2,FALSE)</f>
        <v>#N/A</v>
      </c>
      <c r="G10" s="17" t="s">
        <v>3715</v>
      </c>
      <c r="H10" s="17" t="s">
        <v>374</v>
      </c>
      <c r="I10" s="17" t="str">
        <f>VLOOKUP(C10,Sheet1!D:J,6,FALSE)</f>
        <v>2022006932.avdesh@pt.sharda.ac.in</v>
      </c>
      <c r="J10" s="17" t="str">
        <f>VLOOKUP(D10,Sheet1!E:K,6,FALSE)</f>
        <v>9310460810</v>
      </c>
      <c r="K10" s="17" t="str">
        <f>VLOOKUP(E10,Sheet1!F:L,6,FALSE)</f>
        <v>Computer Science</v>
      </c>
      <c r="L10" s="37" t="s">
        <v>3645</v>
      </c>
      <c r="M10" t="s">
        <v>3654</v>
      </c>
    </row>
    <row r="11" spans="1:13">
      <c r="A11" s="29">
        <v>10</v>
      </c>
      <c r="B11" s="17" t="s">
        <v>375</v>
      </c>
      <c r="C11" s="17">
        <v>2022007788</v>
      </c>
      <c r="D11" s="17">
        <v>2201010864</v>
      </c>
      <c r="E11" s="17" t="s">
        <v>1806</v>
      </c>
      <c r="F11" s="17" t="e">
        <f>VLOOKUP(C11,'Fast Track '!B:C,2,FALSE)</f>
        <v>#N/A</v>
      </c>
      <c r="G11" s="17" t="s">
        <v>3716</v>
      </c>
      <c r="H11" s="17" t="s">
        <v>376</v>
      </c>
      <c r="I11" s="17" t="str">
        <f>VLOOKUP(C11,Sheet1!D:J,6,FALSE)</f>
        <v>2022007788.ajay@pt.sharda.ac.in</v>
      </c>
      <c r="J11" s="17" t="str">
        <f>VLOOKUP(D11,Sheet1!E:K,6,FALSE)</f>
        <v>8235930751</v>
      </c>
      <c r="K11" s="17" t="str">
        <f>VLOOKUP(E11,Sheet1!F:L,6,FALSE)</f>
        <v>Computer Science</v>
      </c>
      <c r="L11" s="37" t="s">
        <v>3645</v>
      </c>
      <c r="M11" t="s">
        <v>3654</v>
      </c>
    </row>
    <row r="12" spans="1:13">
      <c r="A12" s="29">
        <v>11</v>
      </c>
      <c r="B12" s="17" t="s">
        <v>377</v>
      </c>
      <c r="C12" s="17">
        <v>2022505059</v>
      </c>
      <c r="D12" s="17">
        <v>2201010875</v>
      </c>
      <c r="E12" s="17" t="s">
        <v>1806</v>
      </c>
      <c r="F12" s="17" t="e">
        <f>VLOOKUP(C12,'Fast Track '!B:C,2,FALSE)</f>
        <v>#N/A</v>
      </c>
      <c r="G12" s="17" t="s">
        <v>3717</v>
      </c>
      <c r="H12" s="17" t="s">
        <v>378</v>
      </c>
      <c r="I12" s="17" t="str">
        <f>VLOOKUP(C12,Sheet1!D:J,6,FALSE)</f>
        <v>2022505059.ashok@pt.sharda.ac.in</v>
      </c>
      <c r="J12" s="17" t="str">
        <f>VLOOKUP(D12,Sheet1!E:K,6,FALSE)</f>
        <v>7903070334</v>
      </c>
      <c r="K12" s="17" t="str">
        <f>VLOOKUP(E12,Sheet1!F:L,6,FALSE)</f>
        <v>Computer Science</v>
      </c>
      <c r="L12" s="37" t="s">
        <v>3645</v>
      </c>
      <c r="M12" t="s">
        <v>3654</v>
      </c>
    </row>
    <row r="13" spans="1:13">
      <c r="A13" s="29">
        <v>12</v>
      </c>
      <c r="B13" s="17" t="s">
        <v>385</v>
      </c>
      <c r="C13" s="17">
        <v>2023322783</v>
      </c>
      <c r="D13" s="17">
        <v>2301017004</v>
      </c>
      <c r="E13" s="17" t="s">
        <v>1806</v>
      </c>
      <c r="F13" s="17" t="e">
        <f>VLOOKUP(C13,'Fast Track '!B:C,2,FALSE)</f>
        <v>#N/A</v>
      </c>
      <c r="G13" s="17" t="s">
        <v>3718</v>
      </c>
      <c r="H13" s="17" t="s">
        <v>386</v>
      </c>
      <c r="I13" s="17" t="str">
        <f>VLOOKUP(C13,Sheet1!D:J,6,FALSE)</f>
        <v>2023322783.mr@pt.sharda.ac.in</v>
      </c>
      <c r="J13" s="17" t="str">
        <f>VLOOKUP(D13,Sheet1!E:K,6,FALSE)</f>
        <v>9027213643</v>
      </c>
      <c r="K13" s="17" t="str">
        <f>VLOOKUP(E13,Sheet1!F:L,6,FALSE)</f>
        <v>Computer Science</v>
      </c>
      <c r="L13" s="37" t="s">
        <v>3645</v>
      </c>
      <c r="M13" t="s">
        <v>3654</v>
      </c>
    </row>
    <row r="14" spans="1:13">
      <c r="A14" s="29">
        <v>13</v>
      </c>
      <c r="B14" s="17" t="s">
        <v>479</v>
      </c>
      <c r="C14" s="17">
        <v>2022516410</v>
      </c>
      <c r="D14" s="17">
        <v>2201010082</v>
      </c>
      <c r="E14" s="17" t="s">
        <v>1806</v>
      </c>
      <c r="F14" s="17" t="e">
        <f>VLOOKUP(C14,'Fast Track '!B:C,2,FALSE)</f>
        <v>#N/A</v>
      </c>
      <c r="G14" s="17" t="s">
        <v>3719</v>
      </c>
      <c r="H14" s="17" t="s">
        <v>480</v>
      </c>
      <c r="I14" s="17" t="str">
        <f>VLOOKUP(C14,Sheet1!D:J,6,FALSE)</f>
        <v>2022516410.manoj@pt.sharda.ac.in</v>
      </c>
      <c r="J14" s="17" t="str">
        <f>VLOOKUP(D14,Sheet1!E:K,6,FALSE)</f>
        <v>7717742710</v>
      </c>
      <c r="K14" s="17" t="str">
        <f>VLOOKUP(E14,Sheet1!F:L,6,FALSE)</f>
        <v>Computer Science</v>
      </c>
      <c r="L14" s="37" t="s">
        <v>3645</v>
      </c>
      <c r="M14" t="s">
        <v>3654</v>
      </c>
    </row>
    <row r="15" spans="1:13">
      <c r="A15" s="29">
        <v>14</v>
      </c>
      <c r="B15" s="17" t="s">
        <v>491</v>
      </c>
      <c r="C15" s="17">
        <v>2022528415</v>
      </c>
      <c r="D15" s="17">
        <v>2201010188</v>
      </c>
      <c r="E15" s="17" t="s">
        <v>1806</v>
      </c>
      <c r="F15" s="17" t="e">
        <f>VLOOKUP(C15,'Fast Track '!B:C,2,FALSE)</f>
        <v>#N/A</v>
      </c>
      <c r="G15" s="17" t="s">
        <v>3720</v>
      </c>
      <c r="H15" s="17" t="s">
        <v>492</v>
      </c>
      <c r="I15" s="17" t="str">
        <f>VLOOKUP(C15,Sheet1!D:J,6,FALSE)</f>
        <v>2022528415.gaurav@pt.sharda.ac.in</v>
      </c>
      <c r="J15" s="17">
        <f>VLOOKUP(D15,Sheet1!E:K,6,FALSE)</f>
        <v>0</v>
      </c>
      <c r="K15" s="17" t="str">
        <f>VLOOKUP(E15,Sheet1!F:L,6,FALSE)</f>
        <v>Computer Science</v>
      </c>
      <c r="L15" s="37" t="s">
        <v>3645</v>
      </c>
      <c r="M15" t="s">
        <v>3654</v>
      </c>
    </row>
    <row r="16" spans="1:13">
      <c r="A16" s="29">
        <v>15</v>
      </c>
      <c r="B16" s="17" t="s">
        <v>509</v>
      </c>
      <c r="C16" s="17">
        <v>2022000239</v>
      </c>
      <c r="D16" s="17">
        <v>2201010239</v>
      </c>
      <c r="E16" s="17" t="s">
        <v>1806</v>
      </c>
      <c r="F16" s="17" t="e">
        <f>VLOOKUP(C16,'Fast Track '!B:C,2,FALSE)</f>
        <v>#N/A</v>
      </c>
      <c r="G16" s="17" t="s">
        <v>3721</v>
      </c>
      <c r="H16" s="17" t="s">
        <v>510</v>
      </c>
      <c r="I16" s="17" t="str">
        <f>VLOOKUP(C16,Sheet1!D:J,6,FALSE)</f>
        <v>2022000239.shahbuddin@pt.sharda.ac.in</v>
      </c>
      <c r="J16" s="17" t="str">
        <f>VLOOKUP(D16,Sheet1!E:K,6,FALSE)</f>
        <v>9355642786</v>
      </c>
      <c r="K16" s="17" t="str">
        <f>VLOOKUP(E16,Sheet1!F:L,6,FALSE)</f>
        <v>Computer Science</v>
      </c>
      <c r="L16" s="37" t="s">
        <v>3645</v>
      </c>
      <c r="M16" t="s">
        <v>3654</v>
      </c>
    </row>
    <row r="17" spans="1:13">
      <c r="A17" s="29">
        <v>16</v>
      </c>
      <c r="B17" s="17" t="s">
        <v>497</v>
      </c>
      <c r="C17" s="17">
        <v>2022540214</v>
      </c>
      <c r="D17" s="17">
        <v>2201010246</v>
      </c>
      <c r="E17" s="17" t="s">
        <v>1806</v>
      </c>
      <c r="F17" s="17" t="e">
        <f>VLOOKUP(C17,'Fast Track '!B:C,2,FALSE)</f>
        <v>#N/A</v>
      </c>
      <c r="G17" s="17" t="s">
        <v>3722</v>
      </c>
      <c r="H17" s="17" t="s">
        <v>498</v>
      </c>
      <c r="I17" s="17" t="str">
        <f>VLOOKUP(C17,Sheet1!D:J,6,FALSE)</f>
        <v>2022540214.haribhajan@pt.sharda.ac.in</v>
      </c>
      <c r="J17" s="17" t="str">
        <f>VLOOKUP(D17,Sheet1!E:K,6,FALSE)</f>
        <v>8210055072</v>
      </c>
      <c r="K17" s="17" t="str">
        <f>VLOOKUP(E17,Sheet1!F:L,6,FALSE)</f>
        <v>Computer Science</v>
      </c>
      <c r="L17" s="37" t="s">
        <v>3645</v>
      </c>
      <c r="M17" t="s">
        <v>3654</v>
      </c>
    </row>
    <row r="18" spans="1:13">
      <c r="A18" s="29">
        <v>17</v>
      </c>
      <c r="B18" s="17" t="s">
        <v>436</v>
      </c>
      <c r="C18" s="17">
        <v>2022413331</v>
      </c>
      <c r="D18" s="17">
        <v>2201010271</v>
      </c>
      <c r="E18" s="17" t="s">
        <v>1806</v>
      </c>
      <c r="F18" s="17" t="e">
        <f>VLOOKUP(C18,'Fast Track '!B:C,2,FALSE)</f>
        <v>#N/A</v>
      </c>
      <c r="G18" s="17" t="s">
        <v>3723</v>
      </c>
      <c r="H18" s="17" t="s">
        <v>437</v>
      </c>
      <c r="I18" s="17" t="str">
        <f>VLOOKUP(C18,Sheet1!D:J,6,FALSE)</f>
        <v>2022413331.charansingh@pt.sharda.ac.in</v>
      </c>
      <c r="J18" s="17" t="str">
        <f>VLOOKUP(D18,Sheet1!E:K,6,FALSE)</f>
        <v>9528799256</v>
      </c>
      <c r="K18" s="17" t="str">
        <f>VLOOKUP(E18,Sheet1!F:L,6,FALSE)</f>
        <v>Computer Science</v>
      </c>
      <c r="L18" s="37" t="s">
        <v>3645</v>
      </c>
      <c r="M18" t="s">
        <v>3654</v>
      </c>
    </row>
    <row r="19" spans="1:13">
      <c r="A19" s="29">
        <v>18</v>
      </c>
      <c r="B19" s="17" t="s">
        <v>414</v>
      </c>
      <c r="C19" s="17">
        <v>2022006470</v>
      </c>
      <c r="D19" s="17">
        <v>2201010281</v>
      </c>
      <c r="E19" s="17" t="s">
        <v>1806</v>
      </c>
      <c r="F19" s="17" t="e">
        <f>VLOOKUP(C19,'Fast Track '!B:C,2,FALSE)</f>
        <v>#N/A</v>
      </c>
      <c r="G19" s="17" t="s">
        <v>3724</v>
      </c>
      <c r="H19" s="17" t="s">
        <v>415</v>
      </c>
      <c r="I19" s="17" t="str">
        <f>VLOOKUP(C19,Sheet1!D:J,6,FALSE)</f>
        <v>2022006470.jaiprakash@pt.sharda.ac.in</v>
      </c>
      <c r="J19" s="17" t="str">
        <f>VLOOKUP(D19,Sheet1!E:K,6,FALSE)</f>
        <v>9263230458</v>
      </c>
      <c r="K19" s="17" t="str">
        <f>VLOOKUP(E19,Sheet1!F:L,6,FALSE)</f>
        <v>Computer Science</v>
      </c>
      <c r="L19" s="37" t="s">
        <v>3645</v>
      </c>
      <c r="M19" t="s">
        <v>3654</v>
      </c>
    </row>
    <row r="20" spans="1:13">
      <c r="A20" s="29">
        <v>19</v>
      </c>
      <c r="B20" s="17" t="s">
        <v>410</v>
      </c>
      <c r="C20" s="17">
        <v>2022005495</v>
      </c>
      <c r="D20" s="17">
        <v>2201010329</v>
      </c>
      <c r="E20" s="17" t="s">
        <v>1806</v>
      </c>
      <c r="F20" s="17" t="e">
        <f>VLOOKUP(C20,'Fast Track '!B:C,2,FALSE)</f>
        <v>#N/A</v>
      </c>
      <c r="G20" s="17" t="s">
        <v>3725</v>
      </c>
      <c r="H20" s="17" t="s">
        <v>411</v>
      </c>
      <c r="I20" s="17" t="str">
        <f>VLOOKUP(C20,Sheet1!D:J,6,FALSE)</f>
        <v>2022005495.pradeep@pt.sharda.ac.in</v>
      </c>
      <c r="J20" s="17" t="str">
        <f>VLOOKUP(D20,Sheet1!E:K,6,FALSE)</f>
        <v>8826755885</v>
      </c>
      <c r="K20" s="17" t="str">
        <f>VLOOKUP(E20,Sheet1!F:L,6,FALSE)</f>
        <v>Computer Science</v>
      </c>
      <c r="L20" s="37" t="s">
        <v>3645</v>
      </c>
      <c r="M20" t="s">
        <v>3654</v>
      </c>
    </row>
    <row r="21" spans="1:13">
      <c r="A21" s="29">
        <v>20</v>
      </c>
      <c r="B21" s="17" t="s">
        <v>513</v>
      </c>
      <c r="C21" s="17">
        <v>2022395723</v>
      </c>
      <c r="D21" s="17">
        <v>2201010346</v>
      </c>
      <c r="E21" s="17" t="s">
        <v>1806</v>
      </c>
      <c r="F21" s="17" t="e">
        <f>VLOOKUP(C21,'Fast Track '!B:C,2,FALSE)</f>
        <v>#N/A</v>
      </c>
      <c r="G21" s="17" t="s">
        <v>3726</v>
      </c>
      <c r="H21" s="17" t="s">
        <v>514</v>
      </c>
      <c r="I21" s="17" t="str">
        <f>VLOOKUP(C21,Sheet1!D:J,6,FALSE)</f>
        <v>2022395723.neeraj@pt.sharda.ac.in</v>
      </c>
      <c r="J21" s="17" t="str">
        <f>VLOOKUP(D21,Sheet1!E:K,6,FALSE)</f>
        <v>9873045302</v>
      </c>
      <c r="K21" s="17" t="str">
        <f>VLOOKUP(E21,Sheet1!F:L,6,FALSE)</f>
        <v>Computer Science</v>
      </c>
      <c r="L21" s="37" t="s">
        <v>3645</v>
      </c>
      <c r="M21" t="s">
        <v>3654</v>
      </c>
    </row>
    <row r="22" spans="1:13">
      <c r="A22" s="29">
        <v>21</v>
      </c>
      <c r="B22" s="17" t="s">
        <v>511</v>
      </c>
      <c r="C22" s="17">
        <v>2022369814</v>
      </c>
      <c r="D22" s="17">
        <v>2201010367</v>
      </c>
      <c r="E22" s="17" t="s">
        <v>1806</v>
      </c>
      <c r="F22" s="17" t="e">
        <f>VLOOKUP(C22,'Fast Track '!B:C,2,FALSE)</f>
        <v>#N/A</v>
      </c>
      <c r="G22" s="17" t="s">
        <v>3727</v>
      </c>
      <c r="H22" s="17" t="s">
        <v>512</v>
      </c>
      <c r="I22" s="17" t="str">
        <f>VLOOKUP(C22,Sheet1!D:J,6,FALSE)</f>
        <v>2022369814.jai@pt.sharda.ac.in</v>
      </c>
      <c r="J22" s="17" t="str">
        <f>VLOOKUP(D22,Sheet1!E:K,6,FALSE)</f>
        <v>8923735824</v>
      </c>
      <c r="K22" s="17" t="str">
        <f>VLOOKUP(E22,Sheet1!F:L,6,FALSE)</f>
        <v>Computer Science</v>
      </c>
      <c r="L22" s="37" t="s">
        <v>3645</v>
      </c>
      <c r="M22" t="s">
        <v>3654</v>
      </c>
    </row>
    <row r="23" spans="1:13">
      <c r="A23" s="29">
        <v>22</v>
      </c>
      <c r="B23" s="17" t="s">
        <v>424</v>
      </c>
      <c r="C23" s="17">
        <v>2022366848</v>
      </c>
      <c r="D23" s="17">
        <v>2201010414</v>
      </c>
      <c r="E23" s="17" t="s">
        <v>1806</v>
      </c>
      <c r="F23" s="17" t="e">
        <f>VLOOKUP(C23,'Fast Track '!B:C,2,FALSE)</f>
        <v>#N/A</v>
      </c>
      <c r="G23" s="17" t="s">
        <v>3728</v>
      </c>
      <c r="H23" s="17" t="s">
        <v>425</v>
      </c>
      <c r="I23" s="17" t="str">
        <f>VLOOKUP(C23,Sheet1!D:J,6,FALSE)</f>
        <v>2022366848.mohammad@pt.sharda.ac.in</v>
      </c>
      <c r="J23" s="17" t="str">
        <f>VLOOKUP(D23,Sheet1!E:K,6,FALSE)</f>
        <v>7505115911</v>
      </c>
      <c r="K23" s="17" t="str">
        <f>VLOOKUP(E23,Sheet1!F:L,6,FALSE)</f>
        <v>Computer Science</v>
      </c>
      <c r="L23" s="37" t="s">
        <v>3645</v>
      </c>
      <c r="M23" t="s">
        <v>3654</v>
      </c>
    </row>
    <row r="24" spans="1:13">
      <c r="A24" s="29">
        <v>23</v>
      </c>
      <c r="B24" s="17" t="s">
        <v>507</v>
      </c>
      <c r="C24" s="17">
        <v>2022808929</v>
      </c>
      <c r="D24" s="17">
        <v>2201010445</v>
      </c>
      <c r="E24" s="17" t="s">
        <v>1806</v>
      </c>
      <c r="F24" s="17" t="e">
        <f>VLOOKUP(C24,'Fast Track '!B:C,2,FALSE)</f>
        <v>#N/A</v>
      </c>
      <c r="G24" s="17" t="s">
        <v>3729</v>
      </c>
      <c r="H24" s="17" t="s">
        <v>508</v>
      </c>
      <c r="I24" s="17" t="str">
        <f>VLOOKUP(C24,Sheet1!D:J,6,FALSE)</f>
        <v>2022808929.sanjeetkumar@pt.sharda.ac.in</v>
      </c>
      <c r="J24" s="17" t="str">
        <f>VLOOKUP(D24,Sheet1!E:K,6,FALSE)</f>
        <v>9812369000</v>
      </c>
      <c r="K24" s="17" t="str">
        <f>VLOOKUP(E24,Sheet1!F:L,6,FALSE)</f>
        <v>Computer Science</v>
      </c>
      <c r="L24" s="37" t="s">
        <v>3645</v>
      </c>
      <c r="M24" t="s">
        <v>3654</v>
      </c>
    </row>
    <row r="25" spans="1:13">
      <c r="A25" s="29">
        <v>24</v>
      </c>
      <c r="B25" s="17" t="s">
        <v>420</v>
      </c>
      <c r="C25" s="17">
        <v>2022312023</v>
      </c>
      <c r="D25" s="17">
        <v>2201010569</v>
      </c>
      <c r="E25" s="17" t="s">
        <v>1806</v>
      </c>
      <c r="F25" s="17" t="e">
        <f>VLOOKUP(C25,'Fast Track '!B:C,2,FALSE)</f>
        <v>#N/A</v>
      </c>
      <c r="G25" s="17" t="s">
        <v>3730</v>
      </c>
      <c r="H25" s="17" t="s">
        <v>421</v>
      </c>
      <c r="I25" s="17" t="str">
        <f>VLOOKUP(C25,Sheet1!D:J,6,FALSE)</f>
        <v>2022312023.ramesh@pt.sharda.ac.in</v>
      </c>
      <c r="J25" s="17" t="str">
        <f>VLOOKUP(D25,Sheet1!E:K,6,FALSE)</f>
        <v>8955060862</v>
      </c>
      <c r="K25" s="17" t="str">
        <f>VLOOKUP(E25,Sheet1!F:L,6,FALSE)</f>
        <v>Computer Science</v>
      </c>
      <c r="L25" s="37" t="s">
        <v>3645</v>
      </c>
      <c r="M25" t="s">
        <v>3654</v>
      </c>
    </row>
    <row r="26" spans="1:13">
      <c r="A26" s="29">
        <v>25</v>
      </c>
      <c r="B26" s="17" t="s">
        <v>428</v>
      </c>
      <c r="C26" s="17">
        <v>2022404040</v>
      </c>
      <c r="D26" s="17">
        <v>2201010583</v>
      </c>
      <c r="E26" s="17" t="s">
        <v>1806</v>
      </c>
      <c r="F26" s="17" t="e">
        <f>VLOOKUP(C26,'Fast Track '!B:C,2,FALSE)</f>
        <v>#N/A</v>
      </c>
      <c r="G26" s="17" t="s">
        <v>3731</v>
      </c>
      <c r="H26" s="17" t="s">
        <v>429</v>
      </c>
      <c r="I26" s="17" t="str">
        <f>VLOOKUP(C26,Sheet1!D:J,6,FALSE)</f>
        <v>2022404040.jitendra@pt.sharda.ac.in</v>
      </c>
      <c r="J26" s="17" t="str">
        <f>VLOOKUP(D26,Sheet1!E:K,6,FALSE)</f>
        <v>9368171807</v>
      </c>
      <c r="K26" s="17" t="str">
        <f>VLOOKUP(E26,Sheet1!F:L,6,FALSE)</f>
        <v>Computer Science</v>
      </c>
      <c r="L26" s="37" t="s">
        <v>3645</v>
      </c>
      <c r="M26" t="s">
        <v>3654</v>
      </c>
    </row>
    <row r="27" spans="1:13">
      <c r="A27" s="29">
        <v>26</v>
      </c>
      <c r="B27" s="17" t="s">
        <v>458</v>
      </c>
      <c r="C27" s="17">
        <v>2022475752</v>
      </c>
      <c r="D27" s="17">
        <v>2201010645</v>
      </c>
      <c r="E27" s="17" t="s">
        <v>1806</v>
      </c>
      <c r="F27" s="17" t="e">
        <f>VLOOKUP(C27,'Fast Track '!B:C,2,FALSE)</f>
        <v>#N/A</v>
      </c>
      <c r="G27" s="17" t="s">
        <v>3732</v>
      </c>
      <c r="H27" s="17" t="s">
        <v>459</v>
      </c>
      <c r="I27" s="17" t="str">
        <f>VLOOKUP(C27,Sheet1!D:J,6,FALSE)</f>
        <v>2022475752.vijendra@pt.sharda.ac.in</v>
      </c>
      <c r="J27" s="17" t="str">
        <f>VLOOKUP(D27,Sheet1!E:K,6,FALSE)</f>
        <v>9413593360</v>
      </c>
      <c r="K27" s="17" t="str">
        <f>VLOOKUP(E27,Sheet1!F:L,6,FALSE)</f>
        <v>Computer Science</v>
      </c>
      <c r="L27" s="37" t="s">
        <v>3645</v>
      </c>
      <c r="M27" t="s">
        <v>3654</v>
      </c>
    </row>
    <row r="28" spans="1:13">
      <c r="A28" s="29">
        <v>27</v>
      </c>
      <c r="B28" s="17" t="s">
        <v>412</v>
      </c>
      <c r="C28" s="17">
        <v>2022005800</v>
      </c>
      <c r="D28" s="17">
        <v>2201010740</v>
      </c>
      <c r="E28" s="17" t="s">
        <v>1806</v>
      </c>
      <c r="F28" s="17" t="e">
        <f>VLOOKUP(C28,'Fast Track '!B:C,2,FALSE)</f>
        <v>#N/A</v>
      </c>
      <c r="G28" s="17" t="s">
        <v>3733</v>
      </c>
      <c r="H28" s="17" t="s">
        <v>413</v>
      </c>
      <c r="I28" s="17" t="str">
        <f>VLOOKUP(C28,Sheet1!D:J,6,FALSE)</f>
        <v>2022005800.bijendrak@pt.sharda.ac.in</v>
      </c>
      <c r="J28" s="17" t="str">
        <f>VLOOKUP(D28,Sheet1!E:K,6,FALSE)</f>
        <v>8527273409</v>
      </c>
      <c r="K28" s="17" t="str">
        <f>VLOOKUP(E28,Sheet1!F:L,6,FALSE)</f>
        <v>Computer Science</v>
      </c>
      <c r="L28" s="37" t="s">
        <v>3645</v>
      </c>
      <c r="M28" t="s">
        <v>3654</v>
      </c>
    </row>
    <row r="29" spans="1:13">
      <c r="A29" s="29">
        <v>28</v>
      </c>
      <c r="B29" s="17" t="s">
        <v>396</v>
      </c>
      <c r="C29" s="17">
        <v>2022003238</v>
      </c>
      <c r="D29" s="17">
        <v>2201010817</v>
      </c>
      <c r="E29" s="17" t="s">
        <v>1806</v>
      </c>
      <c r="F29" s="17" t="e">
        <f>VLOOKUP(C29,'Fast Track '!B:C,2,FALSE)</f>
        <v>#N/A</v>
      </c>
      <c r="G29" s="17" t="s">
        <v>3734</v>
      </c>
      <c r="H29" s="17" t="s">
        <v>397</v>
      </c>
      <c r="I29" s="17" t="str">
        <f>VLOOKUP(C29,Sheet1!D:J,6,FALSE)</f>
        <v>2022003238.omkar@pt.sharda.ac.in</v>
      </c>
      <c r="J29" s="17" t="str">
        <f>VLOOKUP(D29,Sheet1!E:K,6,FALSE)</f>
        <v>9540302937</v>
      </c>
      <c r="K29" s="17" t="str">
        <f>VLOOKUP(E29,Sheet1!F:L,6,FALSE)</f>
        <v>Computer Science</v>
      </c>
      <c r="L29" s="37" t="s">
        <v>3645</v>
      </c>
      <c r="M29" t="s">
        <v>3654</v>
      </c>
    </row>
    <row r="30" spans="1:13">
      <c r="A30" s="29">
        <v>29</v>
      </c>
      <c r="B30" s="17" t="s">
        <v>524</v>
      </c>
      <c r="C30" s="17">
        <v>2022007029</v>
      </c>
      <c r="D30" s="17">
        <v>2201010009</v>
      </c>
      <c r="E30" s="17" t="s">
        <v>1806</v>
      </c>
      <c r="F30" s="17" t="e">
        <f>VLOOKUP(C30,'Fast Track '!B:C,2,FALSE)</f>
        <v>#N/A</v>
      </c>
      <c r="G30" s="17" t="s">
        <v>3735</v>
      </c>
      <c r="H30" s="17" t="s">
        <v>525</v>
      </c>
      <c r="I30" s="17" t="str">
        <f>VLOOKUP(C30,Sheet1!D:J,6,FALSE)</f>
        <v>2022007029.ashok@pt.sharda.ac.in</v>
      </c>
      <c r="J30" s="17" t="str">
        <f>VLOOKUP(D30,Sheet1!E:K,6,FALSE)</f>
        <v>7065582311</v>
      </c>
      <c r="K30" s="17" t="str">
        <f>VLOOKUP(E30,Sheet1!F:L,6,FALSE)</f>
        <v>Computer Science</v>
      </c>
      <c r="L30" s="37" t="s">
        <v>3644</v>
      </c>
      <c r="M30" t="s">
        <v>3655</v>
      </c>
    </row>
    <row r="31" spans="1:13">
      <c r="A31" s="29">
        <v>30</v>
      </c>
      <c r="B31" s="17" t="s">
        <v>581</v>
      </c>
      <c r="C31" s="17">
        <v>2022438394</v>
      </c>
      <c r="D31" s="17">
        <v>2201010012</v>
      </c>
      <c r="E31" s="17" t="s">
        <v>1806</v>
      </c>
      <c r="F31" s="17" t="e">
        <f>VLOOKUP(C31,'Fast Track '!B:C,2,FALSE)</f>
        <v>#N/A</v>
      </c>
      <c r="G31" s="17" t="s">
        <v>3736</v>
      </c>
      <c r="H31" s="17" t="s">
        <v>582</v>
      </c>
      <c r="I31" s="17" t="str">
        <f>VLOOKUP(C31,Sheet1!D:J,6,FALSE)</f>
        <v>2022438394.mdnoor@pt.sharda.ac.in</v>
      </c>
      <c r="J31" s="17" t="str">
        <f>VLOOKUP(D31,Sheet1!E:K,6,FALSE)</f>
        <v>6206046943</v>
      </c>
      <c r="K31" s="17" t="str">
        <f>VLOOKUP(E31,Sheet1!F:L,6,FALSE)</f>
        <v>Computer Science</v>
      </c>
      <c r="L31" s="37" t="s">
        <v>3644</v>
      </c>
      <c r="M31" t="s">
        <v>3655</v>
      </c>
    </row>
    <row r="32" spans="1:13">
      <c r="A32" s="29">
        <v>31</v>
      </c>
      <c r="B32" s="17" t="s">
        <v>604</v>
      </c>
      <c r="C32" s="17">
        <v>2022508678</v>
      </c>
      <c r="D32" s="17">
        <v>2201010116</v>
      </c>
      <c r="E32" s="17" t="s">
        <v>1806</v>
      </c>
      <c r="F32" s="17" t="e">
        <f>VLOOKUP(C32,'Fast Track '!B:C,2,FALSE)</f>
        <v>#N/A</v>
      </c>
      <c r="G32" s="17" t="s">
        <v>3737</v>
      </c>
      <c r="H32" s="17" t="s">
        <v>605</v>
      </c>
      <c r="I32" s="17" t="str">
        <f>VLOOKUP(C32,Sheet1!D:J,6,FALSE)</f>
        <v>2022508678.ajay@pt.sharda.ac.in</v>
      </c>
      <c r="J32" s="17" t="str">
        <f>VLOOKUP(D32,Sheet1!E:K,6,FALSE)</f>
        <v>8859093114</v>
      </c>
      <c r="K32" s="17" t="str">
        <f>VLOOKUP(E32,Sheet1!F:L,6,FALSE)</f>
        <v>Computer Science</v>
      </c>
      <c r="L32" s="37" t="s">
        <v>3644</v>
      </c>
      <c r="M32" t="s">
        <v>3655</v>
      </c>
    </row>
    <row r="33" spans="1:13">
      <c r="A33" s="29">
        <v>32</v>
      </c>
      <c r="B33" s="17" t="s">
        <v>563</v>
      </c>
      <c r="C33" s="17">
        <v>2022345566</v>
      </c>
      <c r="D33" s="17">
        <v>2201010189</v>
      </c>
      <c r="E33" s="17" t="s">
        <v>1806</v>
      </c>
      <c r="F33" s="17" t="e">
        <f>VLOOKUP(C33,'Fast Track '!B:C,2,FALSE)</f>
        <v>#N/A</v>
      </c>
      <c r="G33" s="17" t="s">
        <v>3738</v>
      </c>
      <c r="H33" s="17" t="s">
        <v>564</v>
      </c>
      <c r="I33" s="17" t="str">
        <f>VLOOKUP(C33,Sheet1!D:J,6,FALSE)</f>
        <v>2022345566.santar@pt.sharda.ac.in</v>
      </c>
      <c r="J33" s="17" t="str">
        <f>VLOOKUP(D33,Sheet1!E:K,6,FALSE)</f>
        <v>7983655180</v>
      </c>
      <c r="K33" s="17" t="str">
        <f>VLOOKUP(E33,Sheet1!F:L,6,FALSE)</f>
        <v>Computer Science</v>
      </c>
      <c r="L33" s="37" t="s">
        <v>3644</v>
      </c>
      <c r="M33" t="s">
        <v>3655</v>
      </c>
    </row>
    <row r="34" spans="1:13">
      <c r="A34" s="29">
        <v>33</v>
      </c>
      <c r="B34" s="17" t="s">
        <v>557</v>
      </c>
      <c r="C34" s="17">
        <v>2022307961</v>
      </c>
      <c r="D34" s="17">
        <v>2201010238</v>
      </c>
      <c r="E34" s="17" t="s">
        <v>1806</v>
      </c>
      <c r="F34" s="17" t="e">
        <f>VLOOKUP(C34,'Fast Track '!B:C,2,FALSE)</f>
        <v>#N/A</v>
      </c>
      <c r="G34" s="17" t="s">
        <v>3739</v>
      </c>
      <c r="H34" s="17" t="s">
        <v>558</v>
      </c>
      <c r="I34" s="17" t="str">
        <f>VLOOKUP(C34,Sheet1!D:J,6,FALSE)</f>
        <v>2022307961.alfaz@pt.sharda.ac.in</v>
      </c>
      <c r="J34" s="17" t="str">
        <f>VLOOKUP(D34,Sheet1!E:K,6,FALSE)</f>
        <v>7015668319</v>
      </c>
      <c r="K34" s="17" t="str">
        <f>VLOOKUP(E34,Sheet1!F:L,6,FALSE)</f>
        <v>Computer Science</v>
      </c>
      <c r="L34" s="37" t="s">
        <v>3644</v>
      </c>
      <c r="M34" t="s">
        <v>3655</v>
      </c>
    </row>
    <row r="35" spans="1:13">
      <c r="A35" s="29">
        <v>34</v>
      </c>
      <c r="B35" s="17" t="s">
        <v>551</v>
      </c>
      <c r="C35" s="17">
        <v>2022006272</v>
      </c>
      <c r="D35" s="17">
        <v>2201010269</v>
      </c>
      <c r="E35" s="17" t="s">
        <v>1806</v>
      </c>
      <c r="F35" s="17" t="e">
        <f>VLOOKUP(C35,'Fast Track '!B:C,2,FALSE)</f>
        <v>#N/A</v>
      </c>
      <c r="G35" s="17" t="s">
        <v>3740</v>
      </c>
      <c r="H35" s="17" t="s">
        <v>552</v>
      </c>
      <c r="I35" s="17" t="str">
        <f>VLOOKUP(C35,Sheet1!D:J,6,FALSE)</f>
        <v>2022006272.nilmany@pt.sharda.ac.in</v>
      </c>
      <c r="J35" s="17" t="str">
        <f>VLOOKUP(D35,Sheet1!E:K,6,FALSE)</f>
        <v>6203386550</v>
      </c>
      <c r="K35" s="17" t="str">
        <f>VLOOKUP(E35,Sheet1!F:L,6,FALSE)</f>
        <v>Computer Science</v>
      </c>
      <c r="L35" s="37" t="s">
        <v>3644</v>
      </c>
      <c r="M35" t="s">
        <v>3655</v>
      </c>
    </row>
    <row r="36" spans="1:13">
      <c r="A36" s="29">
        <v>35</v>
      </c>
      <c r="B36" s="17" t="s">
        <v>614</v>
      </c>
      <c r="C36" s="17">
        <v>2022521021</v>
      </c>
      <c r="D36" s="17">
        <v>2201010323</v>
      </c>
      <c r="E36" s="17" t="s">
        <v>1806</v>
      </c>
      <c r="F36" s="17" t="e">
        <f>VLOOKUP(C36,'Fast Track '!B:C,2,FALSE)</f>
        <v>#N/A</v>
      </c>
      <c r="G36" s="17" t="s">
        <v>3741</v>
      </c>
      <c r="H36" s="17" t="s">
        <v>615</v>
      </c>
      <c r="I36" s="17" t="str">
        <f>VLOOKUP(C36,Sheet1!D:J,6,FALSE)</f>
        <v>2022521021.ranjankumar@pt.sharda.ac.in</v>
      </c>
      <c r="J36" s="17" t="str">
        <f>VLOOKUP(D36,Sheet1!E:K,6,FALSE)</f>
        <v>7980476255</v>
      </c>
      <c r="K36" s="17" t="str">
        <f>VLOOKUP(E36,Sheet1!F:L,6,FALSE)</f>
        <v>Computer Science</v>
      </c>
      <c r="L36" s="37" t="s">
        <v>3644</v>
      </c>
      <c r="M36" t="s">
        <v>3655</v>
      </c>
    </row>
    <row r="37" spans="1:13">
      <c r="A37" s="29">
        <v>36</v>
      </c>
      <c r="B37" s="17" t="s">
        <v>547</v>
      </c>
      <c r="C37" s="17">
        <v>2022006140</v>
      </c>
      <c r="D37" s="17">
        <v>2201010331</v>
      </c>
      <c r="E37" s="17" t="s">
        <v>1806</v>
      </c>
      <c r="F37" s="17" t="e">
        <f>VLOOKUP(C37,'Fast Track '!B:C,2,FALSE)</f>
        <v>#N/A</v>
      </c>
      <c r="G37" s="17" t="s">
        <v>3742</v>
      </c>
      <c r="H37" s="17" t="s">
        <v>548</v>
      </c>
      <c r="I37" s="17" t="str">
        <f>VLOOKUP(C37,Sheet1!D:J,6,FALSE)</f>
        <v>2022006140.narveshkumar@pt.sharda.ac.in</v>
      </c>
      <c r="J37" s="17" t="str">
        <f>VLOOKUP(D37,Sheet1!E:K,6,FALSE)</f>
        <v>6397191413</v>
      </c>
      <c r="K37" s="17" t="str">
        <f>VLOOKUP(E37,Sheet1!F:L,6,FALSE)</f>
        <v>Computer Science</v>
      </c>
      <c r="L37" s="37" t="s">
        <v>3644</v>
      </c>
      <c r="M37" t="s">
        <v>3655</v>
      </c>
    </row>
    <row r="38" spans="1:13">
      <c r="A38" s="29">
        <v>37</v>
      </c>
      <c r="B38" s="17" t="s">
        <v>586</v>
      </c>
      <c r="C38" s="17">
        <v>2022473330</v>
      </c>
      <c r="D38" s="17">
        <v>2201010551</v>
      </c>
      <c r="E38" s="17" t="s">
        <v>1806</v>
      </c>
      <c r="F38" s="17" t="e">
        <f>VLOOKUP(C38,'Fast Track '!B:C,2,FALSE)</f>
        <v>#N/A</v>
      </c>
      <c r="G38" s="17" t="s">
        <v>3743</v>
      </c>
      <c r="H38" s="17" t="s">
        <v>587</v>
      </c>
      <c r="I38" s="17" t="str">
        <f>VLOOKUP(C38,Sheet1!D:J,6,FALSE)</f>
        <v>2022473330.sunilkumar@pt.sharda.ac.in</v>
      </c>
      <c r="J38" s="17" t="str">
        <f>VLOOKUP(D38,Sheet1!E:K,6,FALSE)</f>
        <v>8900049210</v>
      </c>
      <c r="K38" s="17" t="str">
        <f>VLOOKUP(E38,Sheet1!F:L,6,FALSE)</f>
        <v>Computer Science</v>
      </c>
      <c r="L38" s="37" t="s">
        <v>3644</v>
      </c>
      <c r="M38" t="s">
        <v>3655</v>
      </c>
    </row>
    <row r="39" spans="1:13">
      <c r="A39" s="29">
        <v>38</v>
      </c>
      <c r="B39" s="17" t="s">
        <v>606</v>
      </c>
      <c r="C39" s="17">
        <v>2022512387</v>
      </c>
      <c r="D39" s="17">
        <v>2201010572</v>
      </c>
      <c r="E39" s="17" t="s">
        <v>1806</v>
      </c>
      <c r="F39" s="17" t="e">
        <f>VLOOKUP(C39,'Fast Track '!B:C,2,FALSE)</f>
        <v>#N/A</v>
      </c>
      <c r="G39" s="17" t="s">
        <v>3744</v>
      </c>
      <c r="H39" s="17" t="s">
        <v>607</v>
      </c>
      <c r="I39" s="17" t="str">
        <f>VLOOKUP(C39,Sheet1!D:J,6,FALSE)</f>
        <v>2022512387.kishorechandra@pt.sharda.ac.in</v>
      </c>
      <c r="J39" s="17" t="str">
        <f>VLOOKUP(D39,Sheet1!E:K,6,FALSE)</f>
        <v>9142724357</v>
      </c>
      <c r="K39" s="17" t="str">
        <f>VLOOKUP(E39,Sheet1!F:L,6,FALSE)</f>
        <v>Computer Science</v>
      </c>
      <c r="L39" s="37" t="s">
        <v>3644</v>
      </c>
      <c r="M39" t="s">
        <v>3655</v>
      </c>
    </row>
    <row r="40" spans="1:13">
      <c r="A40" s="29">
        <v>39</v>
      </c>
      <c r="B40" s="17" t="s">
        <v>608</v>
      </c>
      <c r="C40" s="17">
        <v>2022514886</v>
      </c>
      <c r="D40" s="17">
        <v>2201010656</v>
      </c>
      <c r="E40" s="17" t="s">
        <v>1806</v>
      </c>
      <c r="F40" s="17" t="e">
        <f>VLOOKUP(C40,'Fast Track '!B:C,2,FALSE)</f>
        <v>#N/A</v>
      </c>
      <c r="G40" s="17" t="s">
        <v>3745</v>
      </c>
      <c r="H40" s="17" t="s">
        <v>609</v>
      </c>
      <c r="I40" s="17" t="str">
        <f>VLOOKUP(C40,Sheet1!D:J,6,FALSE)</f>
        <v>2022514886.binaykumar@pt.sharda.ac.in</v>
      </c>
      <c r="J40" s="17" t="str">
        <f>VLOOKUP(D40,Sheet1!E:K,6,FALSE)</f>
        <v>8252711617</v>
      </c>
      <c r="K40" s="17" t="str">
        <f>VLOOKUP(E40,Sheet1!F:L,6,FALSE)</f>
        <v>Computer Science</v>
      </c>
      <c r="L40" s="37" t="s">
        <v>3644</v>
      </c>
      <c r="M40" t="s">
        <v>3655</v>
      </c>
    </row>
    <row r="41" spans="1:13">
      <c r="A41" s="29">
        <v>40</v>
      </c>
      <c r="B41" s="17" t="s">
        <v>533</v>
      </c>
      <c r="C41" s="17">
        <v>2022000791</v>
      </c>
      <c r="D41" s="17">
        <v>2201010664</v>
      </c>
      <c r="E41" s="17" t="s">
        <v>1806</v>
      </c>
      <c r="F41" s="17" t="e">
        <f>VLOOKUP(C41,'Fast Track '!B:C,2,FALSE)</f>
        <v>#N/A</v>
      </c>
      <c r="G41" s="17" t="s">
        <v>3746</v>
      </c>
      <c r="H41" s="17" t="s">
        <v>534</v>
      </c>
      <c r="I41" s="17" t="str">
        <f>VLOOKUP(C41,Sheet1!D:J,6,FALSE)</f>
        <v>2022000791.pankaj@pt.sharda.ac.in</v>
      </c>
      <c r="J41" s="17" t="str">
        <f>VLOOKUP(D41,Sheet1!E:K,6,FALSE)</f>
        <v>6202918615</v>
      </c>
      <c r="K41" s="17" t="str">
        <f>VLOOKUP(E41,Sheet1!F:L,6,FALSE)</f>
        <v>Computer Science</v>
      </c>
      <c r="L41" s="37" t="s">
        <v>3644</v>
      </c>
      <c r="M41" t="s">
        <v>3655</v>
      </c>
    </row>
    <row r="42" spans="1:13">
      <c r="A42" s="29">
        <v>41</v>
      </c>
      <c r="B42" s="17" t="s">
        <v>539</v>
      </c>
      <c r="C42" s="17">
        <v>2022003069</v>
      </c>
      <c r="D42" s="17">
        <v>2201010694</v>
      </c>
      <c r="E42" s="17" t="s">
        <v>1806</v>
      </c>
      <c r="F42" s="17" t="e">
        <f>VLOOKUP(C42,'Fast Track '!B:C,2,FALSE)</f>
        <v>#N/A</v>
      </c>
      <c r="G42" s="17" t="s">
        <v>3747</v>
      </c>
      <c r="H42" s="17" t="s">
        <v>540</v>
      </c>
      <c r="I42" s="17" t="str">
        <f>VLOOKUP(C42,Sheet1!D:J,6,FALSE)</f>
        <v>2022003069.kavindra@pt.sharda.ac.in</v>
      </c>
      <c r="J42" s="17" t="str">
        <f>VLOOKUP(D42,Sheet1!E:K,6,FALSE)</f>
        <v>8534991362</v>
      </c>
      <c r="K42" s="17" t="str">
        <f>VLOOKUP(E42,Sheet1!F:L,6,FALSE)</f>
        <v>Computer Science</v>
      </c>
      <c r="L42" s="37" t="s">
        <v>3645</v>
      </c>
      <c r="M42" t="s">
        <v>3654</v>
      </c>
    </row>
    <row r="43" spans="1:13">
      <c r="A43" s="29">
        <v>42</v>
      </c>
      <c r="B43" s="17" t="s">
        <v>571</v>
      </c>
      <c r="C43" s="17">
        <v>2022381725</v>
      </c>
      <c r="D43" s="17">
        <v>2201010804</v>
      </c>
      <c r="E43" s="17" t="s">
        <v>1806</v>
      </c>
      <c r="F43" s="17" t="e">
        <f>VLOOKUP(C43,'Fast Track '!B:C,2,FALSE)</f>
        <v>#N/A</v>
      </c>
      <c r="G43" s="17" t="s">
        <v>3748</v>
      </c>
      <c r="H43" s="17" t="s">
        <v>572</v>
      </c>
      <c r="I43" s="17" t="str">
        <f>VLOOKUP(C43,Sheet1!D:J,6,FALSE)</f>
        <v>2022381725.manish@pt.sharda.ac.in</v>
      </c>
      <c r="J43" s="17" t="str">
        <f>VLOOKUP(D43,Sheet1!E:K,6,FALSE)</f>
        <v>7011422195</v>
      </c>
      <c r="K43" s="17" t="str">
        <f>VLOOKUP(E43,Sheet1!F:L,6,FALSE)</f>
        <v>Computer Science</v>
      </c>
      <c r="L43" s="37" t="s">
        <v>3644</v>
      </c>
      <c r="M43" t="s">
        <v>3655</v>
      </c>
    </row>
    <row r="44" spans="1:13">
      <c r="A44" s="29">
        <v>43</v>
      </c>
      <c r="B44" s="17" t="s">
        <v>555</v>
      </c>
      <c r="C44" s="17">
        <v>2022007677</v>
      </c>
      <c r="D44" s="17">
        <v>2201010857</v>
      </c>
      <c r="E44" s="17" t="s">
        <v>1806</v>
      </c>
      <c r="F44" s="17" t="e">
        <f>VLOOKUP(C44,'Fast Track '!B:C,2,FALSE)</f>
        <v>#N/A</v>
      </c>
      <c r="G44" s="17" t="s">
        <v>3749</v>
      </c>
      <c r="H44" s="17" t="s">
        <v>556</v>
      </c>
      <c r="I44" s="17" t="str">
        <f>VLOOKUP(C44,Sheet1!D:J,6,FALSE)</f>
        <v>2022007677.pramod@pt.sharda.ac.in</v>
      </c>
      <c r="J44" s="17" t="str">
        <f>VLOOKUP(D44,Sheet1!E:K,6,FALSE)</f>
        <v>7000477717</v>
      </c>
      <c r="K44" s="17" t="str">
        <f>VLOOKUP(E44,Sheet1!F:L,6,FALSE)</f>
        <v>Computer Science</v>
      </c>
      <c r="L44" s="37" t="s">
        <v>3644</v>
      </c>
      <c r="M44" t="s">
        <v>3655</v>
      </c>
    </row>
    <row r="45" spans="1:13">
      <c r="A45" s="29">
        <v>44</v>
      </c>
      <c r="B45" s="17" t="s">
        <v>528</v>
      </c>
      <c r="C45" s="17">
        <v>2022585888</v>
      </c>
      <c r="D45" s="17">
        <v>2201010886</v>
      </c>
      <c r="E45" s="17" t="s">
        <v>1806</v>
      </c>
      <c r="F45" s="17" t="e">
        <f>VLOOKUP(C45,'Fast Track '!B:C,2,FALSE)</f>
        <v>#N/A</v>
      </c>
      <c r="G45" s="17" t="s">
        <v>3750</v>
      </c>
      <c r="H45" s="17" t="s">
        <v>529</v>
      </c>
      <c r="I45" s="17" t="str">
        <f>VLOOKUP(C45,Sheet1!D:J,6,FALSE)</f>
        <v>2022585888.abdul@pt.sharda.ac.in</v>
      </c>
      <c r="J45" s="17" t="str">
        <f>VLOOKUP(D45,Sheet1!E:K,6,FALSE)</f>
        <v>9635287067</v>
      </c>
      <c r="K45" s="17" t="str">
        <f>VLOOKUP(E45,Sheet1!F:L,6,FALSE)</f>
        <v>Computer Science</v>
      </c>
      <c r="L45" s="37" t="s">
        <v>3644</v>
      </c>
      <c r="M45" t="s">
        <v>3655</v>
      </c>
    </row>
    <row r="46" spans="1:13">
      <c r="A46" s="29">
        <v>45</v>
      </c>
      <c r="B46" s="17" t="s">
        <v>736</v>
      </c>
      <c r="C46" s="17">
        <v>2022578067</v>
      </c>
      <c r="D46" s="17">
        <v>2201010007</v>
      </c>
      <c r="E46" s="17" t="s">
        <v>1806</v>
      </c>
      <c r="F46" s="17" t="e">
        <f>VLOOKUP(C46,'Fast Track '!B:C,2,FALSE)</f>
        <v>#N/A</v>
      </c>
      <c r="G46" s="17" t="s">
        <v>3751</v>
      </c>
      <c r="H46" s="17" t="s">
        <v>737</v>
      </c>
      <c r="I46" s="17" t="str">
        <f>VLOOKUP(C46,Sheet1!D:J,6,FALSE)</f>
        <v>2022578067.dhramjeet@pt.sharda.ac.in</v>
      </c>
      <c r="J46" s="17" t="str">
        <f>VLOOKUP(D46,Sheet1!E:K,6,FALSE)</f>
        <v>9102398365</v>
      </c>
      <c r="K46" s="17" t="str">
        <f>VLOOKUP(E46,Sheet1!F:L,6,FALSE)</f>
        <v>Computer Science</v>
      </c>
      <c r="L46" s="37" t="s">
        <v>3644</v>
      </c>
      <c r="M46" t="s">
        <v>3655</v>
      </c>
    </row>
    <row r="47" spans="1:13">
      <c r="A47" s="29">
        <v>46</v>
      </c>
      <c r="B47" s="17" t="s">
        <v>705</v>
      </c>
      <c r="C47" s="17">
        <v>2022374295</v>
      </c>
      <c r="D47" s="17">
        <v>2201010045</v>
      </c>
      <c r="E47" s="17" t="s">
        <v>1806</v>
      </c>
      <c r="F47" s="17" t="e">
        <f>VLOOKUP(C47,'Fast Track '!B:C,2,FALSE)</f>
        <v>#N/A</v>
      </c>
      <c r="G47" s="17" t="s">
        <v>3752</v>
      </c>
      <c r="H47" s="17" t="s">
        <v>706</v>
      </c>
      <c r="I47" s="17" t="str">
        <f>VLOOKUP(C47,Sheet1!D:J,6,FALSE)</f>
        <v>2022374295.amitkumar@pt.sharda.ac.in</v>
      </c>
      <c r="J47" s="17" t="str">
        <f>VLOOKUP(D47,Sheet1!E:K,6,FALSE)</f>
        <v>6207058004</v>
      </c>
      <c r="K47" s="17" t="str">
        <f>VLOOKUP(E47,Sheet1!F:L,6,FALSE)</f>
        <v>Computer Science</v>
      </c>
      <c r="L47" s="37" t="s">
        <v>3644</v>
      </c>
      <c r="M47" t="s">
        <v>3655</v>
      </c>
    </row>
    <row r="48" spans="1:13">
      <c r="A48" s="29">
        <v>47</v>
      </c>
      <c r="B48" s="17" t="s">
        <v>377</v>
      </c>
      <c r="C48" s="17">
        <v>2022467293</v>
      </c>
      <c r="D48" s="17">
        <v>2201010077</v>
      </c>
      <c r="E48" s="17" t="s">
        <v>1806</v>
      </c>
      <c r="F48" s="17" t="e">
        <f>VLOOKUP(C48,'Fast Track '!B:C,2,FALSE)</f>
        <v>#N/A</v>
      </c>
      <c r="G48" s="17" t="s">
        <v>3753</v>
      </c>
      <c r="H48" s="17" t="s">
        <v>717</v>
      </c>
      <c r="I48" s="17" t="str">
        <f>VLOOKUP(C48,Sheet1!D:J,6,FALSE)</f>
        <v>2022467293.arvind@pt.sharda.ac.in</v>
      </c>
      <c r="J48" s="17" t="str">
        <f>VLOOKUP(D48,Sheet1!E:K,6,FALSE)</f>
        <v>6202941942</v>
      </c>
      <c r="K48" s="17" t="str">
        <f>VLOOKUP(E48,Sheet1!F:L,6,FALSE)</f>
        <v>Computer Science</v>
      </c>
      <c r="L48" s="37" t="s">
        <v>3644</v>
      </c>
      <c r="M48" t="s">
        <v>3655</v>
      </c>
    </row>
    <row r="49" spans="1:13">
      <c r="A49" s="29">
        <v>48</v>
      </c>
      <c r="B49" s="17" t="s">
        <v>709</v>
      </c>
      <c r="C49" s="17">
        <v>2022434340</v>
      </c>
      <c r="D49" s="17">
        <v>2201010159</v>
      </c>
      <c r="E49" s="17" t="s">
        <v>1806</v>
      </c>
      <c r="F49" s="17" t="e">
        <f>VLOOKUP(C49,'Fast Track '!B:C,2,FALSE)</f>
        <v>#N/A</v>
      </c>
      <c r="G49" s="17" t="s">
        <v>3754</v>
      </c>
      <c r="H49" s="17" t="s">
        <v>710</v>
      </c>
      <c r="I49" s="17" t="str">
        <f>VLOOKUP(C49,Sheet1!D:J,6,FALSE)</f>
        <v>2022434340.nawalkishore@pt.sharda.ac.in</v>
      </c>
      <c r="J49" s="17" t="str">
        <f>VLOOKUP(D49,Sheet1!E:K,6,FALSE)</f>
        <v>6205495441</v>
      </c>
      <c r="K49" s="17" t="str">
        <f>VLOOKUP(E49,Sheet1!F:L,6,FALSE)</f>
        <v>Computer Science</v>
      </c>
      <c r="L49" s="37" t="s">
        <v>3644</v>
      </c>
      <c r="M49" t="s">
        <v>3655</v>
      </c>
    </row>
    <row r="50" spans="1:13">
      <c r="A50" s="29">
        <v>49</v>
      </c>
      <c r="B50" s="17" t="s">
        <v>680</v>
      </c>
      <c r="C50" s="17">
        <v>2022004342</v>
      </c>
      <c r="D50" s="17">
        <v>2201010217</v>
      </c>
      <c r="E50" s="17" t="s">
        <v>1806</v>
      </c>
      <c r="F50" s="17" t="e">
        <f>VLOOKUP(C50,'Fast Track '!B:C,2,FALSE)</f>
        <v>#N/A</v>
      </c>
      <c r="G50" s="17" t="s">
        <v>3755</v>
      </c>
      <c r="H50" s="17" t="s">
        <v>681</v>
      </c>
      <c r="I50" s="17" t="str">
        <f>VLOOKUP(C50,Sheet1!D:J,6,FALSE)</f>
        <v>2022004342.pramod@pt.sharda.ac.in</v>
      </c>
      <c r="J50" s="17" t="str">
        <f>VLOOKUP(D50,Sheet1!E:K,6,FALSE)</f>
        <v>7983405848</v>
      </c>
      <c r="K50" s="17" t="str">
        <f>VLOOKUP(E50,Sheet1!F:L,6,FALSE)</f>
        <v>Computer Science</v>
      </c>
      <c r="L50" s="37" t="s">
        <v>3644</v>
      </c>
      <c r="M50" t="s">
        <v>3655</v>
      </c>
    </row>
    <row r="51" spans="1:13">
      <c r="A51" s="29">
        <v>50</v>
      </c>
      <c r="B51" s="17" t="s">
        <v>685</v>
      </c>
      <c r="C51" s="17">
        <v>2022006787</v>
      </c>
      <c r="D51" s="17">
        <v>2201010757</v>
      </c>
      <c r="E51" s="17" t="s">
        <v>1806</v>
      </c>
      <c r="F51" s="17" t="e">
        <f>VLOOKUP(C51,'Fast Track '!B:C,2,FALSE)</f>
        <v>#N/A</v>
      </c>
      <c r="G51" s="17" t="s">
        <v>3756</v>
      </c>
      <c r="H51" s="17" t="s">
        <v>686</v>
      </c>
      <c r="I51" s="17" t="str">
        <f>VLOOKUP(C51,Sheet1!D:J,6,FALSE)</f>
        <v>2022006787.munna@pt.sharda.ac.in</v>
      </c>
      <c r="J51" s="17" t="str">
        <f>VLOOKUP(D51,Sheet1!E:K,6,FALSE)</f>
        <v>8235368282</v>
      </c>
      <c r="K51" s="17" t="str">
        <f>VLOOKUP(E51,Sheet1!F:L,6,FALSE)</f>
        <v>Computer Science</v>
      </c>
      <c r="L51" s="37" t="s">
        <v>3644</v>
      </c>
      <c r="M51" t="s">
        <v>3655</v>
      </c>
    </row>
    <row r="52" spans="1:13">
      <c r="A52" s="29">
        <v>51</v>
      </c>
      <c r="B52" s="17" t="s">
        <v>759</v>
      </c>
      <c r="C52" s="17">
        <v>2022007323</v>
      </c>
      <c r="D52" s="17">
        <v>2201010843</v>
      </c>
      <c r="E52" s="17" t="s">
        <v>1806</v>
      </c>
      <c r="F52" s="17" t="e">
        <f>VLOOKUP(C52,'Fast Track '!B:C,2,FALSE)</f>
        <v>#N/A</v>
      </c>
      <c r="G52" s="17" t="s">
        <v>3757</v>
      </c>
      <c r="H52" s="17" t="s">
        <v>760</v>
      </c>
      <c r="I52" s="17" t="str">
        <f>VLOOKUP(C52,Sheet1!D:J,6,FALSE)</f>
        <v>2022007323.shivnath@pt.sharda.ac.in</v>
      </c>
      <c r="J52" s="17" t="str">
        <f>VLOOKUP(D52,Sheet1!E:K,6,FALSE)</f>
        <v>7838117145</v>
      </c>
      <c r="K52" s="17" t="str">
        <f>VLOOKUP(E52,Sheet1!F:L,6,FALSE)</f>
        <v>Computer Science</v>
      </c>
      <c r="L52" s="37" t="s">
        <v>3644</v>
      </c>
      <c r="M52" t="s">
        <v>3655</v>
      </c>
    </row>
    <row r="53" spans="1:13">
      <c r="A53" s="29">
        <v>52</v>
      </c>
      <c r="B53" s="17" t="s">
        <v>662</v>
      </c>
      <c r="C53" s="17">
        <v>2022007795</v>
      </c>
      <c r="D53" s="17">
        <v>2201010865</v>
      </c>
      <c r="E53" s="17" t="s">
        <v>1806</v>
      </c>
      <c r="F53" s="17" t="e">
        <f>VLOOKUP(C53,'Fast Track '!B:C,2,FALSE)</f>
        <v>#N/A</v>
      </c>
      <c r="G53" s="17" t="s">
        <v>3758</v>
      </c>
      <c r="H53" s="17" t="s">
        <v>663</v>
      </c>
      <c r="I53" s="17" t="str">
        <f>VLOOKUP(C53,Sheet1!D:J,6,FALSE)</f>
        <v>2022007795.ashim@pt.sharda.ac.in</v>
      </c>
      <c r="J53" s="17" t="str">
        <f>VLOOKUP(D53,Sheet1!E:K,6,FALSE)</f>
        <v>9903404550</v>
      </c>
      <c r="K53" s="17" t="str">
        <f>VLOOKUP(E53,Sheet1!F:L,6,FALSE)</f>
        <v>Computer Science</v>
      </c>
      <c r="L53" s="37" t="s">
        <v>3644</v>
      </c>
      <c r="M53" t="s">
        <v>3655</v>
      </c>
    </row>
    <row r="54" spans="1:13">
      <c r="A54" s="29">
        <v>53</v>
      </c>
      <c r="B54" s="17" t="s">
        <v>670</v>
      </c>
      <c r="C54" s="17">
        <v>2022610409</v>
      </c>
      <c r="D54" s="17">
        <v>2201010900</v>
      </c>
      <c r="E54" s="17" t="s">
        <v>1806</v>
      </c>
      <c r="F54" s="17" t="e">
        <f>VLOOKUP(C54,'Fast Track '!B:C,2,FALSE)</f>
        <v>#N/A</v>
      </c>
      <c r="G54" s="17" t="s">
        <v>3759</v>
      </c>
      <c r="H54" s="17" t="s">
        <v>671</v>
      </c>
      <c r="I54" s="17" t="str">
        <f>VLOOKUP(C54,Sheet1!D:J,6,FALSE)</f>
        <v>2022610409.ramesh@pt.sharda.ac.in</v>
      </c>
      <c r="J54" s="17" t="str">
        <f>VLOOKUP(D54,Sheet1!E:K,6,FALSE)</f>
        <v>7974011350</v>
      </c>
      <c r="K54" s="17" t="str">
        <f>VLOOKUP(E54,Sheet1!F:L,6,FALSE)</f>
        <v>Computer Science</v>
      </c>
      <c r="L54" s="37" t="s">
        <v>3644</v>
      </c>
      <c r="M54" t="s">
        <v>3655</v>
      </c>
    </row>
    <row r="55" spans="1:13">
      <c r="A55" s="29">
        <v>54</v>
      </c>
      <c r="B55" s="17" t="s">
        <v>387</v>
      </c>
      <c r="C55" s="17">
        <v>2021463218</v>
      </c>
      <c r="D55" s="17">
        <v>210101493</v>
      </c>
      <c r="E55" s="17" t="s">
        <v>1806</v>
      </c>
      <c r="F55" s="17" t="e">
        <f>VLOOKUP(C55,'Fast Track '!B:C,2,FALSE)</f>
        <v>#N/A</v>
      </c>
      <c r="G55" s="17" t="s">
        <v>3760</v>
      </c>
      <c r="H55" s="17" t="s">
        <v>388</v>
      </c>
      <c r="I55" s="17" t="str">
        <f>VLOOKUP(C55,Sheet1!D:J,6,FALSE)</f>
        <v>2021463218.sushanta@pt.sharda.ac.in</v>
      </c>
      <c r="J55" s="17" t="str">
        <f>VLOOKUP(D55,Sheet1!E:K,6,FALSE)</f>
        <v>9832307047</v>
      </c>
      <c r="K55" s="17" t="str">
        <f>VLOOKUP(E55,Sheet1!F:L,6,FALSE)</f>
        <v>Computer Science</v>
      </c>
      <c r="L55" s="37" t="s">
        <v>3644</v>
      </c>
      <c r="M55" t="s">
        <v>3655</v>
      </c>
    </row>
    <row r="56" spans="1:13">
      <c r="A56" s="29">
        <v>55</v>
      </c>
      <c r="B56" s="17" t="s">
        <v>379</v>
      </c>
      <c r="C56" s="17">
        <v>2022527904</v>
      </c>
      <c r="D56" s="17">
        <v>2201010799</v>
      </c>
      <c r="E56" s="17" t="s">
        <v>1806</v>
      </c>
      <c r="F56" s="17" t="e">
        <f>VLOOKUP(C56,'Fast Track '!B:C,2,FALSE)</f>
        <v>#N/A</v>
      </c>
      <c r="G56" s="17" t="s">
        <v>3761</v>
      </c>
      <c r="H56" s="17" t="s">
        <v>380</v>
      </c>
      <c r="I56" s="17" t="str">
        <f>VLOOKUP(C56,Sheet1!D:J,6,FALSE)</f>
        <v>2022527904.tarkeshwarprasad@pt.sharda.ac.in</v>
      </c>
      <c r="J56" s="17" t="str">
        <f>VLOOKUP(D56,Sheet1!E:K,6,FALSE)</f>
        <v>7001523353</v>
      </c>
      <c r="K56" s="17" t="str">
        <f>VLOOKUP(E56,Sheet1!F:L,6,FALSE)</f>
        <v>Computer Science</v>
      </c>
      <c r="L56" s="37" t="s">
        <v>3644</v>
      </c>
      <c r="M56" t="s">
        <v>3655</v>
      </c>
    </row>
    <row r="57" spans="1:13">
      <c r="A57" s="29">
        <v>56</v>
      </c>
      <c r="B57" s="17" t="s">
        <v>383</v>
      </c>
      <c r="C57" s="17">
        <v>2023263567</v>
      </c>
      <c r="D57" s="17">
        <v>2301017005</v>
      </c>
      <c r="E57" s="17" t="s">
        <v>1806</v>
      </c>
      <c r="F57" s="17" t="e">
        <f>VLOOKUP(C57,'Fast Track '!B:C,2,FALSE)</f>
        <v>#N/A</v>
      </c>
      <c r="G57" s="17" t="s">
        <v>3762</v>
      </c>
      <c r="H57" s="17" t="s">
        <v>384</v>
      </c>
      <c r="I57" s="17" t="str">
        <f>VLOOKUP(C57,Sheet1!D:J,6,FALSE)</f>
        <v>2023263567.arun@pt.sharda.ac.in</v>
      </c>
      <c r="J57" s="17" t="str">
        <f>VLOOKUP(D57,Sheet1!E:K,6,FALSE)</f>
        <v>8092097291</v>
      </c>
      <c r="K57" s="17" t="str">
        <f>VLOOKUP(E57,Sheet1!F:L,6,FALSE)</f>
        <v>Computer Science</v>
      </c>
      <c r="L57" s="37" t="s">
        <v>3644</v>
      </c>
      <c r="M57" t="s">
        <v>3655</v>
      </c>
    </row>
    <row r="58" spans="1:13">
      <c r="A58" s="29">
        <v>57</v>
      </c>
      <c r="B58" s="17" t="s">
        <v>518</v>
      </c>
      <c r="C58" s="17">
        <v>2021001342</v>
      </c>
      <c r="D58" s="17">
        <v>210101351</v>
      </c>
      <c r="E58" s="17" t="s">
        <v>1806</v>
      </c>
      <c r="F58" s="17" t="e">
        <f>VLOOKUP(C58,'Fast Track '!B:C,2,FALSE)</f>
        <v>#N/A</v>
      </c>
      <c r="G58" s="17" t="s">
        <v>3763</v>
      </c>
      <c r="H58" s="17" t="s">
        <v>519</v>
      </c>
      <c r="I58" s="17" t="str">
        <f>VLOOKUP(C58,Sheet1!D:J,6,FALSE)</f>
        <v>2021001342.sudhir@pt.sharda.ac.in</v>
      </c>
      <c r="J58" s="17" t="str">
        <f>VLOOKUP(D58,Sheet1!E:K,6,FALSE)</f>
        <v>8448124468</v>
      </c>
      <c r="K58" s="17" t="str">
        <f>VLOOKUP(E58,Sheet1!F:L,6,FALSE)</f>
        <v>Computer Science</v>
      </c>
      <c r="L58" s="37" t="s">
        <v>3644</v>
      </c>
      <c r="M58" t="s">
        <v>3655</v>
      </c>
    </row>
    <row r="59" spans="1:13">
      <c r="A59" s="29">
        <v>58</v>
      </c>
      <c r="B59" s="17" t="s">
        <v>682</v>
      </c>
      <c r="C59" s="17">
        <v>2022004659</v>
      </c>
      <c r="D59" s="17">
        <v>2201010079</v>
      </c>
      <c r="E59" s="17" t="s">
        <v>1806</v>
      </c>
      <c r="F59" s="17" t="e">
        <f>VLOOKUP(C59,'Fast Track '!B:C,2,FALSE)</f>
        <v>#N/A</v>
      </c>
      <c r="G59" s="17" t="s">
        <v>3764</v>
      </c>
      <c r="H59" s="17" t="s">
        <v>683</v>
      </c>
      <c r="I59" s="17" t="str">
        <f>VLOOKUP(C59,Sheet1!D:J,6,FALSE)</f>
        <v>2022004659.ajay@pt.sharda.ac.in</v>
      </c>
      <c r="J59" s="17" t="str">
        <f>VLOOKUP(D59,Sheet1!E:K,6,FALSE)</f>
        <v>7856816590</v>
      </c>
      <c r="K59" s="17" t="str">
        <f>VLOOKUP(E59,Sheet1!F:L,6,FALSE)</f>
        <v>Computer Science</v>
      </c>
      <c r="L59" s="37" t="s">
        <v>3644</v>
      </c>
      <c r="M59" t="s">
        <v>3655</v>
      </c>
    </row>
    <row r="60" spans="1:13">
      <c r="A60" s="29">
        <v>59</v>
      </c>
      <c r="B60" s="6" t="s">
        <v>1431</v>
      </c>
      <c r="C60" s="7">
        <v>2022007672</v>
      </c>
      <c r="D60" s="7">
        <v>2201010962</v>
      </c>
      <c r="E60" s="17" t="s">
        <v>1806</v>
      </c>
      <c r="F60" s="17" t="e">
        <f>VLOOKUP(C60,'Fast Track '!B:C,2,FALSE)</f>
        <v>#N/A</v>
      </c>
      <c r="G60" s="17" t="s">
        <v>3765</v>
      </c>
      <c r="H60" s="6" t="s">
        <v>1432</v>
      </c>
      <c r="I60" s="6" t="s">
        <v>3433</v>
      </c>
      <c r="J60" s="6" t="s">
        <v>3434</v>
      </c>
      <c r="K60" s="6" t="s">
        <v>1396</v>
      </c>
      <c r="L60" s="37" t="s">
        <v>3644</v>
      </c>
      <c r="M60" t="s">
        <v>3670</v>
      </c>
    </row>
    <row r="61" spans="1:13">
      <c r="A61" s="29">
        <v>60</v>
      </c>
      <c r="B61" s="6" t="s">
        <v>1533</v>
      </c>
      <c r="C61" s="7">
        <v>2022007731</v>
      </c>
      <c r="D61" s="7">
        <v>2201010963</v>
      </c>
      <c r="E61" s="17" t="s">
        <v>1806</v>
      </c>
      <c r="F61" s="17" t="e">
        <f>VLOOKUP(C61,'Fast Track '!B:C,2,FALSE)</f>
        <v>#N/A</v>
      </c>
      <c r="G61" s="17" t="s">
        <v>3766</v>
      </c>
      <c r="H61" s="6" t="s">
        <v>1534</v>
      </c>
      <c r="I61" s="6" t="s">
        <v>3435</v>
      </c>
      <c r="J61" s="6" t="s">
        <v>3436</v>
      </c>
      <c r="K61" s="6" t="s">
        <v>1396</v>
      </c>
      <c r="L61" s="37" t="s">
        <v>3644</v>
      </c>
      <c r="M61" t="s">
        <v>3670</v>
      </c>
    </row>
    <row r="62" spans="1:13">
      <c r="A62" s="29">
        <v>61</v>
      </c>
      <c r="B62" s="6" t="s">
        <v>1433</v>
      </c>
      <c r="C62" s="7">
        <v>2022007802</v>
      </c>
      <c r="D62" s="7">
        <v>2201010964</v>
      </c>
      <c r="E62" s="17" t="s">
        <v>1806</v>
      </c>
      <c r="F62" s="17" t="e">
        <f>VLOOKUP(C62,'Fast Track '!B:C,2,FALSE)</f>
        <v>#N/A</v>
      </c>
      <c r="G62" s="17" t="s">
        <v>3767</v>
      </c>
      <c r="H62" s="6" t="s">
        <v>1434</v>
      </c>
      <c r="I62" s="6" t="s">
        <v>3437</v>
      </c>
      <c r="J62" s="6" t="s">
        <v>3438</v>
      </c>
      <c r="K62" s="6" t="s">
        <v>1396</v>
      </c>
      <c r="L62" s="37" t="s">
        <v>3644</v>
      </c>
      <c r="M62" t="s">
        <v>3670</v>
      </c>
    </row>
    <row r="63" spans="1:13">
      <c r="A63" s="29">
        <v>62</v>
      </c>
      <c r="B63" s="6" t="s">
        <v>1535</v>
      </c>
      <c r="C63" s="7">
        <v>2022008050</v>
      </c>
      <c r="D63" s="7">
        <v>2201010966</v>
      </c>
      <c r="E63" s="17" t="s">
        <v>1806</v>
      </c>
      <c r="F63" s="17" t="e">
        <f>VLOOKUP(C63,'Fast Track '!B:C,2,FALSE)</f>
        <v>#N/A</v>
      </c>
      <c r="G63" s="17" t="s">
        <v>3768</v>
      </c>
      <c r="H63" s="6" t="s">
        <v>1536</v>
      </c>
      <c r="I63" s="6" t="s">
        <v>3439</v>
      </c>
      <c r="J63" s="6" t="s">
        <v>3440</v>
      </c>
      <c r="K63" s="6" t="s">
        <v>1396</v>
      </c>
      <c r="L63" s="37" t="s">
        <v>3644</v>
      </c>
      <c r="M63" t="s">
        <v>3670</v>
      </c>
    </row>
    <row r="64" spans="1:13">
      <c r="A64" s="29">
        <v>63</v>
      </c>
      <c r="B64" s="6" t="s">
        <v>1435</v>
      </c>
      <c r="C64" s="7">
        <v>2022008126</v>
      </c>
      <c r="D64" s="7">
        <v>2201010969</v>
      </c>
      <c r="E64" s="17" t="s">
        <v>1806</v>
      </c>
      <c r="F64" s="17" t="e">
        <f>VLOOKUP(C64,'Fast Track '!B:C,2,FALSE)</f>
        <v>#N/A</v>
      </c>
      <c r="G64" s="17" t="s">
        <v>3769</v>
      </c>
      <c r="H64" s="6" t="s">
        <v>1436</v>
      </c>
      <c r="I64" s="6" t="s">
        <v>3441</v>
      </c>
      <c r="J64" s="6" t="s">
        <v>3442</v>
      </c>
      <c r="K64" s="6" t="s">
        <v>1396</v>
      </c>
      <c r="L64" s="37" t="s">
        <v>3644</v>
      </c>
      <c r="M64" t="s">
        <v>3670</v>
      </c>
    </row>
    <row r="65" spans="1:13">
      <c r="A65" s="29">
        <v>64</v>
      </c>
      <c r="B65" s="6" t="s">
        <v>1537</v>
      </c>
      <c r="C65" s="7">
        <v>2022008263</v>
      </c>
      <c r="D65" s="7">
        <v>2201010973</v>
      </c>
      <c r="E65" s="17" t="s">
        <v>1806</v>
      </c>
      <c r="F65" s="17" t="e">
        <f>VLOOKUP(C65,'Fast Track '!B:C,2,FALSE)</f>
        <v>#N/A</v>
      </c>
      <c r="G65" s="17" t="s">
        <v>3770</v>
      </c>
      <c r="H65" s="6" t="s">
        <v>1538</v>
      </c>
      <c r="I65" s="6" t="s">
        <v>3443</v>
      </c>
      <c r="J65" s="6" t="s">
        <v>3444</v>
      </c>
      <c r="K65" s="6" t="s">
        <v>1396</v>
      </c>
      <c r="L65" s="37" t="s">
        <v>3644</v>
      </c>
      <c r="M65" t="s">
        <v>3670</v>
      </c>
    </row>
    <row r="66" spans="1:13">
      <c r="A66" s="29">
        <v>65</v>
      </c>
      <c r="B66" s="6" t="s">
        <v>1492</v>
      </c>
      <c r="C66" s="7">
        <v>2022619784</v>
      </c>
      <c r="D66" s="7">
        <v>2201010976</v>
      </c>
      <c r="E66" s="17" t="s">
        <v>1806</v>
      </c>
      <c r="F66" s="17" t="e">
        <f>VLOOKUP(C66,'Fast Track '!B:C,2,FALSE)</f>
        <v>#N/A</v>
      </c>
      <c r="G66" s="17" t="s">
        <v>3771</v>
      </c>
      <c r="H66" s="6" t="s">
        <v>1493</v>
      </c>
      <c r="I66" s="6" t="s">
        <v>3445</v>
      </c>
      <c r="J66" s="6" t="s">
        <v>3446</v>
      </c>
      <c r="K66" s="6" t="s">
        <v>1396</v>
      </c>
      <c r="L66" s="37" t="s">
        <v>3644</v>
      </c>
      <c r="M66" t="s">
        <v>3670</v>
      </c>
    </row>
    <row r="67" spans="1:13">
      <c r="K67" s="31"/>
    </row>
    <row r="68" spans="1:13">
      <c r="K68" s="31"/>
    </row>
    <row r="69" spans="1:13">
      <c r="K69" s="31"/>
    </row>
    <row r="70" spans="1:13">
      <c r="K70" s="31"/>
    </row>
    <row r="71" spans="1:13">
      <c r="K71" s="31"/>
    </row>
    <row r="72" spans="1:13">
      <c r="K72" s="31"/>
    </row>
    <row r="73" spans="1:13">
      <c r="K73" s="31"/>
    </row>
    <row r="74" spans="1:13">
      <c r="K74" s="31"/>
    </row>
    <row r="75" spans="1:13">
      <c r="K75" s="31"/>
    </row>
    <row r="76" spans="1:13">
      <c r="K76" s="31"/>
    </row>
    <row r="77" spans="1:13">
      <c r="K77" s="31"/>
    </row>
    <row r="78" spans="1:13">
      <c r="K78" s="31"/>
    </row>
    <row r="79" spans="1:13">
      <c r="K79" s="31"/>
    </row>
    <row r="80" spans="1:13">
      <c r="K80" s="31"/>
    </row>
    <row r="81" spans="11:11">
      <c r="K81" s="31"/>
    </row>
    <row r="82" spans="11:11">
      <c r="K82" s="31"/>
    </row>
    <row r="83" spans="11:11">
      <c r="K83" s="31"/>
    </row>
    <row r="84" spans="11:11">
      <c r="K84" s="31"/>
    </row>
    <row r="85" spans="11:11">
      <c r="K85" s="31"/>
    </row>
    <row r="86" spans="11:11">
      <c r="K86" s="31"/>
    </row>
    <row r="87" spans="11:11">
      <c r="K87" s="31"/>
    </row>
    <row r="88" spans="11:11">
      <c r="K88" s="31"/>
    </row>
    <row r="89" spans="11:11">
      <c r="K89" s="31"/>
    </row>
    <row r="90" spans="11:11">
      <c r="K90" s="31"/>
    </row>
    <row r="91" spans="11:11">
      <c r="K91" s="31"/>
    </row>
    <row r="92" spans="11:11">
      <c r="K92" s="31"/>
    </row>
    <row r="93" spans="11:11">
      <c r="K93" s="31"/>
    </row>
    <row r="94" spans="11:11">
      <c r="K94" s="31"/>
    </row>
    <row r="95" spans="11:11">
      <c r="K95" s="31"/>
    </row>
    <row r="96" spans="11:11">
      <c r="K96" s="31"/>
    </row>
    <row r="97" spans="11:11">
      <c r="K97" s="31"/>
    </row>
    <row r="98" spans="11:11">
      <c r="K98" s="31"/>
    </row>
    <row r="99" spans="11:11">
      <c r="K99" s="31"/>
    </row>
    <row r="100" spans="11:11">
      <c r="K100" s="31"/>
    </row>
    <row r="101" spans="11:11">
      <c r="K101" s="31"/>
    </row>
    <row r="102" spans="11:11">
      <c r="K102" s="31"/>
    </row>
    <row r="103" spans="11:11">
      <c r="K103" s="31"/>
    </row>
    <row r="104" spans="11:11">
      <c r="K104" s="31"/>
    </row>
    <row r="105" spans="11:11">
      <c r="K105" s="31"/>
    </row>
    <row r="106" spans="11:11">
      <c r="K106" s="31"/>
    </row>
    <row r="107" spans="11:11">
      <c r="K107" s="31"/>
    </row>
    <row r="108" spans="11:11">
      <c r="K108" s="31"/>
    </row>
    <row r="109" spans="11:11">
      <c r="K109" s="31"/>
    </row>
    <row r="110" spans="11:11">
      <c r="K110" s="31"/>
    </row>
    <row r="111" spans="11:11">
      <c r="K111" s="31"/>
    </row>
    <row r="112" spans="11:11">
      <c r="K112" s="31"/>
    </row>
    <row r="113" spans="11:11">
      <c r="K113" s="31"/>
    </row>
    <row r="114" spans="11:11">
      <c r="K114" s="31"/>
    </row>
    <row r="115" spans="11:11">
      <c r="K115" s="31"/>
    </row>
    <row r="116" spans="11:11">
      <c r="K116" s="31"/>
    </row>
    <row r="117" spans="11:11">
      <c r="K117" s="31"/>
    </row>
    <row r="118" spans="11:11">
      <c r="K118" s="31"/>
    </row>
    <row r="119" spans="11:11">
      <c r="K119" s="31"/>
    </row>
    <row r="120" spans="11:11">
      <c r="K120" s="31"/>
    </row>
    <row r="121" spans="11:11">
      <c r="K121" s="31"/>
    </row>
    <row r="122" spans="11:11">
      <c r="K122" s="31"/>
    </row>
    <row r="123" spans="11:11">
      <c r="K123" s="31"/>
    </row>
    <row r="124" spans="11:11">
      <c r="K124" s="31"/>
    </row>
    <row r="125" spans="11:11">
      <c r="K125" s="31"/>
    </row>
  </sheetData>
  <conditionalFormatting sqref="C60:C66">
    <cfRule type="duplicateValues" dxfId="141" priority="4"/>
  </conditionalFormatting>
  <conditionalFormatting sqref="C60:C66">
    <cfRule type="duplicateValues" dxfId="140" priority="1"/>
  </conditionalFormatting>
  <conditionalFormatting sqref="C60:D66">
    <cfRule type="duplicateValues" dxfId="139" priority="2"/>
    <cfRule type="duplicateValues" dxfId="138" priority="3"/>
  </conditionalFormatting>
  <conditionalFormatting sqref="C1">
    <cfRule type="duplicateValues" dxfId="137" priority="815"/>
  </conditionalFormatting>
  <conditionalFormatting sqref="C1:D1">
    <cfRule type="duplicateValues" dxfId="136" priority="817"/>
    <cfRule type="duplicateValues" dxfId="135" priority="818"/>
  </conditionalFormatting>
  <dataValidations count="1">
    <dataValidation type="list" allowBlank="1" showErrorMessage="1" sqref="L2:L66">
      <formula1>"G1,G2"</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M64"/>
  <sheetViews>
    <sheetView topLeftCell="A55" workbookViewId="0">
      <selection activeCell="G2" sqref="A1:M64"/>
    </sheetView>
  </sheetViews>
  <sheetFormatPr defaultRowHeight="14.5"/>
  <cols>
    <col min="1" max="1" width="5.90625" style="30" bestFit="1" customWidth="1"/>
    <col min="2" max="2" width="21.6328125" bestFit="1" customWidth="1"/>
    <col min="3" max="4" width="11" bestFit="1" customWidth="1"/>
    <col min="5" max="5" width="13.90625" bestFit="1" customWidth="1"/>
    <col min="6" max="7" width="13.90625" customWidth="1"/>
    <col min="8" max="8" width="40.54296875" bestFit="1" customWidth="1"/>
    <col min="9" max="9" width="39.90625" bestFit="1" customWidth="1"/>
    <col min="10" max="10" width="13.54296875" bestFit="1" customWidth="1"/>
    <col min="11" max="11" width="15.6328125" bestFit="1" customWidth="1"/>
    <col min="12" max="12" width="11.54296875" style="38" customWidth="1"/>
  </cols>
  <sheetData>
    <row r="1" spans="1:13" ht="25">
      <c r="A1" s="28" t="s">
        <v>1</v>
      </c>
      <c r="B1" s="1" t="s">
        <v>2</v>
      </c>
      <c r="C1" s="1" t="s">
        <v>3</v>
      </c>
      <c r="D1" s="1" t="s">
        <v>4</v>
      </c>
      <c r="E1" s="1" t="s">
        <v>1817</v>
      </c>
      <c r="F1" s="1"/>
      <c r="G1" s="1"/>
      <c r="H1" s="1" t="s">
        <v>6</v>
      </c>
      <c r="I1" s="1" t="s">
        <v>1819</v>
      </c>
      <c r="J1" s="1" t="s">
        <v>1820</v>
      </c>
      <c r="K1" s="1" t="s">
        <v>7</v>
      </c>
      <c r="L1" s="36" t="s">
        <v>3676</v>
      </c>
      <c r="M1" s="41" t="s">
        <v>3677</v>
      </c>
    </row>
    <row r="2" spans="1:13">
      <c r="A2" s="29">
        <v>1</v>
      </c>
      <c r="B2" s="17" t="s">
        <v>341</v>
      </c>
      <c r="C2" s="17">
        <v>2022497340</v>
      </c>
      <c r="D2" s="17">
        <v>2201010409</v>
      </c>
      <c r="E2" s="17" t="s">
        <v>1808</v>
      </c>
      <c r="F2" s="17" t="e">
        <f>VLOOKUP(C2,'Fast Track '!B:C,2,FALSE)</f>
        <v>#N/A</v>
      </c>
      <c r="G2" s="17" t="s">
        <v>3707</v>
      </c>
      <c r="H2" s="17" t="s">
        <v>342</v>
      </c>
      <c r="I2" s="17" t="str">
        <f>VLOOKUP(C2,Sheet1!D:J,6,FALSE)</f>
        <v>2022497340.sk@pt.sharda.ac.in</v>
      </c>
      <c r="J2" s="17" t="str">
        <f>VLOOKUP(D2,Sheet1!E:K,6,FALSE)</f>
        <v>9128944978</v>
      </c>
      <c r="K2" s="17" t="s">
        <v>15</v>
      </c>
      <c r="L2" s="37" t="s">
        <v>3645</v>
      </c>
      <c r="M2" t="s">
        <v>3656</v>
      </c>
    </row>
    <row r="3" spans="1:13">
      <c r="A3" s="29">
        <v>2</v>
      </c>
      <c r="B3" s="17" t="s">
        <v>371</v>
      </c>
      <c r="C3" s="17">
        <v>2022824586</v>
      </c>
      <c r="D3" s="17">
        <v>2201010435</v>
      </c>
      <c r="E3" s="17" t="s">
        <v>1808</v>
      </c>
      <c r="F3" s="17" t="e">
        <f>VLOOKUP(C3,'Fast Track '!B:C,2,FALSE)</f>
        <v>#N/A</v>
      </c>
      <c r="G3" s="17" t="s">
        <v>3708</v>
      </c>
      <c r="H3" s="17" t="s">
        <v>372</v>
      </c>
      <c r="I3" s="17" t="str">
        <f>VLOOKUP(C3,Sheet1!D:J,6,FALSE)</f>
        <v>2022824586.msumi@pt.sharda.ac.in</v>
      </c>
      <c r="J3" s="17" t="str">
        <f>VLOOKUP(D3,Sheet1!E:K,6,FALSE)</f>
        <v>960012907</v>
      </c>
      <c r="K3" s="17" t="s">
        <v>15</v>
      </c>
      <c r="L3" s="37" t="s">
        <v>3645</v>
      </c>
      <c r="M3" t="s">
        <v>3656</v>
      </c>
    </row>
    <row r="4" spans="1:13">
      <c r="A4" s="29">
        <v>3</v>
      </c>
      <c r="B4" s="17" t="s">
        <v>351</v>
      </c>
      <c r="C4" s="17">
        <v>2022506127</v>
      </c>
      <c r="D4" s="17">
        <v>2201010521</v>
      </c>
      <c r="E4" s="17" t="s">
        <v>1808</v>
      </c>
      <c r="F4" s="17" t="e">
        <f>VLOOKUP(C4,'Fast Track '!B:C,2,FALSE)</f>
        <v>#N/A</v>
      </c>
      <c r="G4" s="17" t="s">
        <v>3709</v>
      </c>
      <c r="H4" s="17" t="s">
        <v>352</v>
      </c>
      <c r="I4" s="17" t="str">
        <f>VLOOKUP(C4,Sheet1!D:J,6,FALSE)</f>
        <v>2022506127.prasantakumar@pt.sharda.ac.in</v>
      </c>
      <c r="J4" s="17" t="str">
        <f>VLOOKUP(D4,Sheet1!E:K,6,FALSE)</f>
        <v>9315709293</v>
      </c>
      <c r="K4" s="17" t="s">
        <v>15</v>
      </c>
      <c r="L4" s="37" t="s">
        <v>3645</v>
      </c>
      <c r="M4" t="s">
        <v>3656</v>
      </c>
    </row>
    <row r="5" spans="1:13">
      <c r="A5" s="29">
        <v>4</v>
      </c>
      <c r="B5" s="17" t="s">
        <v>284</v>
      </c>
      <c r="C5" s="17">
        <v>2022005567</v>
      </c>
      <c r="D5" s="17">
        <v>2201010747</v>
      </c>
      <c r="E5" s="17" t="s">
        <v>1808</v>
      </c>
      <c r="F5" s="17" t="e">
        <f>VLOOKUP(C5,'Fast Track '!B:C,2,FALSE)</f>
        <v>#N/A</v>
      </c>
      <c r="G5" s="17" t="s">
        <v>3710</v>
      </c>
      <c r="H5" s="17" t="s">
        <v>285</v>
      </c>
      <c r="I5" s="17" t="str">
        <f>VLOOKUP(C5,Sheet1!D:J,6,FALSE)</f>
        <v>2022005567.rajneeshkumar@pt.sharda.ac.in</v>
      </c>
      <c r="J5" s="17" t="str">
        <f>VLOOKUP(D5,Sheet1!E:K,6,FALSE)</f>
        <v>9415690996</v>
      </c>
      <c r="K5" s="17" t="s">
        <v>15</v>
      </c>
      <c r="L5" s="37" t="s">
        <v>3645</v>
      </c>
      <c r="M5" t="s">
        <v>3656</v>
      </c>
    </row>
    <row r="6" spans="1:13">
      <c r="A6" s="29">
        <v>5</v>
      </c>
      <c r="B6" s="17" t="s">
        <v>398</v>
      </c>
      <c r="C6" s="17">
        <v>2022003287</v>
      </c>
      <c r="D6" s="17">
        <v>2201010190</v>
      </c>
      <c r="E6" s="17" t="s">
        <v>1808</v>
      </c>
      <c r="F6" s="17" t="e">
        <f>VLOOKUP(C6,'Fast Track '!B:C,2,FALSE)</f>
        <v>#N/A</v>
      </c>
      <c r="G6" s="17" t="s">
        <v>3711</v>
      </c>
      <c r="H6" s="17" t="s">
        <v>399</v>
      </c>
      <c r="I6" s="17" t="str">
        <f>VLOOKUP(C6,Sheet1!D:J,6,FALSE)</f>
        <v>2022003287.chandraveer@pt.sharda.ac.in</v>
      </c>
      <c r="J6" s="17" t="str">
        <f>VLOOKUP(D6,Sheet1!E:K,6,FALSE)</f>
        <v>9119729502</v>
      </c>
      <c r="K6" s="17" t="s">
        <v>15</v>
      </c>
      <c r="L6" s="37" t="s">
        <v>3645</v>
      </c>
      <c r="M6" t="s">
        <v>3656</v>
      </c>
    </row>
    <row r="7" spans="1:13">
      <c r="A7" s="29">
        <v>6</v>
      </c>
      <c r="B7" s="17" t="s">
        <v>300</v>
      </c>
      <c r="C7" s="17">
        <v>2022307471</v>
      </c>
      <c r="D7" s="17">
        <v>2201010763</v>
      </c>
      <c r="E7" s="17" t="s">
        <v>1808</v>
      </c>
      <c r="F7" s="17" t="e">
        <f>VLOOKUP(C7,'Fast Track '!B:C,2,FALSE)</f>
        <v>#N/A</v>
      </c>
      <c r="G7" s="17" t="s">
        <v>3712</v>
      </c>
      <c r="H7" s="17" t="s">
        <v>301</v>
      </c>
      <c r="I7" s="17" t="str">
        <f>VLOOKUP(C7,Sheet1!D:J,6,FALSE)</f>
        <v>2022307471.laxminarayan@pt.sharda.ac.in</v>
      </c>
      <c r="J7" s="17" t="str">
        <f>VLOOKUP(D7,Sheet1!E:K,6,FALSE)</f>
        <v>6394434558</v>
      </c>
      <c r="K7" s="17" t="s">
        <v>15</v>
      </c>
      <c r="L7" s="37" t="s">
        <v>3645</v>
      </c>
      <c r="M7" t="s">
        <v>3656</v>
      </c>
    </row>
    <row r="8" spans="1:13">
      <c r="A8" s="29">
        <v>7</v>
      </c>
      <c r="B8" s="17" t="s">
        <v>292</v>
      </c>
      <c r="C8" s="17">
        <v>2022006361</v>
      </c>
      <c r="D8" s="17">
        <v>2201010830</v>
      </c>
      <c r="E8" s="17" t="s">
        <v>1808</v>
      </c>
      <c r="F8" s="17" t="e">
        <f>VLOOKUP(C8,'Fast Track '!B:C,2,FALSE)</f>
        <v>#N/A</v>
      </c>
      <c r="G8" s="17" t="s">
        <v>3713</v>
      </c>
      <c r="H8" s="17" t="s">
        <v>293</v>
      </c>
      <c r="I8" s="17" t="str">
        <f>VLOOKUP(C8,Sheet1!D:J,6,FALSE)</f>
        <v>2022006361.shyamanand@pt.sharda.ac.in</v>
      </c>
      <c r="J8" s="17" t="str">
        <f>VLOOKUP(D8,Sheet1!E:K,6,FALSE)</f>
        <v>9576657850</v>
      </c>
      <c r="K8" s="17" t="s">
        <v>15</v>
      </c>
      <c r="L8" s="37" t="s">
        <v>3645</v>
      </c>
      <c r="M8" t="s">
        <v>3656</v>
      </c>
    </row>
    <row r="9" spans="1:13">
      <c r="A9" s="29">
        <v>8</v>
      </c>
      <c r="B9" s="17" t="s">
        <v>363</v>
      </c>
      <c r="C9" s="17">
        <v>2022591631</v>
      </c>
      <c r="D9" s="17">
        <v>2201010888</v>
      </c>
      <c r="E9" s="17" t="s">
        <v>1808</v>
      </c>
      <c r="F9" s="17" t="e">
        <f>VLOOKUP(C9,'Fast Track '!B:C,2,FALSE)</f>
        <v>#N/A</v>
      </c>
      <c r="G9" s="17" t="s">
        <v>3714</v>
      </c>
      <c r="H9" s="17" t="s">
        <v>364</v>
      </c>
      <c r="I9" s="17" t="str">
        <f>VLOOKUP(C9,Sheet1!D:J,6,FALSE)</f>
        <v>2022591631.ajitkumar@pt.sharda.ac.in</v>
      </c>
      <c r="J9" s="17" t="str">
        <f>VLOOKUP(D9,Sheet1!E:K,6,FALSE)</f>
        <v>7979841252</v>
      </c>
      <c r="K9" s="17" t="s">
        <v>15</v>
      </c>
      <c r="L9" s="37" t="s">
        <v>3645</v>
      </c>
      <c r="M9" t="s">
        <v>3656</v>
      </c>
    </row>
    <row r="10" spans="1:13">
      <c r="A10" s="29">
        <v>9</v>
      </c>
      <c r="B10" s="17" t="s">
        <v>454</v>
      </c>
      <c r="C10" s="17">
        <v>2022469915</v>
      </c>
      <c r="D10" s="17">
        <v>2201010008</v>
      </c>
      <c r="E10" s="17" t="s">
        <v>1808</v>
      </c>
      <c r="F10" s="17" t="e">
        <f>VLOOKUP(C10,'Fast Track '!B:C,2,FALSE)</f>
        <v>#N/A</v>
      </c>
      <c r="G10" s="17" t="s">
        <v>3715</v>
      </c>
      <c r="H10" s="17" t="s">
        <v>455</v>
      </c>
      <c r="I10" s="17" t="str">
        <f>VLOOKUP(C10,Sheet1!D:J,6,FALSE)</f>
        <v>2022469915.kailash@pt.sharda.ac.in</v>
      </c>
      <c r="J10" s="17" t="str">
        <f>VLOOKUP(D10,Sheet1!E:K,6,FALSE)</f>
        <v>8700390171</v>
      </c>
      <c r="K10" s="17" t="s">
        <v>15</v>
      </c>
      <c r="L10" s="37" t="s">
        <v>3645</v>
      </c>
      <c r="M10" t="s">
        <v>3656</v>
      </c>
    </row>
    <row r="11" spans="1:13">
      <c r="A11" s="29">
        <v>10</v>
      </c>
      <c r="B11" s="17" t="s">
        <v>446</v>
      </c>
      <c r="C11" s="17">
        <v>2022448964</v>
      </c>
      <c r="D11" s="17">
        <v>2201010080</v>
      </c>
      <c r="E11" s="17" t="s">
        <v>1808</v>
      </c>
      <c r="F11" s="17" t="e">
        <f>VLOOKUP(C11,'Fast Track '!B:C,2,FALSE)</f>
        <v>#N/A</v>
      </c>
      <c r="G11" s="17" t="s">
        <v>3716</v>
      </c>
      <c r="H11" s="17" t="s">
        <v>447</v>
      </c>
      <c r="I11" s="17" t="str">
        <f>VLOOKUP(C11,Sheet1!D:J,6,FALSE)</f>
        <v>2022448964.rakesh@pt.sharda.ac.in</v>
      </c>
      <c r="J11" s="17" t="str">
        <f>VLOOKUP(D11,Sheet1!E:K,6,FALSE)</f>
        <v>8521759941</v>
      </c>
      <c r="K11" s="17" t="s">
        <v>15</v>
      </c>
      <c r="L11" s="37" t="s">
        <v>3645</v>
      </c>
      <c r="M11" t="s">
        <v>3656</v>
      </c>
    </row>
    <row r="12" spans="1:13">
      <c r="A12" s="29">
        <v>11</v>
      </c>
      <c r="B12" s="17" t="s">
        <v>493</v>
      </c>
      <c r="C12" s="17">
        <v>2022531916</v>
      </c>
      <c r="D12" s="17">
        <v>2201010163</v>
      </c>
      <c r="E12" s="17" t="s">
        <v>1808</v>
      </c>
      <c r="F12" s="17" t="e">
        <f>VLOOKUP(C12,'Fast Track '!B:C,2,FALSE)</f>
        <v>#N/A</v>
      </c>
      <c r="G12" s="17" t="s">
        <v>3717</v>
      </c>
      <c r="H12" s="17" t="s">
        <v>494</v>
      </c>
      <c r="I12" s="17" t="str">
        <f>VLOOKUP(C12,Sheet1!D:J,6,FALSE)</f>
        <v>2022531916.anoj@pt.sharda.ac.in</v>
      </c>
      <c r="J12" s="17" t="str">
        <f>VLOOKUP(D12,Sheet1!E:K,6,FALSE)</f>
        <v>6204638315</v>
      </c>
      <c r="K12" s="17" t="s">
        <v>15</v>
      </c>
      <c r="L12" s="37" t="s">
        <v>3645</v>
      </c>
      <c r="M12" t="s">
        <v>3656</v>
      </c>
    </row>
    <row r="13" spans="1:13">
      <c r="A13" s="29">
        <v>12</v>
      </c>
      <c r="B13" s="17" t="s">
        <v>475</v>
      </c>
      <c r="C13" s="17">
        <v>2022514536</v>
      </c>
      <c r="D13" s="17">
        <v>2201010203</v>
      </c>
      <c r="E13" s="17" t="s">
        <v>1808</v>
      </c>
      <c r="F13" s="17" t="e">
        <f>VLOOKUP(C13,'Fast Track '!B:C,2,FALSE)</f>
        <v>#N/A</v>
      </c>
      <c r="G13" s="17" t="s">
        <v>3718</v>
      </c>
      <c r="H13" s="17" t="s">
        <v>476</v>
      </c>
      <c r="I13" s="17" t="str">
        <f>VLOOKUP(C13,Sheet1!D:J,6,FALSE)</f>
        <v>2022514536.brij@pt.sharda.ac.in</v>
      </c>
      <c r="J13" s="17" t="str">
        <f>VLOOKUP(D13,Sheet1!E:K,6,FALSE)</f>
        <v>9772621230</v>
      </c>
      <c r="K13" s="17" t="s">
        <v>15</v>
      </c>
      <c r="L13" s="37" t="s">
        <v>3645</v>
      </c>
      <c r="M13" t="s">
        <v>3656</v>
      </c>
    </row>
    <row r="14" spans="1:13">
      <c r="A14" s="29">
        <v>13</v>
      </c>
      <c r="B14" s="17" t="s">
        <v>452</v>
      </c>
      <c r="C14" s="17">
        <v>2022469745</v>
      </c>
      <c r="D14" s="17">
        <v>2201010306</v>
      </c>
      <c r="E14" s="17" t="s">
        <v>1808</v>
      </c>
      <c r="F14" s="17" t="e">
        <f>VLOOKUP(C14,'Fast Track '!B:C,2,FALSE)</f>
        <v>#N/A</v>
      </c>
      <c r="G14" s="17" t="s">
        <v>3719</v>
      </c>
      <c r="H14" s="17" t="s">
        <v>453</v>
      </c>
      <c r="I14" s="17" t="str">
        <f>VLOOKUP(C14,Sheet1!D:J,6,FALSE)</f>
        <v>2022469745.bharat@pt.sharda.ac.in</v>
      </c>
      <c r="J14" s="17" t="str">
        <f>VLOOKUP(D14,Sheet1!E:K,6,FALSE)</f>
        <v>7678437824</v>
      </c>
      <c r="K14" s="17" t="s">
        <v>15</v>
      </c>
      <c r="L14" s="37" t="s">
        <v>3645</v>
      </c>
      <c r="M14" t="s">
        <v>3656</v>
      </c>
    </row>
    <row r="15" spans="1:13">
      <c r="A15" s="29">
        <v>14</v>
      </c>
      <c r="B15" s="17" t="s">
        <v>404</v>
      </c>
      <c r="C15" s="17">
        <v>2022003834</v>
      </c>
      <c r="D15" s="17">
        <v>2201010418</v>
      </c>
      <c r="E15" s="17" t="s">
        <v>1808</v>
      </c>
      <c r="F15" s="17" t="e">
        <f>VLOOKUP(C15,'Fast Track '!B:C,2,FALSE)</f>
        <v>#N/A</v>
      </c>
      <c r="G15" s="17" t="s">
        <v>3720</v>
      </c>
      <c r="H15" s="17" t="s">
        <v>405</v>
      </c>
      <c r="I15" s="17" t="str">
        <f>VLOOKUP(C15,Sheet1!D:J,6,FALSE)</f>
        <v>2022003834.mohd@pt.sharda.ac.in</v>
      </c>
      <c r="J15" s="17" t="str">
        <f>VLOOKUP(D15,Sheet1!E:K,6,FALSE)</f>
        <v>7037612173</v>
      </c>
      <c r="K15" s="17" t="s">
        <v>15</v>
      </c>
      <c r="L15" s="37" t="s">
        <v>3645</v>
      </c>
      <c r="M15" t="s">
        <v>3656</v>
      </c>
    </row>
    <row r="16" spans="1:13">
      <c r="A16" s="29">
        <v>15</v>
      </c>
      <c r="B16" s="17" t="s">
        <v>487</v>
      </c>
      <c r="C16" s="17">
        <v>2022526278</v>
      </c>
      <c r="D16" s="17">
        <v>2201010651</v>
      </c>
      <c r="E16" s="17" t="s">
        <v>1808</v>
      </c>
      <c r="F16" s="17" t="e">
        <f>VLOOKUP(C16,'Fast Track '!B:C,2,FALSE)</f>
        <v>#N/A</v>
      </c>
      <c r="G16" s="17" t="s">
        <v>3721</v>
      </c>
      <c r="H16" s="17" t="s">
        <v>488</v>
      </c>
      <c r="I16" s="17" t="str">
        <f>VLOOKUP(C16,Sheet1!D:J,6,FALSE)</f>
        <v>2022526278.kuldeepraj@pt.sharda.ac.in</v>
      </c>
      <c r="J16" s="17" t="str">
        <f>VLOOKUP(D16,Sheet1!E:K,6,FALSE)</f>
        <v>9906207996</v>
      </c>
      <c r="K16" s="17" t="s">
        <v>15</v>
      </c>
      <c r="L16" s="37" t="s">
        <v>3645</v>
      </c>
      <c r="M16" t="s">
        <v>3656</v>
      </c>
    </row>
    <row r="17" spans="1:13">
      <c r="A17" s="29">
        <v>16</v>
      </c>
      <c r="B17" s="17" t="s">
        <v>515</v>
      </c>
      <c r="C17" s="17">
        <v>2022413369</v>
      </c>
      <c r="D17" s="17">
        <v>2201010732</v>
      </c>
      <c r="E17" s="17" t="s">
        <v>1808</v>
      </c>
      <c r="F17" s="17" t="e">
        <f>VLOOKUP(C17,'Fast Track '!B:C,2,FALSE)</f>
        <v>#N/A</v>
      </c>
      <c r="G17" s="17" t="s">
        <v>3722</v>
      </c>
      <c r="H17" s="17" t="s">
        <v>516</v>
      </c>
      <c r="I17" s="17" t="str">
        <f>VLOOKUP(C17,Sheet1!D:J,6,FALSE)</f>
        <v>2022413369.ranjankumar@pt.sharda.ac.in</v>
      </c>
      <c r="J17" s="17" t="str">
        <f>VLOOKUP(D17,Sheet1!E:K,6,FALSE)</f>
        <v>8252741969</v>
      </c>
      <c r="K17" s="17" t="s">
        <v>15</v>
      </c>
      <c r="L17" s="37" t="s">
        <v>3645</v>
      </c>
      <c r="M17" t="s">
        <v>3656</v>
      </c>
    </row>
    <row r="18" spans="1:13">
      <c r="A18" s="29">
        <v>17</v>
      </c>
      <c r="B18" s="17" t="s">
        <v>450</v>
      </c>
      <c r="C18" s="17">
        <v>2022457752</v>
      </c>
      <c r="D18" s="17">
        <v>2201010741</v>
      </c>
      <c r="E18" s="17" t="s">
        <v>1808</v>
      </c>
      <c r="F18" s="17" t="e">
        <f>VLOOKUP(C18,'Fast Track '!B:C,2,FALSE)</f>
        <v>#N/A</v>
      </c>
      <c r="G18" s="17" t="s">
        <v>3723</v>
      </c>
      <c r="H18" s="17" t="s">
        <v>451</v>
      </c>
      <c r="I18" s="17" t="str">
        <f>VLOOKUP(C18,Sheet1!D:J,6,FALSE)</f>
        <v>2022457752.sanjeev@pt.sharda.ac.in</v>
      </c>
      <c r="J18" s="17" t="str">
        <f>VLOOKUP(D18,Sheet1!E:K,6,FALSE)</f>
        <v>8532959985</v>
      </c>
      <c r="K18" s="17" t="s">
        <v>15</v>
      </c>
      <c r="L18" s="37" t="s">
        <v>3645</v>
      </c>
      <c r="M18" t="s">
        <v>3656</v>
      </c>
    </row>
    <row r="19" spans="1:13">
      <c r="A19" s="29">
        <v>18</v>
      </c>
      <c r="B19" s="17" t="s">
        <v>495</v>
      </c>
      <c r="C19" s="17">
        <v>2022536274</v>
      </c>
      <c r="D19" s="17">
        <v>2201010878</v>
      </c>
      <c r="E19" s="17" t="s">
        <v>1808</v>
      </c>
      <c r="F19" s="17" t="e">
        <f>VLOOKUP(C19,'Fast Track '!B:C,2,FALSE)</f>
        <v>#N/A</v>
      </c>
      <c r="G19" s="17" t="s">
        <v>3724</v>
      </c>
      <c r="H19" s="17" t="s">
        <v>496</v>
      </c>
      <c r="I19" s="17" t="str">
        <f>VLOOKUP(C19,Sheet1!D:J,6,FALSE)</f>
        <v>2022536274.ajay@pt.sharda.ac.in</v>
      </c>
      <c r="J19" s="17" t="str">
        <f>VLOOKUP(D19,Sheet1!E:K,6,FALSE)</f>
        <v>7065509551</v>
      </c>
      <c r="K19" s="17" t="s">
        <v>15</v>
      </c>
      <c r="L19" s="37" t="s">
        <v>3645</v>
      </c>
      <c r="M19" t="s">
        <v>3656</v>
      </c>
    </row>
    <row r="20" spans="1:13">
      <c r="A20" s="29">
        <v>19</v>
      </c>
      <c r="B20" s="17" t="s">
        <v>520</v>
      </c>
      <c r="C20" s="17">
        <v>2021369177</v>
      </c>
      <c r="D20" s="17">
        <v>210101120</v>
      </c>
      <c r="E20" s="17" t="s">
        <v>1808</v>
      </c>
      <c r="F20" s="17" t="e">
        <f>VLOOKUP(C20,'Fast Track '!B:C,2,FALSE)</f>
        <v>#N/A</v>
      </c>
      <c r="G20" s="17" t="s">
        <v>3725</v>
      </c>
      <c r="H20" s="17" t="s">
        <v>521</v>
      </c>
      <c r="I20" s="17" t="str">
        <f>VLOOKUP(C20,Sheet1!D:J,6,FALSE)</f>
        <v>2021369177.shailendrapratap@pt.sharda.ac.in</v>
      </c>
      <c r="J20" s="17" t="str">
        <f>VLOOKUP(D20,Sheet1!E:K,6,FALSE)</f>
        <v>7599538528</v>
      </c>
      <c r="K20" s="17" t="s">
        <v>15</v>
      </c>
      <c r="L20" s="37" t="s">
        <v>3645</v>
      </c>
      <c r="M20" t="s">
        <v>3656</v>
      </c>
    </row>
    <row r="21" spans="1:13">
      <c r="A21" s="29">
        <v>20</v>
      </c>
      <c r="B21" s="17" t="s">
        <v>522</v>
      </c>
      <c r="C21" s="17">
        <v>2021375907</v>
      </c>
      <c r="D21" s="17">
        <v>210101149</v>
      </c>
      <c r="E21" s="17" t="s">
        <v>1808</v>
      </c>
      <c r="F21" s="17" t="e">
        <f>VLOOKUP(C21,'Fast Track '!B:C,2,FALSE)</f>
        <v>#N/A</v>
      </c>
      <c r="G21" s="17" t="s">
        <v>3726</v>
      </c>
      <c r="H21" s="17" t="s">
        <v>523</v>
      </c>
      <c r="I21" s="17" t="str">
        <f>VLOOKUP(C21,Sheet1!D:J,6,FALSE)</f>
        <v>2021375907.prashantkumar@pt.sharda.ac.in</v>
      </c>
      <c r="J21" s="17" t="str">
        <f>VLOOKUP(D21,Sheet1!E:K,6,FALSE)</f>
        <v>9122439887</v>
      </c>
      <c r="K21" s="17" t="s">
        <v>15</v>
      </c>
      <c r="L21" s="37" t="s">
        <v>3645</v>
      </c>
      <c r="M21" t="s">
        <v>3656</v>
      </c>
    </row>
    <row r="22" spans="1:13">
      <c r="A22" s="29">
        <v>21</v>
      </c>
      <c r="B22" s="17" t="s">
        <v>543</v>
      </c>
      <c r="C22" s="17">
        <v>2022004546</v>
      </c>
      <c r="D22" s="17">
        <v>2201010038</v>
      </c>
      <c r="E22" s="17" t="s">
        <v>1808</v>
      </c>
      <c r="F22" s="17" t="e">
        <f>VLOOKUP(C22,'Fast Track '!B:C,2,FALSE)</f>
        <v>#N/A</v>
      </c>
      <c r="G22" s="17" t="s">
        <v>3727</v>
      </c>
      <c r="H22" s="17" t="s">
        <v>544</v>
      </c>
      <c r="I22" s="17" t="str">
        <f>VLOOKUP(C22,Sheet1!D:J,6,FALSE)</f>
        <v>2022004546.premkishore@pt.sharda.ac.in</v>
      </c>
      <c r="J22" s="17" t="str">
        <f>VLOOKUP(D22,Sheet1!E:K,6,FALSE)</f>
        <v>9868040160</v>
      </c>
      <c r="K22" s="17" t="s">
        <v>15</v>
      </c>
      <c r="L22" s="37" t="s">
        <v>3645</v>
      </c>
      <c r="M22" t="s">
        <v>3656</v>
      </c>
    </row>
    <row r="23" spans="1:13">
      <c r="A23" s="29">
        <v>22</v>
      </c>
      <c r="B23" s="17" t="s">
        <v>622</v>
      </c>
      <c r="C23" s="17">
        <v>2022535859</v>
      </c>
      <c r="D23" s="17">
        <v>2201010043</v>
      </c>
      <c r="E23" s="17" t="s">
        <v>1808</v>
      </c>
      <c r="F23" s="17" t="e">
        <f>VLOOKUP(C23,'Fast Track '!B:C,2,FALSE)</f>
        <v>#N/A</v>
      </c>
      <c r="G23" s="17" t="s">
        <v>3728</v>
      </c>
      <c r="H23" s="17" t="s">
        <v>623</v>
      </c>
      <c r="I23" s="17" t="str">
        <f>VLOOKUP(C23,Sheet1!D:J,6,FALSE)</f>
        <v>2022535859.manojkumar@pt.sharda.ac.in</v>
      </c>
      <c r="J23" s="17" t="str">
        <f>VLOOKUP(D23,Sheet1!E:K,6,FALSE)</f>
        <v>9708761089</v>
      </c>
      <c r="K23" s="17" t="s">
        <v>15</v>
      </c>
      <c r="L23" s="37" t="s">
        <v>3645</v>
      </c>
      <c r="M23" t="s">
        <v>3656</v>
      </c>
    </row>
    <row r="24" spans="1:13">
      <c r="A24" s="29">
        <v>23</v>
      </c>
      <c r="B24" s="17" t="s">
        <v>219</v>
      </c>
      <c r="C24" s="17">
        <v>2022536473</v>
      </c>
      <c r="D24" s="17">
        <v>2201010049</v>
      </c>
      <c r="E24" s="17" t="s">
        <v>1808</v>
      </c>
      <c r="F24" s="17" t="e">
        <f>VLOOKUP(C24,'Fast Track '!B:C,2,FALSE)</f>
        <v>#N/A</v>
      </c>
      <c r="G24" s="17" t="s">
        <v>3729</v>
      </c>
      <c r="H24" s="17" t="s">
        <v>624</v>
      </c>
      <c r="I24" s="17" t="str">
        <f>VLOOKUP(C24,Sheet1!D:J,6,FALSE)</f>
        <v>2022536473.vijaykumar@pt.sharda.ac.in</v>
      </c>
      <c r="J24" s="17" t="str">
        <f>VLOOKUP(D24,Sheet1!E:K,6,FALSE)</f>
        <v>8349621902</v>
      </c>
      <c r="K24" s="17" t="s">
        <v>15</v>
      </c>
      <c r="L24" s="37" t="s">
        <v>3645</v>
      </c>
      <c r="M24" t="s">
        <v>3656</v>
      </c>
    </row>
    <row r="25" spans="1:13">
      <c r="A25" s="29">
        <v>24</v>
      </c>
      <c r="B25" s="17" t="s">
        <v>535</v>
      </c>
      <c r="C25" s="17">
        <v>2022001884</v>
      </c>
      <c r="D25" s="17">
        <v>2201010055</v>
      </c>
      <c r="E25" s="17" t="s">
        <v>1808</v>
      </c>
      <c r="F25" s="17" t="e">
        <f>VLOOKUP(C25,'Fast Track '!B:C,2,FALSE)</f>
        <v>#N/A</v>
      </c>
      <c r="G25" s="17" t="s">
        <v>3730</v>
      </c>
      <c r="H25" s="17" t="s">
        <v>536</v>
      </c>
      <c r="I25" s="17" t="str">
        <f>VLOOKUP(C25,Sheet1!D:J,6,FALSE)</f>
        <v>2022001884.chandraprakash@pt.sharda.ac.in</v>
      </c>
      <c r="J25" s="17" t="str">
        <f>VLOOKUP(D25,Sheet1!E:K,6,FALSE)</f>
        <v>8394910079</v>
      </c>
      <c r="K25" s="17" t="s">
        <v>15</v>
      </c>
      <c r="L25" s="37" t="s">
        <v>3645</v>
      </c>
      <c r="M25" t="s">
        <v>3656</v>
      </c>
    </row>
    <row r="26" spans="1:13">
      <c r="A26" s="29">
        <v>25</v>
      </c>
      <c r="B26" s="17" t="s">
        <v>561</v>
      </c>
      <c r="C26" s="17">
        <v>2022334212</v>
      </c>
      <c r="D26" s="17">
        <v>2201010157</v>
      </c>
      <c r="E26" s="17" t="s">
        <v>1808</v>
      </c>
      <c r="F26" s="17" t="e">
        <f>VLOOKUP(C26,'Fast Track '!B:C,2,FALSE)</f>
        <v>#N/A</v>
      </c>
      <c r="G26" s="17" t="s">
        <v>3731</v>
      </c>
      <c r="H26" s="17" t="s">
        <v>562</v>
      </c>
      <c r="I26" s="17" t="str">
        <f>VLOOKUP(C26,Sheet1!D:J,6,FALSE)</f>
        <v>2022334212.munish@pt.sharda.ac.in</v>
      </c>
      <c r="J26" s="17" t="str">
        <f>VLOOKUP(D26,Sheet1!E:K,6,FALSE)</f>
        <v>7982794898</v>
      </c>
      <c r="K26" s="17" t="s">
        <v>15</v>
      </c>
      <c r="L26" s="37" t="s">
        <v>3645</v>
      </c>
      <c r="M26" t="s">
        <v>3656</v>
      </c>
    </row>
    <row r="27" spans="1:13">
      <c r="A27" s="29">
        <v>26</v>
      </c>
      <c r="B27" s="17" t="s">
        <v>537</v>
      </c>
      <c r="C27" s="17">
        <v>2022002383</v>
      </c>
      <c r="D27" s="17">
        <v>2201010292</v>
      </c>
      <c r="E27" s="17" t="s">
        <v>1808</v>
      </c>
      <c r="F27" s="17" t="e">
        <f>VLOOKUP(C27,'Fast Track '!B:C,2,FALSE)</f>
        <v>#N/A</v>
      </c>
      <c r="G27" s="17" t="s">
        <v>3732</v>
      </c>
      <c r="H27" s="17" t="s">
        <v>538</v>
      </c>
      <c r="I27" s="17" t="str">
        <f>VLOOKUP(C27,Sheet1!D:J,6,FALSE)</f>
        <v>2022002383.vikendra@pt.sharda.ac.in</v>
      </c>
      <c r="J27" s="17" t="str">
        <f>VLOOKUP(D27,Sheet1!E:K,6,FALSE)</f>
        <v>9319854930</v>
      </c>
      <c r="K27" s="17" t="s">
        <v>15</v>
      </c>
      <c r="L27" s="37" t="s">
        <v>3645</v>
      </c>
      <c r="M27" t="s">
        <v>3656</v>
      </c>
    </row>
    <row r="28" spans="1:13">
      <c r="A28" s="29">
        <v>27</v>
      </c>
      <c r="B28" s="17" t="s">
        <v>812</v>
      </c>
      <c r="C28" s="17">
        <v>2022004755</v>
      </c>
      <c r="D28" s="17">
        <v>2201010332</v>
      </c>
      <c r="E28" s="17" t="s">
        <v>1808</v>
      </c>
      <c r="F28" s="17" t="e">
        <f>VLOOKUP(C28,'Fast Track '!B:C,2,FALSE)</f>
        <v>#N/A</v>
      </c>
      <c r="G28" s="17" t="s">
        <v>3733</v>
      </c>
      <c r="H28" s="17" t="s">
        <v>813</v>
      </c>
      <c r="I28" s="17" t="str">
        <f>VLOOKUP(C28,Sheet1!D:J,6,FALSE)</f>
        <v>2022004755.ajeet@pt.sharda.ac.in</v>
      </c>
      <c r="J28" s="17" t="str">
        <f>VLOOKUP(D28,Sheet1!E:K,6,FALSE)</f>
        <v>9911616569</v>
      </c>
      <c r="K28" s="17" t="s">
        <v>15</v>
      </c>
      <c r="L28" s="37" t="s">
        <v>3645</v>
      </c>
      <c r="M28" t="s">
        <v>3656</v>
      </c>
    </row>
    <row r="29" spans="1:13">
      <c r="A29" s="29">
        <v>28</v>
      </c>
      <c r="B29" s="17" t="s">
        <v>600</v>
      </c>
      <c r="C29" s="17">
        <v>2022507069</v>
      </c>
      <c r="D29" s="17">
        <v>2201010337</v>
      </c>
      <c r="E29" s="17" t="s">
        <v>1808</v>
      </c>
      <c r="F29" s="17" t="e">
        <f>VLOOKUP(C29,'Fast Track '!B:C,2,FALSE)</f>
        <v>#N/A</v>
      </c>
      <c r="G29" s="17" t="s">
        <v>3734</v>
      </c>
      <c r="H29" s="17" t="s">
        <v>601</v>
      </c>
      <c r="I29" s="17" t="str">
        <f>VLOOKUP(C29,Sheet1!D:J,6,FALSE)</f>
        <v>2022507069.dinesh@pt.sharda.ac.in</v>
      </c>
      <c r="J29" s="17" t="str">
        <f>VLOOKUP(D29,Sheet1!E:K,6,FALSE)</f>
        <v>8757335109</v>
      </c>
      <c r="K29" s="17" t="s">
        <v>15</v>
      </c>
      <c r="L29" s="37" t="s">
        <v>3645</v>
      </c>
      <c r="M29" t="s">
        <v>3656</v>
      </c>
    </row>
    <row r="30" spans="1:13">
      <c r="A30" s="29">
        <v>29</v>
      </c>
      <c r="B30" s="17" t="s">
        <v>639</v>
      </c>
      <c r="C30" s="17">
        <v>2022829153</v>
      </c>
      <c r="D30" s="17">
        <v>2201010397</v>
      </c>
      <c r="E30" s="17" t="s">
        <v>1808</v>
      </c>
      <c r="F30" s="17" t="e">
        <f>VLOOKUP(C30,'Fast Track '!B:C,2,FALSE)</f>
        <v>#N/A</v>
      </c>
      <c r="G30" s="17" t="s">
        <v>3735</v>
      </c>
      <c r="H30" s="17" t="s">
        <v>640</v>
      </c>
      <c r="I30" s="17" t="str">
        <f>VLOOKUP(C30,Sheet1!D:J,6,FALSE)</f>
        <v>2022829153.saiyadmahamud@pt.sharda.ac.in</v>
      </c>
      <c r="J30" s="17" t="str">
        <f>VLOOKUP(D30,Sheet1!E:K,6,FALSE)</f>
        <v>91 7050193458</v>
      </c>
      <c r="K30" s="17" t="s">
        <v>15</v>
      </c>
      <c r="L30" s="37" t="s">
        <v>3645</v>
      </c>
      <c r="M30" t="s">
        <v>3656</v>
      </c>
    </row>
    <row r="31" spans="1:13">
      <c r="A31" s="29">
        <v>30</v>
      </c>
      <c r="B31" s="17" t="s">
        <v>596</v>
      </c>
      <c r="C31" s="17">
        <v>2022506240</v>
      </c>
      <c r="D31" s="17">
        <v>2201010509</v>
      </c>
      <c r="E31" s="17" t="s">
        <v>1808</v>
      </c>
      <c r="F31" s="17" t="e">
        <f>VLOOKUP(C31,'Fast Track '!B:C,2,FALSE)</f>
        <v>#N/A</v>
      </c>
      <c r="G31" s="17" t="s">
        <v>3736</v>
      </c>
      <c r="H31" s="17" t="s">
        <v>597</v>
      </c>
      <c r="I31" s="17" t="str">
        <f>VLOOKUP(C31,Sheet1!D:J,6,FALSE)</f>
        <v>2022506240.kuberchand@pt.sharda.ac.in</v>
      </c>
      <c r="J31" s="17" t="str">
        <f>VLOOKUP(D31,Sheet1!E:K,6,FALSE)</f>
        <v>9999226854</v>
      </c>
      <c r="K31" s="17" t="s">
        <v>15</v>
      </c>
      <c r="L31" s="37" t="s">
        <v>3645</v>
      </c>
      <c r="M31" t="s">
        <v>3656</v>
      </c>
    </row>
    <row r="32" spans="1:13">
      <c r="A32" s="29">
        <v>31</v>
      </c>
      <c r="B32" s="17" t="s">
        <v>588</v>
      </c>
      <c r="C32" s="17">
        <v>2022490152</v>
      </c>
      <c r="D32" s="17">
        <v>2201010517</v>
      </c>
      <c r="E32" s="17" t="s">
        <v>1808</v>
      </c>
      <c r="F32" s="17" t="e">
        <f>VLOOKUP(C32,'Fast Track '!B:C,2,FALSE)</f>
        <v>#N/A</v>
      </c>
      <c r="G32" s="17" t="s">
        <v>3737</v>
      </c>
      <c r="H32" s="17" t="s">
        <v>589</v>
      </c>
      <c r="I32" s="17" t="str">
        <f>VLOOKUP(C32,Sheet1!D:J,6,FALSE)</f>
        <v>2022490152.pardeep@pt.sharda.ac.in</v>
      </c>
      <c r="J32" s="17" t="str">
        <f>VLOOKUP(D32,Sheet1!E:K,6,FALSE)</f>
        <v>8222010280</v>
      </c>
      <c r="K32" s="17" t="s">
        <v>15</v>
      </c>
      <c r="L32" s="39" t="s">
        <v>3645</v>
      </c>
      <c r="M32" t="s">
        <v>3656</v>
      </c>
    </row>
    <row r="33" spans="1:13">
      <c r="A33" s="29">
        <v>32</v>
      </c>
      <c r="B33" s="17" t="s">
        <v>573</v>
      </c>
      <c r="C33" s="17">
        <v>2022427336</v>
      </c>
      <c r="D33" s="17">
        <v>2201010611</v>
      </c>
      <c r="E33" s="17" t="s">
        <v>1808</v>
      </c>
      <c r="F33" s="17" t="e">
        <f>VLOOKUP(C33,'Fast Track '!B:C,2,FALSE)</f>
        <v>#N/A</v>
      </c>
      <c r="G33" s="17" t="s">
        <v>3738</v>
      </c>
      <c r="H33" s="17" t="s">
        <v>574</v>
      </c>
      <c r="I33" s="17" t="str">
        <f>VLOOKUP(C33,Sheet1!D:J,6,FALSE)</f>
        <v>2022427336.sunildutt@pt.sharda.ac.in</v>
      </c>
      <c r="J33" s="17" t="str">
        <f>VLOOKUP(D33,Sheet1!E:K,6,FALSE)</f>
        <v>9315253842</v>
      </c>
      <c r="K33" s="17" t="s">
        <v>15</v>
      </c>
      <c r="L33" s="37" t="s">
        <v>3644</v>
      </c>
      <c r="M33" t="s">
        <v>3657</v>
      </c>
    </row>
    <row r="34" spans="1:13">
      <c r="A34" s="29">
        <v>33</v>
      </c>
      <c r="B34" s="17" t="s">
        <v>616</v>
      </c>
      <c r="C34" s="17">
        <v>2022523724</v>
      </c>
      <c r="D34" s="17">
        <v>2201010632</v>
      </c>
      <c r="E34" s="17" t="s">
        <v>1808</v>
      </c>
      <c r="F34" s="17" t="e">
        <f>VLOOKUP(C34,'Fast Track '!B:C,2,FALSE)</f>
        <v>#N/A</v>
      </c>
      <c r="G34" s="17" t="s">
        <v>3739</v>
      </c>
      <c r="H34" s="17" t="s">
        <v>617</v>
      </c>
      <c r="I34" s="17" t="str">
        <f>VLOOKUP(C34,Sheet1!D:J,6,FALSE)</f>
        <v>2022523724.mohd@pt.sharda.ac.in</v>
      </c>
      <c r="J34" s="17" t="str">
        <f>VLOOKUP(D34,Sheet1!E:K,6,FALSE)</f>
        <v>8800970493</v>
      </c>
      <c r="K34" s="17" t="s">
        <v>15</v>
      </c>
      <c r="L34" s="37" t="s">
        <v>3644</v>
      </c>
      <c r="M34" t="s">
        <v>3657</v>
      </c>
    </row>
    <row r="35" spans="1:13">
      <c r="A35" s="29">
        <v>34</v>
      </c>
      <c r="B35" s="17" t="s">
        <v>565</v>
      </c>
      <c r="C35" s="17">
        <v>2022363290</v>
      </c>
      <c r="D35" s="17">
        <v>2201010711</v>
      </c>
      <c r="E35" s="17" t="s">
        <v>1808</v>
      </c>
      <c r="F35" s="17" t="e">
        <f>VLOOKUP(C35,'Fast Track '!B:C,2,FALSE)</f>
        <v>#N/A</v>
      </c>
      <c r="G35" s="17" t="s">
        <v>3740</v>
      </c>
      <c r="H35" s="17" t="s">
        <v>566</v>
      </c>
      <c r="I35" s="17" t="str">
        <f>VLOOKUP(C35,Sheet1!D:J,6,FALSE)</f>
        <v>2022363290.jyotiprakash@pt.sharda.ac.in</v>
      </c>
      <c r="J35" s="17" t="str">
        <f>VLOOKUP(D35,Sheet1!E:K,6,FALSE)</f>
        <v>7643814053</v>
      </c>
      <c r="K35" s="17" t="s">
        <v>15</v>
      </c>
      <c r="L35" s="37" t="s">
        <v>3644</v>
      </c>
      <c r="M35" t="s">
        <v>3657</v>
      </c>
    </row>
    <row r="36" spans="1:13">
      <c r="A36" s="29">
        <v>35</v>
      </c>
      <c r="B36" s="17" t="s">
        <v>590</v>
      </c>
      <c r="C36" s="17">
        <v>2022498440</v>
      </c>
      <c r="D36" s="17">
        <v>2201010721</v>
      </c>
      <c r="E36" s="17" t="s">
        <v>1808</v>
      </c>
      <c r="F36" s="17" t="e">
        <f>VLOOKUP(C36,'Fast Track '!B:C,2,FALSE)</f>
        <v>#N/A</v>
      </c>
      <c r="G36" s="17" t="s">
        <v>3741</v>
      </c>
      <c r="H36" s="17" t="s">
        <v>591</v>
      </c>
      <c r="I36" s="17" t="str">
        <f>VLOOKUP(C36,Sheet1!D:J,6,FALSE)</f>
        <v>2022498440.rajkumar@pt.sharda.ac.in</v>
      </c>
      <c r="J36" s="17" t="str">
        <f>VLOOKUP(D36,Sheet1!E:K,6,FALSE)</f>
        <v>8354944670</v>
      </c>
      <c r="K36" s="17" t="s">
        <v>15</v>
      </c>
      <c r="L36" s="37" t="s">
        <v>3644</v>
      </c>
      <c r="M36" t="s">
        <v>3657</v>
      </c>
    </row>
    <row r="37" spans="1:13">
      <c r="A37" s="29">
        <v>36</v>
      </c>
      <c r="B37" s="17" t="s">
        <v>553</v>
      </c>
      <c r="C37" s="17">
        <v>2022007195</v>
      </c>
      <c r="D37" s="17">
        <v>2201010837</v>
      </c>
      <c r="E37" s="17" t="s">
        <v>1808</v>
      </c>
      <c r="F37" s="17" t="e">
        <f>VLOOKUP(C37,'Fast Track '!B:C,2,FALSE)</f>
        <v>#N/A</v>
      </c>
      <c r="G37" s="17" t="s">
        <v>3742</v>
      </c>
      <c r="H37" s="17" t="s">
        <v>554</v>
      </c>
      <c r="I37" s="17" t="str">
        <f>VLOOKUP(C37,Sheet1!D:J,6,FALSE)</f>
        <v>2022007195.satyapalsingh@pt.sharda.ac.in</v>
      </c>
      <c r="J37" s="17" t="str">
        <f>VLOOKUP(D37,Sheet1!E:K,6,FALSE)</f>
        <v>7456007669</v>
      </c>
      <c r="K37" s="17" t="s">
        <v>15</v>
      </c>
      <c r="L37" s="37" t="s">
        <v>3644</v>
      </c>
      <c r="M37" t="s">
        <v>3657</v>
      </c>
    </row>
    <row r="38" spans="1:13">
      <c r="A38" s="29">
        <v>37</v>
      </c>
      <c r="B38" s="17" t="s">
        <v>526</v>
      </c>
      <c r="C38" s="17">
        <v>2022536169</v>
      </c>
      <c r="D38" s="17">
        <v>2201010877</v>
      </c>
      <c r="E38" s="17" t="s">
        <v>1808</v>
      </c>
      <c r="F38" s="17" t="e">
        <f>VLOOKUP(C38,'Fast Track '!B:C,2,FALSE)</f>
        <v>#N/A</v>
      </c>
      <c r="G38" s="17" t="s">
        <v>3743</v>
      </c>
      <c r="H38" s="17" t="s">
        <v>527</v>
      </c>
      <c r="I38" s="17" t="str">
        <f>VLOOKUP(C38,Sheet1!D:J,6,FALSE)</f>
        <v>2022536169.pankaj@pt.sharda.ac.in</v>
      </c>
      <c r="J38" s="17" t="str">
        <f>VLOOKUP(D38,Sheet1!E:K,6,FALSE)</f>
        <v>8868830646</v>
      </c>
      <c r="K38" s="17" t="s">
        <v>15</v>
      </c>
      <c r="L38" s="37" t="s">
        <v>3644</v>
      </c>
      <c r="M38" t="s">
        <v>3657</v>
      </c>
    </row>
    <row r="39" spans="1:13">
      <c r="A39" s="29">
        <v>38</v>
      </c>
      <c r="B39" s="17" t="s">
        <v>633</v>
      </c>
      <c r="C39" s="17">
        <v>2022573413</v>
      </c>
      <c r="D39" s="17">
        <v>2201010884</v>
      </c>
      <c r="E39" s="17" t="s">
        <v>1808</v>
      </c>
      <c r="F39" s="17" t="e">
        <f>VLOOKUP(C39,'Fast Track '!B:C,2,FALSE)</f>
        <v>#N/A</v>
      </c>
      <c r="G39" s="17" t="s">
        <v>3744</v>
      </c>
      <c r="H39" s="17" t="s">
        <v>634</v>
      </c>
      <c r="I39" s="17" t="str">
        <f>VLOOKUP(C39,Sheet1!D:J,6,FALSE)</f>
        <v>2022573413.balaram@pt.sharda.ac.in</v>
      </c>
      <c r="J39" s="17" t="str">
        <f>VLOOKUP(D39,Sheet1!E:K,6,FALSE)</f>
        <v>9748781285</v>
      </c>
      <c r="K39" s="17" t="s">
        <v>15</v>
      </c>
      <c r="L39" s="37" t="s">
        <v>3644</v>
      </c>
      <c r="M39" t="s">
        <v>3657</v>
      </c>
    </row>
    <row r="40" spans="1:13">
      <c r="A40" s="29">
        <v>39</v>
      </c>
      <c r="B40" s="17" t="s">
        <v>654</v>
      </c>
      <c r="C40" s="17">
        <v>2022000245</v>
      </c>
      <c r="D40" s="17">
        <v>2201010098</v>
      </c>
      <c r="E40" s="17" t="s">
        <v>1808</v>
      </c>
      <c r="F40" s="17" t="e">
        <f>VLOOKUP(C40,'Fast Track '!B:C,2,FALSE)</f>
        <v>#N/A</v>
      </c>
      <c r="G40" s="17" t="s">
        <v>3745</v>
      </c>
      <c r="H40" s="17" t="s">
        <v>655</v>
      </c>
      <c r="I40" s="17" t="str">
        <f>VLOOKUP(C40,Sheet1!D:J,6,FALSE)</f>
        <v>2022000245.jailal@pt.sharda.ac.in</v>
      </c>
      <c r="J40" s="17" t="str">
        <f>VLOOKUP(D40,Sheet1!E:K,6,FALSE)</f>
        <v>7667491662</v>
      </c>
      <c r="K40" s="17" t="s">
        <v>15</v>
      </c>
      <c r="L40" s="37" t="s">
        <v>3644</v>
      </c>
      <c r="M40" t="s">
        <v>3657</v>
      </c>
    </row>
    <row r="41" spans="1:13">
      <c r="A41" s="29">
        <v>40</v>
      </c>
      <c r="B41" s="17" t="s">
        <v>734</v>
      </c>
      <c r="C41" s="17">
        <v>2022577356</v>
      </c>
      <c r="D41" s="17">
        <v>2201010103</v>
      </c>
      <c r="E41" s="17" t="s">
        <v>1808</v>
      </c>
      <c r="F41" s="17" t="e">
        <f>VLOOKUP(C41,'Fast Track '!B:C,2,FALSE)</f>
        <v>#N/A</v>
      </c>
      <c r="G41" s="17" t="s">
        <v>3746</v>
      </c>
      <c r="H41" s="17" t="s">
        <v>735</v>
      </c>
      <c r="I41" s="17" t="str">
        <f>VLOOKUP(C41,Sheet1!D:J,6,FALSE)</f>
        <v>2022577356.rahul@pt.sharda.ac.in</v>
      </c>
      <c r="J41" s="17" t="str">
        <f>VLOOKUP(D41,Sheet1!E:K,6,FALSE)</f>
        <v>9905227087</v>
      </c>
      <c r="K41" s="17" t="s">
        <v>15</v>
      </c>
      <c r="L41" s="37" t="s">
        <v>3644</v>
      </c>
      <c r="M41" t="s">
        <v>3657</v>
      </c>
    </row>
    <row r="42" spans="1:13">
      <c r="A42" s="29">
        <v>41</v>
      </c>
      <c r="B42" s="17" t="s">
        <v>743</v>
      </c>
      <c r="C42" s="17">
        <v>2022820872</v>
      </c>
      <c r="D42" s="17">
        <v>2201010182</v>
      </c>
      <c r="E42" s="17" t="s">
        <v>1808</v>
      </c>
      <c r="F42" s="17" t="e">
        <f>VLOOKUP(C42,'Fast Track '!B:C,2,FALSE)</f>
        <v>#N/A</v>
      </c>
      <c r="G42" s="17" t="s">
        <v>3747</v>
      </c>
      <c r="H42" s="17" t="s">
        <v>744</v>
      </c>
      <c r="I42" s="17" t="str">
        <f>VLOOKUP(C42,Sheet1!D:J,6,FALSE)</f>
        <v>2022820872.manojanand@pt.sharda.ac.in</v>
      </c>
      <c r="J42" s="17" t="str">
        <f>VLOOKUP(D42,Sheet1!E:K,6,FALSE)</f>
        <v>91 7011964628</v>
      </c>
      <c r="K42" s="17" t="s">
        <v>15</v>
      </c>
      <c r="L42" s="37" t="s">
        <v>3644</v>
      </c>
      <c r="M42" t="s">
        <v>3657</v>
      </c>
    </row>
    <row r="43" spans="1:13">
      <c r="A43" s="29">
        <v>42</v>
      </c>
      <c r="B43" s="17" t="s">
        <v>689</v>
      </c>
      <c r="C43" s="17">
        <v>2022007055</v>
      </c>
      <c r="D43" s="17">
        <v>2201010187</v>
      </c>
      <c r="E43" s="17" t="s">
        <v>1808</v>
      </c>
      <c r="F43" s="17" t="e">
        <f>VLOOKUP(C43,'Fast Track '!B:C,2,FALSE)</f>
        <v>#N/A</v>
      </c>
      <c r="G43" s="17" t="s">
        <v>3748</v>
      </c>
      <c r="H43" s="17" t="s">
        <v>690</v>
      </c>
      <c r="I43" s="17" t="str">
        <f>VLOOKUP(C43,Sheet1!D:J,6,FALSE)</f>
        <v>2022007055.ramankishor@pt.sharda.ac.in</v>
      </c>
      <c r="J43" s="17" t="str">
        <f>VLOOKUP(D43,Sheet1!E:K,6,FALSE)</f>
        <v>9525902309</v>
      </c>
      <c r="K43" s="17" t="s">
        <v>15</v>
      </c>
      <c r="L43" s="37" t="s">
        <v>3644</v>
      </c>
      <c r="M43" t="s">
        <v>3657</v>
      </c>
    </row>
    <row r="44" spans="1:13">
      <c r="A44" s="29">
        <v>43</v>
      </c>
      <c r="B44" s="17" t="s">
        <v>693</v>
      </c>
      <c r="C44" s="17">
        <v>2022007141</v>
      </c>
      <c r="D44" s="17">
        <v>2201010196</v>
      </c>
      <c r="E44" s="17" t="s">
        <v>1808</v>
      </c>
      <c r="F44" s="17" t="e">
        <f>VLOOKUP(C44,'Fast Track '!B:C,2,FALSE)</f>
        <v>#N/A</v>
      </c>
      <c r="G44" s="17" t="s">
        <v>3749</v>
      </c>
      <c r="H44" s="17" t="s">
        <v>694</v>
      </c>
      <c r="I44" s="17" t="str">
        <f>VLOOKUP(C44,Sheet1!D:J,6,FALSE)</f>
        <v>2022007141.sanjay@pt.sharda.ac.in</v>
      </c>
      <c r="J44" s="17" t="str">
        <f>VLOOKUP(D44,Sheet1!E:K,6,FALSE)</f>
        <v>7417242229</v>
      </c>
      <c r="K44" s="17" t="s">
        <v>15</v>
      </c>
      <c r="L44" s="37" t="s">
        <v>3644</v>
      </c>
      <c r="M44" t="s">
        <v>3657</v>
      </c>
    </row>
    <row r="45" spans="1:13">
      <c r="A45" s="29">
        <v>44</v>
      </c>
      <c r="B45" s="17" t="s">
        <v>749</v>
      </c>
      <c r="C45" s="17">
        <v>2022833385</v>
      </c>
      <c r="D45" s="17">
        <v>2201010199</v>
      </c>
      <c r="E45" s="17" t="s">
        <v>1808</v>
      </c>
      <c r="F45" s="17" t="e">
        <f>VLOOKUP(C45,'Fast Track '!B:C,2,FALSE)</f>
        <v>#N/A</v>
      </c>
      <c r="G45" s="17" t="s">
        <v>3750</v>
      </c>
      <c r="H45" s="17" t="s">
        <v>750</v>
      </c>
      <c r="I45" s="17" t="str">
        <f>VLOOKUP(C45,Sheet1!D:J,6,FALSE)</f>
        <v>2022833385.thabang@pt.sharda.ac.in</v>
      </c>
      <c r="J45" s="17" t="str">
        <f>VLOOKUP(D45,Sheet1!E:K,6,FALSE)</f>
        <v>58870955</v>
      </c>
      <c r="K45" s="17" t="s">
        <v>15</v>
      </c>
      <c r="L45" s="37" t="s">
        <v>3644</v>
      </c>
      <c r="M45" t="s">
        <v>3657</v>
      </c>
    </row>
    <row r="46" spans="1:13">
      <c r="A46" s="29">
        <v>45</v>
      </c>
      <c r="B46" s="17" t="s">
        <v>741</v>
      </c>
      <c r="C46" s="17">
        <v>2022816874</v>
      </c>
      <c r="D46" s="17">
        <v>2201010252</v>
      </c>
      <c r="E46" s="17" t="s">
        <v>1808</v>
      </c>
      <c r="F46" s="17" t="e">
        <f>VLOOKUP(C46,'Fast Track '!B:C,2,FALSE)</f>
        <v>#N/A</v>
      </c>
      <c r="G46" s="17" t="s">
        <v>3751</v>
      </c>
      <c r="H46" s="17" t="s">
        <v>742</v>
      </c>
      <c r="I46" s="17" t="str">
        <f>VLOOKUP(C46,Sheet1!D:J,6,FALSE)</f>
        <v>2022816874.bishnukant@pt.sharda.ac.in</v>
      </c>
      <c r="J46" s="17" t="str">
        <f>VLOOKUP(D46,Sheet1!E:K,6,FALSE)</f>
        <v>91 7676535597</v>
      </c>
      <c r="K46" s="17" t="s">
        <v>15</v>
      </c>
      <c r="L46" s="37" t="s">
        <v>3644</v>
      </c>
      <c r="M46" t="s">
        <v>3657</v>
      </c>
    </row>
    <row r="47" spans="1:13">
      <c r="A47" s="29">
        <v>46</v>
      </c>
      <c r="B47" s="17" t="s">
        <v>658</v>
      </c>
      <c r="C47" s="17">
        <v>2022006870</v>
      </c>
      <c r="D47" s="17">
        <v>2201010310</v>
      </c>
      <c r="E47" s="17" t="s">
        <v>1808</v>
      </c>
      <c r="F47" s="17" t="e">
        <f>VLOOKUP(C47,'Fast Track '!B:C,2,FALSE)</f>
        <v>#N/A</v>
      </c>
      <c r="G47" s="17" t="s">
        <v>3752</v>
      </c>
      <c r="H47" s="17" t="s">
        <v>659</v>
      </c>
      <c r="I47" s="17" t="str">
        <f>VLOOKUP(C47,Sheet1!D:J,6,FALSE)</f>
        <v>2022006870.binod@pt.sharda.ac.in</v>
      </c>
      <c r="J47" s="17" t="str">
        <f>VLOOKUP(D47,Sheet1!E:K,6,FALSE)</f>
        <v>6200170281</v>
      </c>
      <c r="K47" s="17" t="s">
        <v>15</v>
      </c>
      <c r="L47" s="37" t="s">
        <v>3644</v>
      </c>
      <c r="M47" t="s">
        <v>3657</v>
      </c>
    </row>
    <row r="48" spans="1:13">
      <c r="A48" s="29">
        <v>47</v>
      </c>
      <c r="B48" s="17" t="s">
        <v>664</v>
      </c>
      <c r="C48" s="17">
        <v>2022444658</v>
      </c>
      <c r="D48" s="17">
        <v>2201010334</v>
      </c>
      <c r="E48" s="17" t="s">
        <v>1808</v>
      </c>
      <c r="F48" s="17" t="e">
        <f>VLOOKUP(C48,'Fast Track '!B:C,2,FALSE)</f>
        <v>#N/A</v>
      </c>
      <c r="G48" s="17" t="s">
        <v>3753</v>
      </c>
      <c r="H48" s="17" t="s">
        <v>665</v>
      </c>
      <c r="I48" s="17" t="str">
        <f>VLOOKUP(C48,Sheet1!D:J,6,FALSE)</f>
        <v>2022444658.vindhyachalsingh@pt.sharda.ac.in</v>
      </c>
      <c r="J48" s="17" t="str">
        <f>VLOOKUP(D48,Sheet1!E:K,6,FALSE)</f>
        <v>7081066123</v>
      </c>
      <c r="K48" s="17" t="s">
        <v>15</v>
      </c>
      <c r="L48" s="37" t="s">
        <v>3644</v>
      </c>
      <c r="M48" t="s">
        <v>3657</v>
      </c>
    </row>
    <row r="49" spans="1:13">
      <c r="A49" s="29">
        <v>48</v>
      </c>
      <c r="B49" s="17" t="s">
        <v>672</v>
      </c>
      <c r="C49" s="17">
        <v>2022540866</v>
      </c>
      <c r="D49" s="17">
        <v>2201010382</v>
      </c>
      <c r="E49" s="17" t="s">
        <v>1808</v>
      </c>
      <c r="F49" s="17" t="e">
        <f>VLOOKUP(C49,'Fast Track '!B:C,2,FALSE)</f>
        <v>#N/A</v>
      </c>
      <c r="G49" s="17" t="s">
        <v>3754</v>
      </c>
      <c r="H49" s="17" t="s">
        <v>673</v>
      </c>
      <c r="I49" s="17" t="str">
        <f>VLOOKUP(C49,Sheet1!D:J,6,FALSE)</f>
        <v>2022540866.reyazahmed@pt.sharda.ac.in</v>
      </c>
      <c r="J49" s="17" t="str">
        <f>VLOOKUP(D49,Sheet1!E:K,6,FALSE)</f>
        <v>9102569677</v>
      </c>
      <c r="K49" s="17" t="s">
        <v>15</v>
      </c>
      <c r="L49" s="37" t="s">
        <v>3644</v>
      </c>
      <c r="M49" t="s">
        <v>3657</v>
      </c>
    </row>
    <row r="50" spans="1:13">
      <c r="A50" s="29">
        <v>49</v>
      </c>
      <c r="B50" s="17" t="s">
        <v>703</v>
      </c>
      <c r="C50" s="17">
        <v>2022309654</v>
      </c>
      <c r="D50" s="17">
        <v>2201010383</v>
      </c>
      <c r="E50" s="17" t="s">
        <v>1808</v>
      </c>
      <c r="F50" s="17" t="e">
        <f>VLOOKUP(C50,'Fast Track '!B:C,2,FALSE)</f>
        <v>#N/A</v>
      </c>
      <c r="G50" s="17" t="s">
        <v>3755</v>
      </c>
      <c r="H50" s="17" t="s">
        <v>704</v>
      </c>
      <c r="I50" s="17" t="str">
        <f>VLOOKUP(C50,Sheet1!D:J,6,FALSE)</f>
        <v>2022309654.vimal@pt.sharda.ac.in</v>
      </c>
      <c r="J50" s="17" t="str">
        <f>VLOOKUP(D50,Sheet1!E:K,6,FALSE)</f>
        <v>7644063616</v>
      </c>
      <c r="K50" s="17" t="s">
        <v>15</v>
      </c>
      <c r="L50" s="37" t="s">
        <v>3644</v>
      </c>
      <c r="M50" t="s">
        <v>3657</v>
      </c>
    </row>
    <row r="51" spans="1:13">
      <c r="A51" s="29">
        <v>50</v>
      </c>
      <c r="B51" s="17" t="s">
        <v>763</v>
      </c>
      <c r="C51" s="17">
        <v>2022505407</v>
      </c>
      <c r="D51" s="17">
        <v>2201010387</v>
      </c>
      <c r="E51" s="17" t="s">
        <v>1808</v>
      </c>
      <c r="F51" s="17" t="e">
        <f>VLOOKUP(C51,'Fast Track '!B:C,2,FALSE)</f>
        <v>#N/A</v>
      </c>
      <c r="G51" s="17" t="s">
        <v>3756</v>
      </c>
      <c r="H51" s="17" t="s">
        <v>764</v>
      </c>
      <c r="I51" s="17" t="str">
        <f>VLOOKUP(C51,Sheet1!D:J,6,FALSE)</f>
        <v>2022505407.mdsayeedul@pt.sharda.ac.in</v>
      </c>
      <c r="J51" s="17" t="str">
        <f>VLOOKUP(D51,Sheet1!E:K,6,FALSE)</f>
        <v>8986447723</v>
      </c>
      <c r="K51" s="17" t="s">
        <v>15</v>
      </c>
      <c r="L51" s="37" t="s">
        <v>3644</v>
      </c>
      <c r="M51" t="s">
        <v>3657</v>
      </c>
    </row>
    <row r="52" spans="1:13">
      <c r="A52" s="29">
        <v>51</v>
      </c>
      <c r="B52" s="17" t="s">
        <v>745</v>
      </c>
      <c r="C52" s="17">
        <v>2022832103</v>
      </c>
      <c r="D52" s="17">
        <v>2201010413</v>
      </c>
      <c r="E52" s="17" t="s">
        <v>1808</v>
      </c>
      <c r="F52" s="17" t="e">
        <f>VLOOKUP(C52,'Fast Track '!B:C,2,FALSE)</f>
        <v>#N/A</v>
      </c>
      <c r="G52" s="17" t="s">
        <v>3757</v>
      </c>
      <c r="H52" s="17" t="s">
        <v>746</v>
      </c>
      <c r="I52" s="17" t="str">
        <f>VLOOKUP(C52,Sheet1!D:J,6,FALSE)</f>
        <v>2022832103.dilshad@pt.sharda.ac.in</v>
      </c>
      <c r="J52" s="17" t="str">
        <f>VLOOKUP(D52,Sheet1!E:K,6,FALSE)</f>
        <v>966 504144013</v>
      </c>
      <c r="K52" s="17" t="s">
        <v>15</v>
      </c>
      <c r="L52" s="37" t="s">
        <v>3644</v>
      </c>
      <c r="M52" t="s">
        <v>3657</v>
      </c>
    </row>
    <row r="53" spans="1:13">
      <c r="A53" s="29">
        <v>52</v>
      </c>
      <c r="B53" s="17" t="s">
        <v>668</v>
      </c>
      <c r="C53" s="17">
        <v>2022005063</v>
      </c>
      <c r="D53" s="17">
        <v>2201010420</v>
      </c>
      <c r="E53" s="17" t="s">
        <v>1808</v>
      </c>
      <c r="F53" s="17" t="e">
        <f>VLOOKUP(C53,'Fast Track '!B:C,2,FALSE)</f>
        <v>#N/A</v>
      </c>
      <c r="G53" s="17" t="s">
        <v>3758</v>
      </c>
      <c r="H53" s="17" t="s">
        <v>669</v>
      </c>
      <c r="I53" s="17" t="str">
        <f>VLOOKUP(C53,Sheet1!D:J,6,FALSE)</f>
        <v>2022005063.shakeel@pt.sharda.ac.in</v>
      </c>
      <c r="J53" s="17" t="str">
        <f>VLOOKUP(D53,Sheet1!E:K,6,FALSE)</f>
        <v>8923559251</v>
      </c>
      <c r="K53" s="17" t="s">
        <v>15</v>
      </c>
      <c r="L53" s="37" t="s">
        <v>3644</v>
      </c>
      <c r="M53" t="s">
        <v>3657</v>
      </c>
    </row>
    <row r="54" spans="1:13">
      <c r="A54" s="29">
        <v>53</v>
      </c>
      <c r="B54" s="17" t="s">
        <v>676</v>
      </c>
      <c r="C54" s="17">
        <v>2022447440</v>
      </c>
      <c r="D54" s="17">
        <v>2201010432</v>
      </c>
      <c r="E54" s="17" t="s">
        <v>1808</v>
      </c>
      <c r="F54" s="17" t="e">
        <f>VLOOKUP(C54,'Fast Track '!B:C,2,FALSE)</f>
        <v>#N/A</v>
      </c>
      <c r="G54" s="17" t="s">
        <v>3759</v>
      </c>
      <c r="H54" s="17" t="s">
        <v>677</v>
      </c>
      <c r="I54" s="17" t="str">
        <f>VLOOKUP(C54,Sheet1!D:J,6,FALSE)</f>
        <v>2022447440.girijashankar@pt.sharda.ac.in</v>
      </c>
      <c r="J54" s="17" t="str">
        <f>VLOOKUP(D54,Sheet1!E:K,6,FALSE)</f>
        <v>8319379307</v>
      </c>
      <c r="K54" s="17" t="s">
        <v>15</v>
      </c>
      <c r="L54" s="37" t="s">
        <v>3644</v>
      </c>
      <c r="M54" t="s">
        <v>3657</v>
      </c>
    </row>
    <row r="55" spans="1:13">
      <c r="A55" s="29">
        <v>54</v>
      </c>
      <c r="B55" s="17" t="s">
        <v>656</v>
      </c>
      <c r="C55" s="17">
        <v>2022006827</v>
      </c>
      <c r="D55" s="17">
        <v>2201010832</v>
      </c>
      <c r="E55" s="17" t="s">
        <v>1808</v>
      </c>
      <c r="F55" s="17" t="e">
        <f>VLOOKUP(C55,'Fast Track '!B:C,2,FALSE)</f>
        <v>#N/A</v>
      </c>
      <c r="G55" s="17" t="s">
        <v>3760</v>
      </c>
      <c r="H55" s="17" t="s">
        <v>657</v>
      </c>
      <c r="I55" s="17" t="str">
        <f>VLOOKUP(C55,Sheet1!D:J,6,FALSE)</f>
        <v>2022006827.ganesh@pt.sharda.ac.in</v>
      </c>
      <c r="J55" s="17" t="str">
        <f>VLOOKUP(D55,Sheet1!E:K,6,FALSE)</f>
        <v>7739168024</v>
      </c>
      <c r="K55" s="17" t="s">
        <v>15</v>
      </c>
      <c r="L55" s="37" t="s">
        <v>3644</v>
      </c>
      <c r="M55" t="s">
        <v>3657</v>
      </c>
    </row>
    <row r="56" spans="1:13">
      <c r="A56" s="29">
        <v>55</v>
      </c>
      <c r="B56" s="17" t="s">
        <v>687</v>
      </c>
      <c r="C56" s="17">
        <v>2022006845</v>
      </c>
      <c r="D56" s="17">
        <v>2201010833</v>
      </c>
      <c r="E56" s="17" t="s">
        <v>1808</v>
      </c>
      <c r="F56" s="17" t="e">
        <f>VLOOKUP(C56,'Fast Track '!B:C,2,FALSE)</f>
        <v>#N/A</v>
      </c>
      <c r="G56" s="17" t="s">
        <v>3761</v>
      </c>
      <c r="H56" s="17" t="s">
        <v>688</v>
      </c>
      <c r="I56" s="17" t="str">
        <f>VLOOKUP(C56,Sheet1!D:J,6,FALSE)</f>
        <v>2022006845.ikleshkumar@pt.sharda.ac.in</v>
      </c>
      <c r="J56" s="17" t="str">
        <f>VLOOKUP(D56,Sheet1!E:K,6,FALSE)</f>
        <v>9897705302</v>
      </c>
      <c r="K56" s="17" t="s">
        <v>15</v>
      </c>
      <c r="L56" s="37" t="s">
        <v>3644</v>
      </c>
      <c r="M56" t="s">
        <v>3657</v>
      </c>
    </row>
    <row r="57" spans="1:13">
      <c r="A57" s="29">
        <v>56</v>
      </c>
      <c r="B57" s="17" t="s">
        <v>408</v>
      </c>
      <c r="C57" s="17">
        <v>2022005252</v>
      </c>
      <c r="D57" s="17">
        <v>2201010278</v>
      </c>
      <c r="E57" s="17" t="s">
        <v>1808</v>
      </c>
      <c r="F57" s="17" t="e">
        <f>VLOOKUP(C57,'Fast Track '!B:C,2,FALSE)</f>
        <v>#N/A</v>
      </c>
      <c r="G57" s="17" t="s">
        <v>3762</v>
      </c>
      <c r="H57" s="17" t="s">
        <v>409</v>
      </c>
      <c r="I57" s="17" t="str">
        <f>VLOOKUP(C57,Sheet1!D:J,6,FALSE)</f>
        <v>2022005252.sunil@pt.sharda.ac.in</v>
      </c>
      <c r="J57" s="17" t="str">
        <f>VLOOKUP(D57,Sheet1!E:K,6,FALSE)</f>
        <v>9548484695</v>
      </c>
      <c r="K57" s="17" t="s">
        <v>15</v>
      </c>
      <c r="L57" s="37" t="s">
        <v>3645</v>
      </c>
      <c r="M57" t="s">
        <v>3656</v>
      </c>
    </row>
    <row r="58" spans="1:13">
      <c r="A58" s="29">
        <v>57</v>
      </c>
      <c r="B58" s="17" t="s">
        <v>757</v>
      </c>
      <c r="C58" s="17">
        <v>2022007320</v>
      </c>
      <c r="D58" s="17">
        <v>2201010842</v>
      </c>
      <c r="E58" s="17" t="s">
        <v>1808</v>
      </c>
      <c r="F58" s="17" t="e">
        <f>VLOOKUP(C58,'Fast Track '!B:C,2,FALSE)</f>
        <v>#N/A</v>
      </c>
      <c r="G58" s="17" t="s">
        <v>3763</v>
      </c>
      <c r="H58" s="17" t="s">
        <v>758</v>
      </c>
      <c r="I58" s="17" t="str">
        <f>VLOOKUP(C58,Sheet1!D:J,6,FALSE)</f>
        <v>2022007320.santoshkumar@pt.sharda.ac.in</v>
      </c>
      <c r="J58" s="17" t="str">
        <f>VLOOKUP(D58,Sheet1!E:K,6,FALSE)</f>
        <v>7563084668</v>
      </c>
      <c r="K58" s="17" t="s">
        <v>15</v>
      </c>
      <c r="L58" s="37" t="s">
        <v>3644</v>
      </c>
      <c r="M58" t="s">
        <v>3657</v>
      </c>
    </row>
    <row r="59" spans="1:13">
      <c r="A59" s="29">
        <v>58</v>
      </c>
      <c r="B59" s="17" t="s">
        <v>674</v>
      </c>
      <c r="C59" s="17">
        <v>2022007438</v>
      </c>
      <c r="D59" s="17">
        <v>2201010848</v>
      </c>
      <c r="E59" s="17" t="s">
        <v>1808</v>
      </c>
      <c r="F59" s="17" t="e">
        <f>VLOOKUP(C59,'Fast Track '!B:C,2,FALSE)</f>
        <v>#N/A</v>
      </c>
      <c r="G59" s="17" t="s">
        <v>3764</v>
      </c>
      <c r="H59" s="17" t="s">
        <v>675</v>
      </c>
      <c r="I59" s="17" t="str">
        <f>VLOOKUP(C59,Sheet1!D:J,6,FALSE)</f>
        <v>2022007438.sandeep@pt.sharda.ac.in</v>
      </c>
      <c r="J59" s="17" t="str">
        <f>VLOOKUP(D59,Sheet1!E:K,6,FALSE)</f>
        <v>9368983852</v>
      </c>
      <c r="K59" s="17" t="s">
        <v>15</v>
      </c>
      <c r="L59" s="37" t="s">
        <v>3644</v>
      </c>
      <c r="M59" t="s">
        <v>3657</v>
      </c>
    </row>
    <row r="60" spans="1:13">
      <c r="A60" s="29">
        <v>59</v>
      </c>
      <c r="B60" s="17" t="s">
        <v>660</v>
      </c>
      <c r="C60" s="17">
        <v>2022007661</v>
      </c>
      <c r="D60" s="17">
        <v>2201010855</v>
      </c>
      <c r="E60" s="17" t="s">
        <v>1808</v>
      </c>
      <c r="F60" s="17" t="e">
        <f>VLOOKUP(C60,'Fast Track '!B:C,2,FALSE)</f>
        <v>#N/A</v>
      </c>
      <c r="G60" s="17" t="s">
        <v>3765</v>
      </c>
      <c r="H60" s="17" t="s">
        <v>661</v>
      </c>
      <c r="I60" s="17" t="str">
        <f>VLOOKUP(C60,Sheet1!D:J,6,FALSE)</f>
        <v>2022007661.narendrakumar@pt.sharda.ac.in</v>
      </c>
      <c r="J60" s="17" t="str">
        <f>VLOOKUP(D60,Sheet1!E:K,6,FALSE)</f>
        <v>8051118373</v>
      </c>
      <c r="K60" s="17" t="s">
        <v>15</v>
      </c>
      <c r="L60" s="37" t="s">
        <v>3644</v>
      </c>
      <c r="M60" t="s">
        <v>3657</v>
      </c>
    </row>
    <row r="61" spans="1:13">
      <c r="A61" s="29">
        <v>60</v>
      </c>
      <c r="B61" s="17" t="s">
        <v>697</v>
      </c>
      <c r="C61" s="17">
        <v>2022007718</v>
      </c>
      <c r="D61" s="17">
        <v>2201010860</v>
      </c>
      <c r="E61" s="17" t="s">
        <v>1808</v>
      </c>
      <c r="F61" s="17" t="e">
        <f>VLOOKUP(C61,'Fast Track '!B:C,2,FALSE)</f>
        <v>#N/A</v>
      </c>
      <c r="G61" s="17" t="s">
        <v>3766</v>
      </c>
      <c r="H61" s="17" t="s">
        <v>698</v>
      </c>
      <c r="I61" s="17" t="str">
        <f>VLOOKUP(C61,Sheet1!D:J,6,FALSE)</f>
        <v>2022007718.satbir@pt.sharda.ac.in</v>
      </c>
      <c r="J61" s="17" t="str">
        <f>VLOOKUP(D61,Sheet1!E:K,6,FALSE)</f>
        <v>9034293489</v>
      </c>
      <c r="K61" s="17" t="s">
        <v>15</v>
      </c>
      <c r="L61" s="37" t="s">
        <v>3644</v>
      </c>
      <c r="M61" t="s">
        <v>3657</v>
      </c>
    </row>
    <row r="62" spans="1:13">
      <c r="A62" s="29">
        <v>61</v>
      </c>
      <c r="B62" s="17" t="s">
        <v>761</v>
      </c>
      <c r="C62" s="17">
        <v>2022364256</v>
      </c>
      <c r="D62" s="17">
        <v>2201010869</v>
      </c>
      <c r="E62" s="17" t="s">
        <v>1808</v>
      </c>
      <c r="F62" s="17" t="e">
        <f>VLOOKUP(C62,'Fast Track '!B:C,2,FALSE)</f>
        <v>#N/A</v>
      </c>
      <c r="G62" s="17" t="s">
        <v>3767</v>
      </c>
      <c r="H62" s="17" t="s">
        <v>762</v>
      </c>
      <c r="I62" s="17" t="str">
        <f>VLOOKUP(C62,Sheet1!D:J,6,FALSE)</f>
        <v>2022364256.mahender@pt.sharda.ac.in</v>
      </c>
      <c r="J62" s="17" t="str">
        <f>VLOOKUP(D62,Sheet1!E:K,6,FALSE)</f>
        <v>9990700671</v>
      </c>
      <c r="K62" s="17" t="s">
        <v>15</v>
      </c>
      <c r="L62" s="37" t="s">
        <v>3644</v>
      </c>
      <c r="M62" t="s">
        <v>3657</v>
      </c>
    </row>
    <row r="63" spans="1:13">
      <c r="A63" s="29">
        <v>62</v>
      </c>
      <c r="B63" s="17" t="s">
        <v>666</v>
      </c>
      <c r="C63" s="17">
        <v>2022594458</v>
      </c>
      <c r="D63" s="17">
        <v>2201010892</v>
      </c>
      <c r="E63" s="17" t="s">
        <v>1808</v>
      </c>
      <c r="F63" s="17" t="e">
        <f>VLOOKUP(C63,'Fast Track '!B:C,2,FALSE)</f>
        <v>#N/A</v>
      </c>
      <c r="G63" s="17" t="s">
        <v>3768</v>
      </c>
      <c r="H63" s="17" t="s">
        <v>667</v>
      </c>
      <c r="I63" s="17" t="str">
        <f>VLOOKUP(C63,Sheet1!D:J,6,FALSE)</f>
        <v>2022594458.nirajkumar@pt.sharda.ac.in</v>
      </c>
      <c r="J63" s="17" t="str">
        <f>VLOOKUP(D63,Sheet1!E:K,6,FALSE)</f>
        <v>6201156707</v>
      </c>
      <c r="K63" s="17" t="s">
        <v>15</v>
      </c>
      <c r="L63" s="37" t="s">
        <v>3644</v>
      </c>
      <c r="M63" t="s">
        <v>3657</v>
      </c>
    </row>
    <row r="64" spans="1:13">
      <c r="A64" s="29">
        <v>63</v>
      </c>
      <c r="B64" s="17" t="s">
        <v>1373</v>
      </c>
      <c r="C64" s="17">
        <v>2023503067</v>
      </c>
      <c r="D64" s="17">
        <v>2301017006</v>
      </c>
      <c r="E64" s="17" t="s">
        <v>1808</v>
      </c>
      <c r="F64" s="17" t="e">
        <f>VLOOKUP(C64,'Fast Track '!B:C,2,FALSE)</f>
        <v>#N/A</v>
      </c>
      <c r="G64" s="17" t="s">
        <v>3769</v>
      </c>
      <c r="H64" s="17" t="s">
        <v>1374</v>
      </c>
      <c r="I64" s="17" t="str">
        <f>VLOOKUP(C64,Sheet1!D:J,6,FALSE)</f>
        <v>2023503067.pratyush@pt.sharda.ac.in</v>
      </c>
      <c r="J64" s="17" t="str">
        <f>VLOOKUP(D64,Sheet1!E:K,6,FALSE)</f>
        <v>7683936276</v>
      </c>
      <c r="K64" s="17" t="s">
        <v>15</v>
      </c>
      <c r="L64" s="37" t="s">
        <v>3644</v>
      </c>
      <c r="M64" t="s">
        <v>3657</v>
      </c>
    </row>
  </sheetData>
  <conditionalFormatting sqref="L2:L11">
    <cfRule type="uniqueValues" dxfId="134" priority="4"/>
  </conditionalFormatting>
  <conditionalFormatting sqref="L15:L22">
    <cfRule type="uniqueValues" dxfId="133" priority="3"/>
  </conditionalFormatting>
  <conditionalFormatting sqref="L32">
    <cfRule type="uniqueValues" dxfId="132" priority="1"/>
  </conditionalFormatting>
  <conditionalFormatting sqref="L23:L31">
    <cfRule type="uniqueValues" dxfId="131" priority="400"/>
  </conditionalFormatting>
  <conditionalFormatting sqref="C1">
    <cfRule type="duplicateValues" dxfId="130" priority="819"/>
  </conditionalFormatting>
  <conditionalFormatting sqref="C1:D1">
    <cfRule type="duplicateValues" dxfId="129" priority="821"/>
    <cfRule type="duplicateValues" dxfId="128" priority="822"/>
  </conditionalFormatting>
  <dataValidations count="1">
    <dataValidation type="list" allowBlank="1" showErrorMessage="1" sqref="L2:L64">
      <formula1>"G1,G2"</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M63"/>
  <sheetViews>
    <sheetView topLeftCell="A50" workbookViewId="0">
      <selection activeCell="G2" sqref="A1:M63"/>
    </sheetView>
  </sheetViews>
  <sheetFormatPr defaultRowHeight="14.5"/>
  <cols>
    <col min="1" max="1" width="5.90625" bestFit="1" customWidth="1"/>
    <col min="2" max="2" width="19.08984375" bestFit="1" customWidth="1"/>
    <col min="3" max="4" width="11" bestFit="1" customWidth="1"/>
    <col min="5" max="5" width="14.36328125" bestFit="1" customWidth="1"/>
    <col min="6" max="7" width="14.36328125" customWidth="1"/>
    <col min="8" max="8" width="36.6328125" bestFit="1" customWidth="1"/>
    <col min="9" max="9" width="39.36328125" bestFit="1" customWidth="1"/>
    <col min="10" max="10" width="14.54296875" bestFit="1" customWidth="1"/>
    <col min="11" max="11" width="15.6328125" bestFit="1" customWidth="1"/>
    <col min="12" max="12" width="11.54296875" style="38" customWidth="1"/>
  </cols>
  <sheetData>
    <row r="1" spans="1:13" ht="25">
      <c r="A1" s="1" t="s">
        <v>1</v>
      </c>
      <c r="B1" s="1" t="s">
        <v>2</v>
      </c>
      <c r="C1" s="1" t="s">
        <v>3</v>
      </c>
      <c r="D1" s="1" t="s">
        <v>4</v>
      </c>
      <c r="E1" s="1" t="s">
        <v>1817</v>
      </c>
      <c r="F1" s="1"/>
      <c r="G1" s="1"/>
      <c r="H1" s="1" t="s">
        <v>6</v>
      </c>
      <c r="I1" s="1" t="s">
        <v>1819</v>
      </c>
      <c r="J1" s="1" t="s">
        <v>1820</v>
      </c>
      <c r="K1" s="1" t="s">
        <v>7</v>
      </c>
      <c r="L1" s="36" t="s">
        <v>3676</v>
      </c>
      <c r="M1" s="41" t="s">
        <v>3677</v>
      </c>
    </row>
    <row r="2" spans="1:13">
      <c r="A2" s="17">
        <v>1</v>
      </c>
      <c r="B2" s="17" t="s">
        <v>22</v>
      </c>
      <c r="C2" s="17">
        <v>2022002562</v>
      </c>
      <c r="D2" s="17">
        <v>2201010041</v>
      </c>
      <c r="E2" s="17" t="s">
        <v>1807</v>
      </c>
      <c r="F2" s="17" t="e">
        <f>VLOOKUP(C2,'Fast Track '!B:C,2,FALSE)</f>
        <v>#N/A</v>
      </c>
      <c r="G2" s="17" t="s">
        <v>3707</v>
      </c>
      <c r="H2" s="17" t="s">
        <v>23</v>
      </c>
      <c r="I2" s="17" t="str">
        <f>VLOOKUP(C2,Sheet1!D:J,6,FALSE)</f>
        <v>2022002562.jayprakash@pt.sharda.ac.in</v>
      </c>
      <c r="J2" s="17" t="str">
        <f>VLOOKUP(D2,Sheet1!E:K,6,FALSE)</f>
        <v>8434107666</v>
      </c>
      <c r="K2" s="17" t="s">
        <v>15</v>
      </c>
      <c r="L2" s="37" t="s">
        <v>3645</v>
      </c>
      <c r="M2" t="s">
        <v>3658</v>
      </c>
    </row>
    <row r="3" spans="1:13">
      <c r="A3" s="17">
        <v>2</v>
      </c>
      <c r="B3" s="17" t="s">
        <v>126</v>
      </c>
      <c r="C3" s="17">
        <v>2022439077</v>
      </c>
      <c r="D3" s="17">
        <v>2201010048</v>
      </c>
      <c r="E3" s="17" t="s">
        <v>1807</v>
      </c>
      <c r="F3" s="17" t="e">
        <f>VLOOKUP(C3,'Fast Track '!B:C,2,FALSE)</f>
        <v>#N/A</v>
      </c>
      <c r="G3" s="17" t="s">
        <v>3708</v>
      </c>
      <c r="H3" s="17" t="s">
        <v>127</v>
      </c>
      <c r="I3" s="17" t="str">
        <f>VLOOKUP(C3,Sheet1!D:J,6,FALSE)</f>
        <v>2022439077.ramakant@pt.sharda.ac.in</v>
      </c>
      <c r="J3" s="17" t="str">
        <f>VLOOKUP(D3,Sheet1!E:K,6,FALSE)</f>
        <v>9693396195</v>
      </c>
      <c r="K3" s="17" t="s">
        <v>15</v>
      </c>
      <c r="L3" s="37" t="s">
        <v>3645</v>
      </c>
      <c r="M3" t="s">
        <v>3658</v>
      </c>
    </row>
    <row r="4" spans="1:13">
      <c r="A4" s="17">
        <v>3</v>
      </c>
      <c r="B4" s="17" t="s">
        <v>113</v>
      </c>
      <c r="C4" s="17">
        <v>2022526282</v>
      </c>
      <c r="D4" s="17">
        <v>2201010053</v>
      </c>
      <c r="E4" s="17" t="s">
        <v>1807</v>
      </c>
      <c r="F4" s="17" t="e">
        <f>VLOOKUP(C4,'Fast Track '!B:C,2,FALSE)</f>
        <v>#N/A</v>
      </c>
      <c r="G4" s="17" t="s">
        <v>3709</v>
      </c>
      <c r="H4" s="17" t="s">
        <v>114</v>
      </c>
      <c r="I4" s="17" t="str">
        <f>VLOOKUP(C4,Sheet1!D:J,6,FALSE)</f>
        <v>2022526282.sunil@pt.sharda.ac.in</v>
      </c>
      <c r="J4" s="17" t="str">
        <f>VLOOKUP(D4,Sheet1!E:K,6,FALSE)</f>
        <v>6393992008</v>
      </c>
      <c r="K4" s="17" t="s">
        <v>15</v>
      </c>
      <c r="L4" s="37" t="s">
        <v>3645</v>
      </c>
      <c r="M4" t="s">
        <v>3658</v>
      </c>
    </row>
    <row r="5" spans="1:13">
      <c r="A5" s="17">
        <v>4</v>
      </c>
      <c r="B5" s="17" t="s">
        <v>31</v>
      </c>
      <c r="C5" s="17">
        <v>2022003597</v>
      </c>
      <c r="D5" s="17">
        <v>2201010086</v>
      </c>
      <c r="E5" s="17" t="s">
        <v>1807</v>
      </c>
      <c r="F5" s="17" t="e">
        <f>VLOOKUP(C5,'Fast Track '!B:C,2,FALSE)</f>
        <v>#N/A</v>
      </c>
      <c r="G5" s="17" t="s">
        <v>3710</v>
      </c>
      <c r="H5" s="17" t="s">
        <v>32</v>
      </c>
      <c r="I5" s="17" t="str">
        <f>VLOOKUP(C5,Sheet1!D:J,6,FALSE)</f>
        <v>2022003597.avdheshkumar@pt.sharda.ac.in</v>
      </c>
      <c r="J5" s="17" t="str">
        <f>VLOOKUP(D5,Sheet1!E:K,6,FALSE)</f>
        <v>9411419825</v>
      </c>
      <c r="K5" s="17" t="s">
        <v>15</v>
      </c>
      <c r="L5" s="37" t="s">
        <v>3644</v>
      </c>
      <c r="M5" t="s">
        <v>3659</v>
      </c>
    </row>
    <row r="6" spans="1:13">
      <c r="A6" s="17">
        <v>5</v>
      </c>
      <c r="B6" s="17" t="s">
        <v>35</v>
      </c>
      <c r="C6" s="17">
        <v>2022004609</v>
      </c>
      <c r="D6" s="17">
        <v>2201010110</v>
      </c>
      <c r="E6" s="17" t="s">
        <v>1807</v>
      </c>
      <c r="F6" s="17" t="e">
        <f>VLOOKUP(C6,'Fast Track '!B:C,2,FALSE)</f>
        <v>#N/A</v>
      </c>
      <c r="G6" s="17" t="s">
        <v>3711</v>
      </c>
      <c r="H6" s="17" t="s">
        <v>36</v>
      </c>
      <c r="I6" s="17" t="str">
        <f>VLOOKUP(C6,Sheet1!D:J,6,FALSE)</f>
        <v>2022004609.khyalsingh@pt.sharda.ac.in</v>
      </c>
      <c r="J6" s="17" t="str">
        <f>VLOOKUP(D6,Sheet1!E:K,6,FALSE)</f>
        <v>8851283033</v>
      </c>
      <c r="K6" s="17" t="s">
        <v>15</v>
      </c>
      <c r="L6" s="37" t="s">
        <v>3645</v>
      </c>
      <c r="M6" t="s">
        <v>3658</v>
      </c>
    </row>
    <row r="7" spans="1:13">
      <c r="A7" s="17">
        <v>6</v>
      </c>
      <c r="B7" s="17" t="s">
        <v>499</v>
      </c>
      <c r="C7" s="17">
        <v>2022541296</v>
      </c>
      <c r="D7" s="17">
        <v>2201010466</v>
      </c>
      <c r="E7" s="17" t="s">
        <v>1807</v>
      </c>
      <c r="F7" s="17" t="e">
        <f>VLOOKUP(C7,'Fast Track '!B:C,2,FALSE)</f>
        <v>#N/A</v>
      </c>
      <c r="G7" s="17" t="s">
        <v>3712</v>
      </c>
      <c r="H7" s="17" t="s">
        <v>500</v>
      </c>
      <c r="I7" s="17" t="str">
        <f>VLOOKUP(C7,Sheet1!D:J,6,FALSE)</f>
        <v>2022541296.mdagsar@pt.sharda.ac.in</v>
      </c>
      <c r="J7" s="17" t="str">
        <f>VLOOKUP(D7,Sheet1!E:K,6,FALSE)</f>
        <v>6367679744</v>
      </c>
      <c r="K7" s="17" t="s">
        <v>15</v>
      </c>
      <c r="L7" s="37" t="s">
        <v>3645</v>
      </c>
      <c r="M7" t="s">
        <v>3658</v>
      </c>
    </row>
    <row r="8" spans="1:13">
      <c r="A8" s="17">
        <v>7</v>
      </c>
      <c r="B8" s="17" t="s">
        <v>58</v>
      </c>
      <c r="C8" s="17">
        <v>2022386541</v>
      </c>
      <c r="D8" s="17">
        <v>2201010141</v>
      </c>
      <c r="E8" s="17" t="s">
        <v>1807</v>
      </c>
      <c r="F8" s="17" t="e">
        <f>VLOOKUP(C8,'Fast Track '!B:C,2,FALSE)</f>
        <v>#N/A</v>
      </c>
      <c r="G8" s="17" t="s">
        <v>3713</v>
      </c>
      <c r="H8" s="17" t="s">
        <v>59</v>
      </c>
      <c r="I8" s="17" t="str">
        <f>VLOOKUP(C8,Sheet1!D:J,6,FALSE)</f>
        <v>2022386541.brahma@pt.sharda.ac.in</v>
      </c>
      <c r="J8" s="17" t="str">
        <f>VLOOKUP(D8,Sheet1!E:K,6,FALSE)</f>
        <v>8737099769</v>
      </c>
      <c r="K8" s="17" t="s">
        <v>15</v>
      </c>
      <c r="L8" s="37" t="s">
        <v>3645</v>
      </c>
      <c r="M8" t="s">
        <v>3658</v>
      </c>
    </row>
    <row r="9" spans="1:13">
      <c r="A9" s="17">
        <v>8</v>
      </c>
      <c r="B9" s="17" t="s">
        <v>70</v>
      </c>
      <c r="C9" s="17">
        <v>2022429052</v>
      </c>
      <c r="D9" s="17">
        <v>2201010207</v>
      </c>
      <c r="E9" s="17" t="s">
        <v>1807</v>
      </c>
      <c r="F9" s="17" t="e">
        <f>VLOOKUP(C9,'Fast Track '!B:C,2,FALSE)</f>
        <v>#N/A</v>
      </c>
      <c r="G9" s="17" t="s">
        <v>3714</v>
      </c>
      <c r="H9" s="17" t="s">
        <v>71</v>
      </c>
      <c r="I9" s="17" t="str">
        <f>VLOOKUP(C9,Sheet1!D:J,6,FALSE)</f>
        <v>2022429052.indal@pt.sharda.ac.in</v>
      </c>
      <c r="J9" s="17" t="str">
        <f>VLOOKUP(D9,Sheet1!E:K,6,FALSE)</f>
        <v>9151344811</v>
      </c>
      <c r="K9" s="17" t="s">
        <v>15</v>
      </c>
      <c r="L9" s="37" t="s">
        <v>3645</v>
      </c>
      <c r="M9" t="s">
        <v>3658</v>
      </c>
    </row>
    <row r="10" spans="1:13">
      <c r="A10" s="17">
        <v>9</v>
      </c>
      <c r="B10" s="17" t="s">
        <v>50</v>
      </c>
      <c r="C10" s="17">
        <v>2022330872</v>
      </c>
      <c r="D10" s="17">
        <v>2201010220</v>
      </c>
      <c r="E10" s="17" t="s">
        <v>1807</v>
      </c>
      <c r="F10" s="17" t="e">
        <f>VLOOKUP(C10,'Fast Track '!B:C,2,FALSE)</f>
        <v>#N/A</v>
      </c>
      <c r="G10" s="17" t="s">
        <v>3715</v>
      </c>
      <c r="H10" s="17" t="s">
        <v>51</v>
      </c>
      <c r="I10" s="17" t="str">
        <f>VLOOKUP(C10,Sheet1!D:J,6,FALSE)</f>
        <v>2022330872.nanigopal@pt.sharda.ac.in</v>
      </c>
      <c r="J10" s="17" t="str">
        <f>VLOOKUP(D10,Sheet1!E:K,6,FALSE)</f>
        <v>9583532701</v>
      </c>
      <c r="K10" s="17" t="s">
        <v>15</v>
      </c>
      <c r="L10" s="37" t="s">
        <v>3645</v>
      </c>
      <c r="M10" t="s">
        <v>3658</v>
      </c>
    </row>
    <row r="11" spans="1:13">
      <c r="A11" s="17">
        <v>10</v>
      </c>
      <c r="B11" s="17" t="s">
        <v>82</v>
      </c>
      <c r="C11" s="17">
        <v>2022470752</v>
      </c>
      <c r="D11" s="17">
        <v>2201010235</v>
      </c>
      <c r="E11" s="17" t="s">
        <v>1807</v>
      </c>
      <c r="F11" s="17" t="e">
        <f>VLOOKUP(C11,'Fast Track '!B:C,2,FALSE)</f>
        <v>#N/A</v>
      </c>
      <c r="G11" s="17" t="s">
        <v>3716</v>
      </c>
      <c r="H11" s="17" t="s">
        <v>83</v>
      </c>
      <c r="I11" s="17" t="str">
        <f>VLOOKUP(C11,Sheet1!D:J,6,FALSE)</f>
        <v>2022470752.ekhlaque@pt.sharda.ac.in</v>
      </c>
      <c r="J11" s="17" t="str">
        <f>VLOOKUP(D11,Sheet1!E:K,6,FALSE)</f>
        <v>8076579399</v>
      </c>
      <c r="K11" s="17" t="s">
        <v>15</v>
      </c>
      <c r="L11" s="37" t="s">
        <v>3645</v>
      </c>
      <c r="M11" t="s">
        <v>3658</v>
      </c>
    </row>
    <row r="12" spans="1:13">
      <c r="A12" s="17">
        <v>11</v>
      </c>
      <c r="B12" s="17" t="s">
        <v>124</v>
      </c>
      <c r="C12" s="17">
        <v>2022811342</v>
      </c>
      <c r="D12" s="17">
        <v>2201010391</v>
      </c>
      <c r="E12" s="17" t="s">
        <v>1807</v>
      </c>
      <c r="F12" s="17" t="e">
        <f>VLOOKUP(C12,'Fast Track '!B:C,2,FALSE)</f>
        <v>#N/A</v>
      </c>
      <c r="G12" s="17" t="s">
        <v>3717</v>
      </c>
      <c r="H12" s="17" t="s">
        <v>125</v>
      </c>
      <c r="I12" s="17" t="str">
        <f>VLOOKUP(C12,Sheet1!D:J,6,FALSE)</f>
        <v>2022811342.manjur@pt.sharda.ac.in</v>
      </c>
      <c r="J12" s="17" t="str">
        <f>VLOOKUP(D12,Sheet1!E:K,6,FALSE)</f>
        <v>+91 9873842259</v>
      </c>
      <c r="K12" s="17" t="s">
        <v>15</v>
      </c>
      <c r="L12" s="37" t="s">
        <v>3645</v>
      </c>
      <c r="M12" t="s">
        <v>3658</v>
      </c>
    </row>
    <row r="13" spans="1:13">
      <c r="A13" s="17">
        <v>12</v>
      </c>
      <c r="B13" s="17" t="s">
        <v>98</v>
      </c>
      <c r="C13" s="17">
        <v>2022499099</v>
      </c>
      <c r="D13" s="17">
        <v>2201010392</v>
      </c>
      <c r="E13" s="17" t="s">
        <v>1807</v>
      </c>
      <c r="F13" s="17" t="e">
        <f>VLOOKUP(C13,'Fast Track '!B:C,2,FALSE)</f>
        <v>#N/A</v>
      </c>
      <c r="G13" s="17" t="s">
        <v>3718</v>
      </c>
      <c r="H13" s="17" t="s">
        <v>99</v>
      </c>
      <c r="I13" s="17" t="str">
        <f>VLOOKUP(C13,Sheet1!D:J,6,FALSE)</f>
        <v>2022499099.mustak@pt.sharda.ac.in</v>
      </c>
      <c r="J13" s="17" t="str">
        <f>VLOOKUP(D13,Sheet1!E:K,6,FALSE)</f>
        <v>9523464177</v>
      </c>
      <c r="K13" s="17" t="s">
        <v>15</v>
      </c>
      <c r="L13" s="37" t="s">
        <v>3645</v>
      </c>
      <c r="M13" t="s">
        <v>3658</v>
      </c>
    </row>
    <row r="14" spans="1:13">
      <c r="A14" s="17">
        <v>13</v>
      </c>
      <c r="B14" s="17" t="s">
        <v>64</v>
      </c>
      <c r="C14" s="17">
        <v>2022400915</v>
      </c>
      <c r="D14" s="17">
        <v>2201010431</v>
      </c>
      <c r="E14" s="17" t="s">
        <v>1807</v>
      </c>
      <c r="F14" s="17" t="e">
        <f>VLOOKUP(C14,'Fast Track '!B:C,2,FALSE)</f>
        <v>#N/A</v>
      </c>
      <c r="G14" s="17" t="s">
        <v>3719</v>
      </c>
      <c r="H14" s="17" t="s">
        <v>65</v>
      </c>
      <c r="I14" s="17" t="str">
        <f>VLOOKUP(C14,Sheet1!D:J,6,FALSE)</f>
        <v>2022400915.brahamanand@pt.sharda.ac.in</v>
      </c>
      <c r="J14" s="17" t="str">
        <f>VLOOKUP(D14,Sheet1!E:K,6,FALSE)</f>
        <v>7378077197</v>
      </c>
      <c r="K14" s="17" t="s">
        <v>15</v>
      </c>
      <c r="L14" s="37" t="s">
        <v>3645</v>
      </c>
      <c r="M14" t="s">
        <v>3658</v>
      </c>
    </row>
    <row r="15" spans="1:13">
      <c r="A15" s="17">
        <v>14</v>
      </c>
      <c r="B15" s="17" t="s">
        <v>92</v>
      </c>
      <c r="C15" s="17">
        <v>2022492019</v>
      </c>
      <c r="D15" s="17">
        <v>2201010540</v>
      </c>
      <c r="E15" s="17" t="s">
        <v>1807</v>
      </c>
      <c r="F15" s="17" t="e">
        <f>VLOOKUP(C15,'Fast Track '!B:C,2,FALSE)</f>
        <v>#N/A</v>
      </c>
      <c r="G15" s="17" t="s">
        <v>3720</v>
      </c>
      <c r="H15" s="17" t="s">
        <v>93</v>
      </c>
      <c r="I15" s="17" t="str">
        <f>VLOOKUP(C15,Sheet1!D:J,6,FALSE)</f>
        <v>2022492019.nathusingh@pt.sharda.ac.in</v>
      </c>
      <c r="J15" s="17" t="str">
        <f>VLOOKUP(D15,Sheet1!E:K,6,FALSE)</f>
        <v>8882668278</v>
      </c>
      <c r="K15" s="17" t="s">
        <v>15</v>
      </c>
      <c r="L15" s="37" t="s">
        <v>3644</v>
      </c>
      <c r="M15" t="s">
        <v>3659</v>
      </c>
    </row>
    <row r="16" spans="1:13">
      <c r="A16" s="17">
        <v>15</v>
      </c>
      <c r="B16" s="17" t="s">
        <v>111</v>
      </c>
      <c r="C16" s="17">
        <v>2022523416</v>
      </c>
      <c r="D16" s="17">
        <v>2201010550</v>
      </c>
      <c r="E16" s="17" t="s">
        <v>1807</v>
      </c>
      <c r="F16" s="17" t="e">
        <f>VLOOKUP(C16,'Fast Track '!B:C,2,FALSE)</f>
        <v>#N/A</v>
      </c>
      <c r="G16" s="17" t="s">
        <v>3721</v>
      </c>
      <c r="H16" s="17" t="s">
        <v>112</v>
      </c>
      <c r="I16" s="17" t="str">
        <f>VLOOKUP(C16,Sheet1!D:J,6,FALSE)</f>
        <v>2022523416.ramesh@pt.sharda.ac.in</v>
      </c>
      <c r="J16" s="17" t="str">
        <f>VLOOKUP(D16,Sheet1!E:K,6,FALSE)</f>
        <v>8252824437</v>
      </c>
      <c r="K16" s="17" t="s">
        <v>15</v>
      </c>
      <c r="L16" s="37" t="s">
        <v>3645</v>
      </c>
      <c r="M16" t="s">
        <v>3658</v>
      </c>
    </row>
    <row r="17" spans="1:13">
      <c r="A17" s="17">
        <v>16</v>
      </c>
      <c r="B17" s="17" t="s">
        <v>90</v>
      </c>
      <c r="C17" s="17">
        <v>2022487397</v>
      </c>
      <c r="D17" s="17">
        <v>2201010665</v>
      </c>
      <c r="E17" s="17" t="s">
        <v>1807</v>
      </c>
      <c r="F17" s="17" t="e">
        <f>VLOOKUP(C17,'Fast Track '!B:C,2,FALSE)</f>
        <v>#N/A</v>
      </c>
      <c r="G17" s="17" t="s">
        <v>3722</v>
      </c>
      <c r="H17" s="17" t="s">
        <v>91</v>
      </c>
      <c r="I17" s="17" t="str">
        <f>VLOOKUP(C17,Sheet1!D:J,6,FALSE)</f>
        <v>2022487397.harishankar@pt.sharda.ac.in</v>
      </c>
      <c r="J17" s="17" t="str">
        <f>VLOOKUP(D17,Sheet1!E:K,6,FALSE)</f>
        <v>7619898558</v>
      </c>
      <c r="K17" s="17" t="s">
        <v>15</v>
      </c>
      <c r="L17" s="37" t="s">
        <v>3645</v>
      </c>
      <c r="M17" t="s">
        <v>3658</v>
      </c>
    </row>
    <row r="18" spans="1:13">
      <c r="A18" s="17">
        <v>17</v>
      </c>
      <c r="B18" s="17" t="s">
        <v>54</v>
      </c>
      <c r="C18" s="17">
        <v>2022360071</v>
      </c>
      <c r="D18" s="17">
        <v>2201010737</v>
      </c>
      <c r="E18" s="17" t="s">
        <v>1807</v>
      </c>
      <c r="F18" s="17" t="e">
        <f>VLOOKUP(C18,'Fast Track '!B:C,2,FALSE)</f>
        <v>#N/A</v>
      </c>
      <c r="G18" s="17" t="s">
        <v>3723</v>
      </c>
      <c r="H18" s="17" t="s">
        <v>55</v>
      </c>
      <c r="I18" s="17" t="str">
        <f>VLOOKUP(C18,Sheet1!D:J,6,FALSE)</f>
        <v>2022360071.irfan@pt.sharda.ac.in</v>
      </c>
      <c r="J18" s="17" t="str">
        <f>VLOOKUP(D18,Sheet1!E:K,6,FALSE)</f>
        <v>8510981104</v>
      </c>
      <c r="K18" s="17" t="s">
        <v>15</v>
      </c>
      <c r="L18" s="37" t="s">
        <v>3645</v>
      </c>
      <c r="M18" t="s">
        <v>3658</v>
      </c>
    </row>
    <row r="19" spans="1:13">
      <c r="A19" s="17">
        <v>18</v>
      </c>
      <c r="B19" s="17" t="s">
        <v>422</v>
      </c>
      <c r="C19" s="17">
        <v>2022346624</v>
      </c>
      <c r="D19" s="17">
        <v>2201010537</v>
      </c>
      <c r="E19" s="17" t="s">
        <v>1807</v>
      </c>
      <c r="F19" s="17" t="e">
        <f>VLOOKUP(C19,'Fast Track '!B:C,2,FALSE)</f>
        <v>#N/A</v>
      </c>
      <c r="G19" s="17" t="s">
        <v>3724</v>
      </c>
      <c r="H19" s="17" t="s">
        <v>423</v>
      </c>
      <c r="I19" s="17" t="str">
        <f>VLOOKUP(C19,Sheet1!D:J,6,FALSE)</f>
        <v>2022346624.amresh@pt.sharda.ac.in</v>
      </c>
      <c r="J19" s="17" t="str">
        <f>VLOOKUP(D19,Sheet1!E:K,6,FALSE)</f>
        <v>7007466990</v>
      </c>
      <c r="K19" s="17" t="s">
        <v>15</v>
      </c>
      <c r="L19" s="37" t="s">
        <v>3645</v>
      </c>
      <c r="M19" t="s">
        <v>3658</v>
      </c>
    </row>
    <row r="20" spans="1:13">
      <c r="A20" s="17">
        <v>19</v>
      </c>
      <c r="B20" s="17" t="s">
        <v>72</v>
      </c>
      <c r="C20" s="17">
        <v>2022433386</v>
      </c>
      <c r="D20" s="17">
        <v>2201010825</v>
      </c>
      <c r="E20" s="17" t="s">
        <v>1807</v>
      </c>
      <c r="F20" s="17" t="e">
        <f>VLOOKUP(C20,'Fast Track '!B:C,2,FALSE)</f>
        <v>#N/A</v>
      </c>
      <c r="G20" s="17" t="s">
        <v>3725</v>
      </c>
      <c r="H20" s="17" t="s">
        <v>73</v>
      </c>
      <c r="I20" s="17" t="str">
        <f>VLOOKUP(C20,Sheet1!D:J,6,FALSE)</f>
        <v>2022433386.rajeshkumar@pt.sharda.ac.in</v>
      </c>
      <c r="J20" s="17" t="str">
        <f>VLOOKUP(D20,Sheet1!E:K,6,FALSE)</f>
        <v>9054021639</v>
      </c>
      <c r="K20" s="17" t="s">
        <v>15</v>
      </c>
      <c r="L20" s="37" t="s">
        <v>3645</v>
      </c>
      <c r="M20" t="s">
        <v>3658</v>
      </c>
    </row>
    <row r="21" spans="1:13">
      <c r="A21" s="17">
        <v>20</v>
      </c>
      <c r="B21" s="17" t="s">
        <v>45</v>
      </c>
      <c r="C21" s="17">
        <v>2022007676</v>
      </c>
      <c r="D21" s="17">
        <v>2201010856</v>
      </c>
      <c r="E21" s="17" t="s">
        <v>1807</v>
      </c>
      <c r="F21" s="17" t="e">
        <f>VLOOKUP(C21,'Fast Track '!B:C,2,FALSE)</f>
        <v>#N/A</v>
      </c>
      <c r="G21" s="17" t="s">
        <v>3726</v>
      </c>
      <c r="H21" s="17" t="s">
        <v>46</v>
      </c>
      <c r="I21" s="17" t="str">
        <f>VLOOKUP(C21,Sheet1!D:J,6,FALSE)</f>
        <v>2022007676.jamal@pt.sharda.ac.in</v>
      </c>
      <c r="J21" s="17" t="str">
        <f>VLOOKUP(D21,Sheet1!E:K,6,FALSE)</f>
        <v>7827143813</v>
      </c>
      <c r="K21" s="17" t="s">
        <v>15</v>
      </c>
      <c r="L21" s="37" t="s">
        <v>3644</v>
      </c>
      <c r="M21" t="s">
        <v>3659</v>
      </c>
    </row>
    <row r="22" spans="1:13">
      <c r="A22" s="17">
        <v>21</v>
      </c>
      <c r="B22" s="17" t="s">
        <v>122</v>
      </c>
      <c r="C22" s="17">
        <v>2022591296</v>
      </c>
      <c r="D22" s="17">
        <v>2201010887</v>
      </c>
      <c r="E22" s="17" t="s">
        <v>1807</v>
      </c>
      <c r="F22" s="17" t="e">
        <f>VLOOKUP(C22,'Fast Track '!B:C,2,FALSE)</f>
        <v>#N/A</v>
      </c>
      <c r="G22" s="17" t="s">
        <v>3727</v>
      </c>
      <c r="H22" s="17" t="s">
        <v>123</v>
      </c>
      <c r="I22" s="17" t="str">
        <f>VLOOKUP(C22,Sheet1!D:J,6,FALSE)</f>
        <v>2022591296.radhakrishna@pt.sharda.ac.in</v>
      </c>
      <c r="J22" s="17" t="str">
        <f>VLOOKUP(D22,Sheet1!E:K,6,FALSE)</f>
        <v>9398191226</v>
      </c>
      <c r="K22" s="17" t="s">
        <v>15</v>
      </c>
      <c r="L22" s="37" t="s">
        <v>3645</v>
      </c>
      <c r="M22" t="s">
        <v>3658</v>
      </c>
    </row>
    <row r="23" spans="1:13">
      <c r="A23" s="17">
        <v>22</v>
      </c>
      <c r="B23" s="17" t="s">
        <v>141</v>
      </c>
      <c r="C23" s="17">
        <v>2022539291</v>
      </c>
      <c r="D23" s="17">
        <v>2201010030</v>
      </c>
      <c r="E23" s="17" t="s">
        <v>1807</v>
      </c>
      <c r="F23" s="17" t="e">
        <f>VLOOKUP(C23,'Fast Track '!B:C,2,FALSE)</f>
        <v>#N/A</v>
      </c>
      <c r="G23" s="17" t="s">
        <v>3728</v>
      </c>
      <c r="H23" s="17" t="s">
        <v>142</v>
      </c>
      <c r="I23" s="17" t="str">
        <f>VLOOKUP(C23,Sheet1!D:J,6,FALSE)</f>
        <v>2022539291.binodkumar@pt.sharda.ac.in</v>
      </c>
      <c r="J23" s="17" t="str">
        <f>VLOOKUP(D23,Sheet1!E:K,6,FALSE)</f>
        <v>9310107899</v>
      </c>
      <c r="K23" s="17" t="s">
        <v>15</v>
      </c>
      <c r="L23" s="37" t="s">
        <v>3645</v>
      </c>
      <c r="M23" t="s">
        <v>3658</v>
      </c>
    </row>
    <row r="24" spans="1:13">
      <c r="A24" s="17">
        <v>23</v>
      </c>
      <c r="B24" s="17" t="s">
        <v>211</v>
      </c>
      <c r="C24" s="17">
        <v>2022508626</v>
      </c>
      <c r="D24" s="17">
        <v>2201010032</v>
      </c>
      <c r="E24" s="17" t="s">
        <v>1807</v>
      </c>
      <c r="F24" s="17" t="e">
        <f>VLOOKUP(C24,'Fast Track '!B:C,2,FALSE)</f>
        <v>#N/A</v>
      </c>
      <c r="G24" s="17" t="s">
        <v>3729</v>
      </c>
      <c r="H24" s="17" t="s">
        <v>212</v>
      </c>
      <c r="I24" s="17" t="str">
        <f>VLOOKUP(C24,Sheet1!D:J,6,FALSE)</f>
        <v>2022508626.harendrakumar@pt.sharda.ac.in</v>
      </c>
      <c r="J24" s="17" t="str">
        <f>VLOOKUP(D24,Sheet1!E:K,6,FALSE)</f>
        <v>8734821969</v>
      </c>
      <c r="K24" s="17" t="s">
        <v>15</v>
      </c>
      <c r="L24" s="37" t="s">
        <v>3645</v>
      </c>
      <c r="M24" t="s">
        <v>3658</v>
      </c>
    </row>
    <row r="25" spans="1:13">
      <c r="A25" s="17">
        <v>24</v>
      </c>
      <c r="B25" s="17" t="s">
        <v>219</v>
      </c>
      <c r="C25" s="17">
        <v>2022558776</v>
      </c>
      <c r="D25" s="17">
        <v>2201010050</v>
      </c>
      <c r="E25" s="17" t="s">
        <v>1807</v>
      </c>
      <c r="F25" s="17" t="e">
        <f>VLOOKUP(C25,'Fast Track '!B:C,2,FALSE)</f>
        <v>#N/A</v>
      </c>
      <c r="G25" s="17" t="s">
        <v>3730</v>
      </c>
      <c r="H25" s="17" t="s">
        <v>220</v>
      </c>
      <c r="I25" s="17" t="str">
        <f>VLOOKUP(C25,Sheet1!D:J,6,FALSE)</f>
        <v>2022558776.anoop@pt.sharda.ac.in</v>
      </c>
      <c r="J25" s="17" t="str">
        <f>VLOOKUP(D25,Sheet1!E:K,6,FALSE)</f>
        <v>7455836193</v>
      </c>
      <c r="K25" s="17" t="s">
        <v>15</v>
      </c>
      <c r="L25" s="37" t="s">
        <v>3645</v>
      </c>
      <c r="M25" t="s">
        <v>3658</v>
      </c>
    </row>
    <row r="26" spans="1:13">
      <c r="A26" s="17">
        <v>25</v>
      </c>
      <c r="B26" s="17" t="s">
        <v>197</v>
      </c>
      <c r="C26" s="17">
        <v>2022476104</v>
      </c>
      <c r="D26" s="17">
        <v>2201010058</v>
      </c>
      <c r="E26" s="17" t="s">
        <v>1807</v>
      </c>
      <c r="F26" s="17" t="e">
        <f>VLOOKUP(C26,'Fast Track '!B:C,2,FALSE)</f>
        <v>#N/A</v>
      </c>
      <c r="G26" s="17" t="s">
        <v>3731</v>
      </c>
      <c r="H26" s="17" t="s">
        <v>198</v>
      </c>
      <c r="I26" s="17" t="str">
        <f>VLOOKUP(C26,Sheet1!D:J,6,FALSE)</f>
        <v>2022476104.gaurishankar@pt.sharda.ac.in</v>
      </c>
      <c r="J26" s="17" t="str">
        <f>VLOOKUP(D26,Sheet1!E:K,6,FALSE)</f>
        <v>9162384894</v>
      </c>
      <c r="K26" s="17" t="s">
        <v>15</v>
      </c>
      <c r="L26" s="37" t="s">
        <v>3645</v>
      </c>
      <c r="M26" t="s">
        <v>3658</v>
      </c>
    </row>
    <row r="27" spans="1:13">
      <c r="A27" s="17">
        <v>26</v>
      </c>
      <c r="B27" s="17" t="s">
        <v>122</v>
      </c>
      <c r="C27" s="17">
        <v>2022511918</v>
      </c>
      <c r="D27" s="17">
        <v>2201010090</v>
      </c>
      <c r="E27" s="17" t="s">
        <v>1807</v>
      </c>
      <c r="F27" s="17" t="e">
        <f>VLOOKUP(C27,'Fast Track '!B:C,2,FALSE)</f>
        <v>#N/A</v>
      </c>
      <c r="G27" s="17" t="s">
        <v>3732</v>
      </c>
      <c r="H27" s="17" t="s">
        <v>140</v>
      </c>
      <c r="I27" s="17" t="str">
        <f>VLOOKUP(C27,Sheet1!D:J,6,FALSE)</f>
        <v>2022511918.arvindkumar@pt.sharda.ac.in</v>
      </c>
      <c r="J27" s="17" t="str">
        <f>VLOOKUP(D27,Sheet1!E:K,6,FALSE)</f>
        <v>8881122192</v>
      </c>
      <c r="K27" s="17" t="s">
        <v>15</v>
      </c>
      <c r="L27" s="37" t="s">
        <v>3644</v>
      </c>
      <c r="M27" t="s">
        <v>3659</v>
      </c>
    </row>
    <row r="28" spans="1:13">
      <c r="A28" s="17">
        <v>27</v>
      </c>
      <c r="B28" s="17" t="s">
        <v>189</v>
      </c>
      <c r="C28" s="17">
        <v>2022407716</v>
      </c>
      <c r="D28" s="17">
        <v>2201010097</v>
      </c>
      <c r="E28" s="17" t="s">
        <v>1807</v>
      </c>
      <c r="F28" s="17" t="e">
        <f>VLOOKUP(C28,'Fast Track '!B:C,2,FALSE)</f>
        <v>#N/A</v>
      </c>
      <c r="G28" s="17" t="s">
        <v>3733</v>
      </c>
      <c r="H28" s="17" t="s">
        <v>190</v>
      </c>
      <c r="I28" s="17" t="str">
        <f>VLOOKUP(C28,Sheet1!D:J,6,FALSE)</f>
        <v>2022407716.naresh@pt.sharda.ac.in</v>
      </c>
      <c r="J28" s="17" t="str">
        <f>VLOOKUP(D28,Sheet1!E:K,6,FALSE)</f>
        <v>7903369953</v>
      </c>
      <c r="K28" s="17" t="s">
        <v>15</v>
      </c>
      <c r="L28" s="37" t="s">
        <v>3645</v>
      </c>
      <c r="M28" t="s">
        <v>3658</v>
      </c>
    </row>
    <row r="29" spans="1:13">
      <c r="A29" s="17">
        <v>28</v>
      </c>
      <c r="B29" s="17" t="s">
        <v>469</v>
      </c>
      <c r="C29" s="17">
        <v>2022501361</v>
      </c>
      <c r="D29" s="17">
        <v>2201010601</v>
      </c>
      <c r="E29" s="17" t="s">
        <v>1807</v>
      </c>
      <c r="F29" s="17" t="e">
        <f>VLOOKUP(C29,'Fast Track '!B:C,2,FALSE)</f>
        <v>#N/A</v>
      </c>
      <c r="G29" s="17" t="s">
        <v>3734</v>
      </c>
      <c r="H29" s="17" t="s">
        <v>470</v>
      </c>
      <c r="I29" s="17" t="str">
        <f>VLOOKUP(C29,Sheet1!D:J,6,FALSE)</f>
        <v>2022501361.rajiv@pt.sharda.ac.in</v>
      </c>
      <c r="J29" s="17" t="str">
        <f>VLOOKUP(D29,Sheet1!E:K,6,FALSE)</f>
        <v>8809669347</v>
      </c>
      <c r="K29" s="17" t="s">
        <v>15</v>
      </c>
      <c r="L29" s="37" t="s">
        <v>3645</v>
      </c>
      <c r="M29" t="s">
        <v>3658</v>
      </c>
    </row>
    <row r="30" spans="1:13">
      <c r="A30" s="17">
        <v>29</v>
      </c>
      <c r="B30" s="17" t="s">
        <v>201</v>
      </c>
      <c r="C30" s="17">
        <v>2022484200</v>
      </c>
      <c r="D30" s="17">
        <v>2201010156</v>
      </c>
      <c r="E30" s="17" t="s">
        <v>1807</v>
      </c>
      <c r="F30" s="17" t="e">
        <f>VLOOKUP(C30,'Fast Track '!B:C,2,FALSE)</f>
        <v>#N/A</v>
      </c>
      <c r="G30" s="17" t="s">
        <v>3735</v>
      </c>
      <c r="H30" s="17" t="s">
        <v>202</v>
      </c>
      <c r="I30" s="17" t="str">
        <f>VLOOKUP(C30,Sheet1!D:J,6,FALSE)</f>
        <v>2022484200.chandra@pt.sharda.ac.in</v>
      </c>
      <c r="J30" s="17" t="str">
        <f>VLOOKUP(D30,Sheet1!E:K,6,FALSE)</f>
        <v>8588846755</v>
      </c>
      <c r="K30" s="17" t="s">
        <v>15</v>
      </c>
      <c r="L30" s="37" t="s">
        <v>3645</v>
      </c>
      <c r="M30" t="s">
        <v>3658</v>
      </c>
    </row>
    <row r="31" spans="1:13">
      <c r="A31" s="17">
        <v>30</v>
      </c>
      <c r="B31" s="17" t="s">
        <v>137</v>
      </c>
      <c r="C31" s="17">
        <v>2022506998</v>
      </c>
      <c r="D31" s="17">
        <v>2201010247</v>
      </c>
      <c r="E31" s="17" t="s">
        <v>1807</v>
      </c>
      <c r="F31" s="17" t="e">
        <f>VLOOKUP(C31,'Fast Track '!B:C,2,FALSE)</f>
        <v>#N/A</v>
      </c>
      <c r="G31" s="17" t="s">
        <v>3736</v>
      </c>
      <c r="H31" s="17" t="s">
        <v>138</v>
      </c>
      <c r="I31" s="17" t="str">
        <f>VLOOKUP(C31,Sheet1!D:J,6,FALSE)</f>
        <v>2022506998.ganeshprasad@pt.sharda.ac.in</v>
      </c>
      <c r="J31" s="17" t="str">
        <f>VLOOKUP(D31,Sheet1!E:K,6,FALSE)</f>
        <v>8126368250</v>
      </c>
      <c r="K31" s="17" t="s">
        <v>15</v>
      </c>
      <c r="L31" s="37" t="s">
        <v>3645</v>
      </c>
      <c r="M31" t="s">
        <v>3658</v>
      </c>
    </row>
    <row r="32" spans="1:13">
      <c r="A32" s="17">
        <v>31</v>
      </c>
      <c r="B32" s="17" t="s">
        <v>152</v>
      </c>
      <c r="C32" s="17">
        <v>2022006162</v>
      </c>
      <c r="D32" s="17">
        <v>2201010279</v>
      </c>
      <c r="E32" s="17" t="s">
        <v>1807</v>
      </c>
      <c r="F32" s="17" t="e">
        <f>VLOOKUP(C32,'Fast Track '!B:C,2,FALSE)</f>
        <v>#N/A</v>
      </c>
      <c r="G32" s="17" t="s">
        <v>3737</v>
      </c>
      <c r="H32" s="17" t="s">
        <v>153</v>
      </c>
      <c r="I32" s="17" t="str">
        <f>VLOOKUP(C32,Sheet1!D:J,6,FALSE)</f>
        <v>2022006162.sanjeev@pt.sharda.ac.in</v>
      </c>
      <c r="J32" s="17" t="str">
        <f>VLOOKUP(D32,Sheet1!E:K,6,FALSE)</f>
        <v>7249903144</v>
      </c>
      <c r="K32" s="17" t="s">
        <v>15</v>
      </c>
      <c r="L32" s="37" t="s">
        <v>3645</v>
      </c>
      <c r="M32" t="s">
        <v>3658</v>
      </c>
    </row>
    <row r="33" spans="1:13">
      <c r="A33" s="17">
        <v>32</v>
      </c>
      <c r="B33" s="17" t="s">
        <v>229</v>
      </c>
      <c r="C33" s="17">
        <v>2022570019</v>
      </c>
      <c r="D33" s="17">
        <v>2201010293</v>
      </c>
      <c r="E33" s="17" t="s">
        <v>1807</v>
      </c>
      <c r="F33" s="17" t="e">
        <f>VLOOKUP(C33,'Fast Track '!B:C,2,FALSE)</f>
        <v>#N/A</v>
      </c>
      <c r="G33" s="17" t="s">
        <v>3738</v>
      </c>
      <c r="H33" s="17" t="s">
        <v>230</v>
      </c>
      <c r="I33" s="17" t="str">
        <f>VLOOKUP(C33,Sheet1!D:J,6,FALSE)</f>
        <v>2022570019.naveen@pt.sharda.ac.in</v>
      </c>
      <c r="J33" s="17" t="str">
        <f>VLOOKUP(D33,Sheet1!E:K,6,FALSE)</f>
        <v>7454817315</v>
      </c>
      <c r="K33" s="17" t="s">
        <v>15</v>
      </c>
      <c r="L33" s="37" t="s">
        <v>3644</v>
      </c>
      <c r="M33" t="s">
        <v>3659</v>
      </c>
    </row>
    <row r="34" spans="1:13">
      <c r="A34" s="17">
        <v>33</v>
      </c>
      <c r="B34" s="17" t="s">
        <v>233</v>
      </c>
      <c r="C34" s="17">
        <v>2022582150</v>
      </c>
      <c r="D34" s="17">
        <v>2201010304</v>
      </c>
      <c r="E34" s="17" t="s">
        <v>1807</v>
      </c>
      <c r="F34" s="17" t="e">
        <f>VLOOKUP(C34,'Fast Track '!B:C,2,FALSE)</f>
        <v>#N/A</v>
      </c>
      <c r="G34" s="17" t="s">
        <v>3739</v>
      </c>
      <c r="H34" s="17" t="s">
        <v>234</v>
      </c>
      <c r="I34" s="17" t="str">
        <f>VLOOKUP(C34,Sheet1!D:J,6,FALSE)</f>
        <v>2022582150.jagbir@pt.sharda.ac.in</v>
      </c>
      <c r="J34" s="17" t="str">
        <f>VLOOKUP(D34,Sheet1!E:K,6,FALSE)</f>
        <v>9588522558</v>
      </c>
      <c r="K34" s="17" t="s">
        <v>15</v>
      </c>
      <c r="L34" s="37" t="s">
        <v>3644</v>
      </c>
      <c r="M34" t="s">
        <v>3659</v>
      </c>
    </row>
    <row r="35" spans="1:13">
      <c r="A35" s="17">
        <v>34</v>
      </c>
      <c r="B35" s="17" t="s">
        <v>185</v>
      </c>
      <c r="C35" s="17">
        <v>2022359778</v>
      </c>
      <c r="D35" s="17">
        <v>2201010340</v>
      </c>
      <c r="E35" s="17" t="s">
        <v>1807</v>
      </c>
      <c r="F35" s="17" t="e">
        <f>VLOOKUP(C35,'Fast Track '!B:C,2,FALSE)</f>
        <v>#N/A</v>
      </c>
      <c r="G35" s="17" t="s">
        <v>3740</v>
      </c>
      <c r="H35" s="17" t="s">
        <v>186</v>
      </c>
      <c r="I35" s="17" t="str">
        <f>VLOOKUP(C35,Sheet1!D:J,6,FALSE)</f>
        <v>2022359778.navin@pt.sharda.ac.in</v>
      </c>
      <c r="J35" s="17" t="str">
        <f>VLOOKUP(D35,Sheet1!E:K,6,FALSE)</f>
        <v>7701935118</v>
      </c>
      <c r="K35" s="17" t="s">
        <v>15</v>
      </c>
      <c r="L35" s="37" t="s">
        <v>3644</v>
      </c>
      <c r="M35" t="s">
        <v>3659</v>
      </c>
    </row>
    <row r="36" spans="1:13">
      <c r="A36" s="17">
        <v>35</v>
      </c>
      <c r="B36" s="17" t="s">
        <v>158</v>
      </c>
      <c r="C36" s="17">
        <v>2022006582</v>
      </c>
      <c r="D36" s="17">
        <v>2201010354</v>
      </c>
      <c r="E36" s="17" t="s">
        <v>1807</v>
      </c>
      <c r="F36" s="17" t="e">
        <f>VLOOKUP(C36,'Fast Track '!B:C,2,FALSE)</f>
        <v>#N/A</v>
      </c>
      <c r="G36" s="17" t="s">
        <v>3741</v>
      </c>
      <c r="H36" s="17" t="s">
        <v>159</v>
      </c>
      <c r="I36" s="17" t="str">
        <f>VLOOKUP(C36,Sheet1!D:J,6,FALSE)</f>
        <v>2022006582.shashikant@pt.sharda.ac.in</v>
      </c>
      <c r="J36" s="17" t="str">
        <f>VLOOKUP(D36,Sheet1!E:K,6,FALSE)</f>
        <v>7568023948</v>
      </c>
      <c r="K36" s="17" t="s">
        <v>15</v>
      </c>
      <c r="L36" s="37" t="s">
        <v>3644</v>
      </c>
      <c r="M36" t="s">
        <v>3659</v>
      </c>
    </row>
    <row r="37" spans="1:13">
      <c r="A37" s="17">
        <v>36</v>
      </c>
      <c r="B37" s="17" t="s">
        <v>247</v>
      </c>
      <c r="C37" s="17">
        <v>2022831935</v>
      </c>
      <c r="D37" s="17">
        <v>2201010404</v>
      </c>
      <c r="E37" s="17" t="s">
        <v>1807</v>
      </c>
      <c r="F37" s="17" t="e">
        <f>VLOOKUP(C37,'Fast Track '!B:C,2,FALSE)</f>
        <v>#N/A</v>
      </c>
      <c r="G37" s="17" t="s">
        <v>3742</v>
      </c>
      <c r="H37" s="17" t="s">
        <v>248</v>
      </c>
      <c r="I37" s="17" t="str">
        <f>VLOOKUP(C37,Sheet1!D:J,6,FALSE)</f>
        <v>2022831935.khemnath@pt.sharda.ac.in</v>
      </c>
      <c r="J37" s="17" t="str">
        <f>VLOOKUP(D37,Sheet1!E:K,6,FALSE)</f>
        <v>91 8293135088</v>
      </c>
      <c r="K37" s="17" t="s">
        <v>15</v>
      </c>
      <c r="L37" s="37" t="s">
        <v>3644</v>
      </c>
      <c r="M37" t="s">
        <v>3659</v>
      </c>
    </row>
    <row r="38" spans="1:13">
      <c r="A38" s="17">
        <v>37</v>
      </c>
      <c r="B38" s="17" t="s">
        <v>448</v>
      </c>
      <c r="C38" s="17">
        <v>2022452725</v>
      </c>
      <c r="D38" s="17">
        <v>2201010603</v>
      </c>
      <c r="E38" s="17" t="s">
        <v>1807</v>
      </c>
      <c r="F38" s="17" t="e">
        <f>VLOOKUP(C38,'Fast Track '!B:C,2,FALSE)</f>
        <v>#N/A</v>
      </c>
      <c r="G38" s="17" t="s">
        <v>3743</v>
      </c>
      <c r="H38" s="17" t="s">
        <v>449</v>
      </c>
      <c r="I38" s="17" t="str">
        <f>VLOOKUP(C38,Sheet1!D:J,6,FALSE)</f>
        <v>2022452725.rajendra@pt.sharda.ac.in</v>
      </c>
      <c r="J38" s="17" t="str">
        <f>VLOOKUP(D38,Sheet1!E:K,6,FALSE)</f>
        <v>9627722971</v>
      </c>
      <c r="K38" s="17" t="s">
        <v>15</v>
      </c>
      <c r="L38" s="37" t="s">
        <v>3644</v>
      </c>
      <c r="M38" t="s">
        <v>3659</v>
      </c>
    </row>
    <row r="39" spans="1:13">
      <c r="A39" s="17">
        <v>38</v>
      </c>
      <c r="B39" s="17" t="s">
        <v>164</v>
      </c>
      <c r="C39" s="17">
        <v>2022006799</v>
      </c>
      <c r="D39" s="17">
        <v>2201010456</v>
      </c>
      <c r="E39" s="17" t="s">
        <v>1807</v>
      </c>
      <c r="F39" s="17" t="e">
        <f>VLOOKUP(C39,'Fast Track '!B:C,2,FALSE)</f>
        <v>#N/A</v>
      </c>
      <c r="G39" s="17" t="s">
        <v>3744</v>
      </c>
      <c r="H39" s="17" t="s">
        <v>165</v>
      </c>
      <c r="I39" s="17" t="str">
        <f>VLOOKUP(C39,Sheet1!D:J,6,FALSE)</f>
        <v>2022006799.satyanarayan@pt.sharda.ac.in</v>
      </c>
      <c r="J39" s="17" t="str">
        <f>VLOOKUP(D39,Sheet1!E:K,6,FALSE)</f>
        <v>7033787816</v>
      </c>
      <c r="K39" s="17" t="s">
        <v>15</v>
      </c>
      <c r="L39" s="37" t="s">
        <v>3644</v>
      </c>
      <c r="M39" t="s">
        <v>3659</v>
      </c>
    </row>
    <row r="40" spans="1:13">
      <c r="A40" s="17">
        <v>39</v>
      </c>
      <c r="B40" s="17" t="s">
        <v>143</v>
      </c>
      <c r="C40" s="17">
        <v>2022559558</v>
      </c>
      <c r="D40" s="17">
        <v>2201010530</v>
      </c>
      <c r="E40" s="17" t="s">
        <v>1807</v>
      </c>
      <c r="F40" s="17" t="e">
        <f>VLOOKUP(C40,'Fast Track '!B:C,2,FALSE)</f>
        <v>#N/A</v>
      </c>
      <c r="G40" s="17" t="s">
        <v>3745</v>
      </c>
      <c r="H40" s="17" t="s">
        <v>144</v>
      </c>
      <c r="I40" s="17" t="str">
        <f>VLOOKUP(C40,Sheet1!D:J,6,FALSE)</f>
        <v>2022559558.triloksingh@pt.sharda.ac.in</v>
      </c>
      <c r="J40" s="17" t="str">
        <f>VLOOKUP(D40,Sheet1!E:K,6,FALSE)</f>
        <v>6396950928</v>
      </c>
      <c r="K40" s="17" t="s">
        <v>15</v>
      </c>
      <c r="L40" s="37" t="s">
        <v>3644</v>
      </c>
      <c r="M40" t="s">
        <v>3659</v>
      </c>
    </row>
    <row r="41" spans="1:13">
      <c r="A41" s="17">
        <v>40</v>
      </c>
      <c r="B41" s="17" t="s">
        <v>195</v>
      </c>
      <c r="C41" s="17">
        <v>2022446209</v>
      </c>
      <c r="D41" s="17">
        <v>2201010565</v>
      </c>
      <c r="E41" s="17" t="s">
        <v>1807</v>
      </c>
      <c r="F41" s="17" t="e">
        <f>VLOOKUP(C41,'Fast Track '!B:C,2,FALSE)</f>
        <v>#N/A</v>
      </c>
      <c r="G41" s="17" t="s">
        <v>3746</v>
      </c>
      <c r="H41" s="17" t="s">
        <v>196</v>
      </c>
      <c r="I41" s="17" t="str">
        <f>VLOOKUP(C41,Sheet1!D:J,6,FALSE)</f>
        <v>2022446209.saleemakhtar@pt.sharda.ac.in</v>
      </c>
      <c r="J41" s="17" t="str">
        <f>VLOOKUP(D41,Sheet1!E:K,6,FALSE)</f>
        <v>7906944241</v>
      </c>
      <c r="K41" s="17" t="s">
        <v>15</v>
      </c>
      <c r="L41" s="37" t="s">
        <v>3644</v>
      </c>
      <c r="M41" t="s">
        <v>3659</v>
      </c>
    </row>
    <row r="42" spans="1:13">
      <c r="A42" s="17">
        <v>41</v>
      </c>
      <c r="B42" s="17" t="s">
        <v>245</v>
      </c>
      <c r="C42" s="17">
        <v>2022829568</v>
      </c>
      <c r="D42" s="17">
        <v>2201010568</v>
      </c>
      <c r="E42" s="17" t="s">
        <v>1807</v>
      </c>
      <c r="F42" s="17" t="e">
        <f>VLOOKUP(C42,'Fast Track '!B:C,2,FALSE)</f>
        <v>#N/A</v>
      </c>
      <c r="G42" s="17" t="s">
        <v>3747</v>
      </c>
      <c r="H42" s="17" t="s">
        <v>246</v>
      </c>
      <c r="I42" s="17" t="str">
        <f>VLOOKUP(C42,Sheet1!D:J,6,FALSE)</f>
        <v>2022829568.gopalprasad@pt.sharda.ac.in</v>
      </c>
      <c r="J42" s="17" t="str">
        <f>VLOOKUP(D42,Sheet1!E:K,6,FALSE)</f>
        <v>9812872299</v>
      </c>
      <c r="K42" s="17" t="s">
        <v>15</v>
      </c>
      <c r="L42" s="37" t="s">
        <v>3644</v>
      </c>
      <c r="M42" t="s">
        <v>3659</v>
      </c>
    </row>
    <row r="43" spans="1:13">
      <c r="A43" s="17">
        <v>42</v>
      </c>
      <c r="B43" s="17" t="s">
        <v>239</v>
      </c>
      <c r="C43" s="17">
        <v>2022818891</v>
      </c>
      <c r="D43" s="17">
        <v>2201010617</v>
      </c>
      <c r="E43" s="17" t="s">
        <v>1807</v>
      </c>
      <c r="F43" s="17" t="e">
        <f>VLOOKUP(C43,'Fast Track '!B:C,2,FALSE)</f>
        <v>#N/A</v>
      </c>
      <c r="G43" s="17" t="s">
        <v>3748</v>
      </c>
      <c r="H43" s="17" t="s">
        <v>240</v>
      </c>
      <c r="I43" s="17" t="str">
        <f>VLOOKUP(C43,Sheet1!D:J,6,FALSE)</f>
        <v>2022818891.binodkumar@pt.sharda.ac.in</v>
      </c>
      <c r="J43" s="17" t="str">
        <f>VLOOKUP(D43,Sheet1!E:K,6,FALSE)</f>
        <v>9335394969</v>
      </c>
      <c r="K43" s="17" t="s">
        <v>15</v>
      </c>
      <c r="L43" s="37" t="s">
        <v>3644</v>
      </c>
      <c r="M43" t="s">
        <v>3659</v>
      </c>
    </row>
    <row r="44" spans="1:13">
      <c r="A44" s="17">
        <v>43</v>
      </c>
      <c r="B44" s="17" t="s">
        <v>207</v>
      </c>
      <c r="C44" s="17">
        <v>2022502747</v>
      </c>
      <c r="D44" s="17">
        <v>2201010642</v>
      </c>
      <c r="E44" s="17" t="s">
        <v>1807</v>
      </c>
      <c r="F44" s="17" t="e">
        <f>VLOOKUP(C44,'Fast Track '!B:C,2,FALSE)</f>
        <v>#N/A</v>
      </c>
      <c r="G44" s="17" t="s">
        <v>3749</v>
      </c>
      <c r="H44" s="17" t="s">
        <v>208</v>
      </c>
      <c r="I44" s="17" t="str">
        <f>VLOOKUP(C44,Sheet1!D:J,6,FALSE)</f>
        <v>2022502747.vikram@pt.sharda.ac.in</v>
      </c>
      <c r="J44" s="17" t="str">
        <f>VLOOKUP(D44,Sheet1!E:K,6,FALSE)</f>
        <v>8881431450</v>
      </c>
      <c r="K44" s="17" t="s">
        <v>15</v>
      </c>
      <c r="L44" s="37" t="s">
        <v>3644</v>
      </c>
      <c r="M44" t="s">
        <v>3659</v>
      </c>
    </row>
    <row r="45" spans="1:13">
      <c r="A45" s="17">
        <v>44</v>
      </c>
      <c r="B45" s="17" t="s">
        <v>162</v>
      </c>
      <c r="C45" s="17">
        <v>2022006694</v>
      </c>
      <c r="D45" s="17">
        <v>2201010660</v>
      </c>
      <c r="E45" s="17" t="s">
        <v>1807</v>
      </c>
      <c r="F45" s="17" t="e">
        <f>VLOOKUP(C45,'Fast Track '!B:C,2,FALSE)</f>
        <v>#N/A</v>
      </c>
      <c r="G45" s="17" t="s">
        <v>3750</v>
      </c>
      <c r="H45" s="17" t="s">
        <v>163</v>
      </c>
      <c r="I45" s="17" t="str">
        <f>VLOOKUP(C45,Sheet1!D:J,6,FALSE)</f>
        <v>2022006694.manojkumar@pt.sharda.ac.in</v>
      </c>
      <c r="J45" s="17" t="str">
        <f>VLOOKUP(D45,Sheet1!E:K,6,FALSE)</f>
        <v>8081669849</v>
      </c>
      <c r="K45" s="17" t="s">
        <v>15</v>
      </c>
      <c r="L45" s="37" t="s">
        <v>3644</v>
      </c>
      <c r="M45" t="s">
        <v>3659</v>
      </c>
    </row>
    <row r="46" spans="1:13">
      <c r="A46" s="17">
        <v>45</v>
      </c>
      <c r="B46" s="17" t="s">
        <v>166</v>
      </c>
      <c r="C46" s="17">
        <v>2022006868</v>
      </c>
      <c r="D46" s="17">
        <v>2201010673</v>
      </c>
      <c r="E46" s="17" t="s">
        <v>1807</v>
      </c>
      <c r="F46" s="17" t="e">
        <f>VLOOKUP(C2,'Fast Track '!B:C,2,FALSE)</f>
        <v>#N/A</v>
      </c>
      <c r="G46" s="17" t="s">
        <v>3751</v>
      </c>
      <c r="H46" s="17" t="s">
        <v>167</v>
      </c>
      <c r="I46" s="17" t="str">
        <f>VLOOKUP(C46,Sheet1!D:J,6,FALSE)</f>
        <v>2022006868.sanjeev@pt.sharda.ac.in</v>
      </c>
      <c r="J46" s="17" t="str">
        <f>VLOOKUP(D46,Sheet1!E:K,6,FALSE)</f>
        <v>7644822120</v>
      </c>
      <c r="K46" s="17" t="s">
        <v>15</v>
      </c>
      <c r="L46" s="37" t="s">
        <v>3644</v>
      </c>
      <c r="M46" t="s">
        <v>3659</v>
      </c>
    </row>
    <row r="47" spans="1:13">
      <c r="A47" s="17">
        <v>46</v>
      </c>
      <c r="B47" s="17" t="s">
        <v>135</v>
      </c>
      <c r="C47" s="17">
        <v>2022338616</v>
      </c>
      <c r="D47" s="17">
        <v>2201010695</v>
      </c>
      <c r="E47" s="17" t="s">
        <v>1807</v>
      </c>
      <c r="F47" s="17"/>
      <c r="G47" s="17" t="s">
        <v>3752</v>
      </c>
      <c r="H47" s="17" t="s">
        <v>136</v>
      </c>
      <c r="I47" s="17" t="str">
        <f>VLOOKUP(C47,Sheet1!D:J,6,FALSE)</f>
        <v>2022338616.manoj@pt.sharda.ac.in</v>
      </c>
      <c r="J47" s="17" t="str">
        <f>VLOOKUP(D47,Sheet1!E:K,6,FALSE)</f>
        <v>7827186921</v>
      </c>
      <c r="K47" s="17" t="s">
        <v>15</v>
      </c>
      <c r="L47" s="37" t="s">
        <v>3644</v>
      </c>
      <c r="M47" t="s">
        <v>3659</v>
      </c>
    </row>
    <row r="48" spans="1:13">
      <c r="A48" s="17">
        <v>47</v>
      </c>
      <c r="B48" s="17" t="s">
        <v>213</v>
      </c>
      <c r="C48" s="17">
        <v>2022508695</v>
      </c>
      <c r="D48" s="17">
        <v>2201010720</v>
      </c>
      <c r="E48" s="17" t="s">
        <v>1807</v>
      </c>
      <c r="F48" s="17"/>
      <c r="G48" s="17" t="s">
        <v>3753</v>
      </c>
      <c r="H48" s="17" t="s">
        <v>214</v>
      </c>
      <c r="I48" s="17" t="str">
        <f>VLOOKUP(C48,Sheet1!D:J,6,FALSE)</f>
        <v>2022508695.omprakash@pt.sharda.ac.in</v>
      </c>
      <c r="J48" s="17" t="str">
        <f>VLOOKUP(D48,Sheet1!E:K,6,FALSE)</f>
        <v>9548741286</v>
      </c>
      <c r="K48" s="17" t="s">
        <v>15</v>
      </c>
      <c r="L48" s="37" t="s">
        <v>3644</v>
      </c>
      <c r="M48" t="s">
        <v>3659</v>
      </c>
    </row>
    <row r="49" spans="1:13">
      <c r="A49" s="17">
        <v>48</v>
      </c>
      <c r="B49" s="17" t="s">
        <v>430</v>
      </c>
      <c r="C49" s="17">
        <v>2022404783</v>
      </c>
      <c r="D49" s="17">
        <v>2201010679</v>
      </c>
      <c r="E49" s="17" t="s">
        <v>1807</v>
      </c>
      <c r="F49" s="17"/>
      <c r="G49" s="17" t="s">
        <v>3754</v>
      </c>
      <c r="H49" s="17" t="s">
        <v>431</v>
      </c>
      <c r="I49" s="17" t="str">
        <f>VLOOKUP(C49,Sheet1!D:J,6,FALSE)</f>
        <v>2022404783.sudhirkumar@pt.sharda.ac.in</v>
      </c>
      <c r="J49" s="17" t="str">
        <f>VLOOKUP(D49,Sheet1!E:K,6,FALSE)</f>
        <v>8979566862</v>
      </c>
      <c r="K49" s="17" t="s">
        <v>15</v>
      </c>
      <c r="L49" s="37" t="s">
        <v>3644</v>
      </c>
      <c r="M49" t="s">
        <v>3659</v>
      </c>
    </row>
    <row r="50" spans="1:13">
      <c r="A50" s="17">
        <v>49</v>
      </c>
      <c r="B50" s="17" t="s">
        <v>172</v>
      </c>
      <c r="C50" s="17">
        <v>2022007342</v>
      </c>
      <c r="D50" s="17">
        <v>2201010845</v>
      </c>
      <c r="E50" s="17" t="s">
        <v>1807</v>
      </c>
      <c r="F50" s="17"/>
      <c r="G50" s="17" t="s">
        <v>3755</v>
      </c>
      <c r="H50" s="17" t="s">
        <v>173</v>
      </c>
      <c r="I50" s="17" t="str">
        <f>VLOOKUP(C50,Sheet1!D:J,6,FALSE)</f>
        <v>2022007342.mahendra@pt.sharda.ac.in</v>
      </c>
      <c r="J50" s="17" t="str">
        <f>VLOOKUP(D50,Sheet1!E:K,6,FALSE)</f>
        <v>9149220680</v>
      </c>
      <c r="K50" s="17" t="s">
        <v>15</v>
      </c>
      <c r="L50" s="37" t="s">
        <v>3644</v>
      </c>
      <c r="M50" t="s">
        <v>3659</v>
      </c>
    </row>
    <row r="51" spans="1:13">
      <c r="A51" s="17">
        <v>50</v>
      </c>
      <c r="B51" s="17" t="s">
        <v>175</v>
      </c>
      <c r="C51" s="17">
        <v>2022007381</v>
      </c>
      <c r="D51" s="17">
        <v>2201010846</v>
      </c>
      <c r="E51" s="17" t="s">
        <v>1807</v>
      </c>
      <c r="F51" s="17"/>
      <c r="G51" s="17" t="s">
        <v>3756</v>
      </c>
      <c r="H51" s="17" t="s">
        <v>176</v>
      </c>
      <c r="I51" s="17" t="str">
        <f>VLOOKUP(C51,Sheet1!D:J,6,FALSE)</f>
        <v>2022007381.virendra@pt.sharda.ac.in</v>
      </c>
      <c r="J51" s="17" t="str">
        <f>VLOOKUP(D51,Sheet1!E:K,6,FALSE)</f>
        <v>7759816393</v>
      </c>
      <c r="K51" s="17" t="s">
        <v>15</v>
      </c>
      <c r="L51" s="37" t="s">
        <v>3644</v>
      </c>
      <c r="M51" t="s">
        <v>3659</v>
      </c>
    </row>
    <row r="52" spans="1:13">
      <c r="A52" s="17">
        <v>51</v>
      </c>
      <c r="B52" s="17" t="s">
        <v>217</v>
      </c>
      <c r="C52" s="17">
        <v>2022558410</v>
      </c>
      <c r="D52" s="17">
        <v>2201010882</v>
      </c>
      <c r="E52" s="17" t="s">
        <v>1807</v>
      </c>
      <c r="F52" s="17"/>
      <c r="G52" s="17" t="s">
        <v>3757</v>
      </c>
      <c r="H52" s="17" t="s">
        <v>218</v>
      </c>
      <c r="I52" s="17" t="str">
        <f>VLOOKUP(C52,Sheet1!D:J,6,FALSE)</f>
        <v>2022558410.mdahsan@pt.sharda.ac.in</v>
      </c>
      <c r="J52" s="17" t="str">
        <f>VLOOKUP(D52,Sheet1!E:K,6,FALSE)</f>
        <v>7033913503</v>
      </c>
      <c r="K52" s="17" t="s">
        <v>15</v>
      </c>
      <c r="L52" s="37" t="s">
        <v>3644</v>
      </c>
      <c r="M52" t="s">
        <v>3659</v>
      </c>
    </row>
    <row r="53" spans="1:13">
      <c r="A53" s="17">
        <v>52</v>
      </c>
      <c r="B53" s="17" t="s">
        <v>235</v>
      </c>
      <c r="C53" s="17">
        <v>2022621767</v>
      </c>
      <c r="D53" s="17">
        <v>2201010905</v>
      </c>
      <c r="E53" s="17" t="s">
        <v>1807</v>
      </c>
      <c r="F53" s="17"/>
      <c r="G53" s="17" t="s">
        <v>3758</v>
      </c>
      <c r="H53" s="17" t="s">
        <v>236</v>
      </c>
      <c r="I53" s="17" t="str">
        <f>VLOOKUP(C53,Sheet1!D:J,6,FALSE)</f>
        <v>2022621767.chandran@pt.sharda.ac.in</v>
      </c>
      <c r="J53" s="17" t="str">
        <f>VLOOKUP(D53,Sheet1!E:K,6,FALSE)</f>
        <v>9479557386</v>
      </c>
      <c r="K53" s="17" t="s">
        <v>15</v>
      </c>
      <c r="L53" s="37" t="s">
        <v>3644</v>
      </c>
      <c r="M53" t="s">
        <v>3659</v>
      </c>
    </row>
    <row r="54" spans="1:13">
      <c r="A54" s="17">
        <v>53</v>
      </c>
      <c r="B54" s="17" t="s">
        <v>88</v>
      </c>
      <c r="C54" s="17">
        <v>2022484684</v>
      </c>
      <c r="D54" s="17">
        <v>2201010056</v>
      </c>
      <c r="E54" s="17" t="s">
        <v>1807</v>
      </c>
      <c r="F54" s="17"/>
      <c r="G54" s="17" t="s">
        <v>3759</v>
      </c>
      <c r="H54" s="17" t="s">
        <v>89</v>
      </c>
      <c r="I54" s="17" t="str">
        <f>VLOOKUP(C54,Sheet1!D:J,6,FALSE)</f>
        <v>2022484684.mohammad@pt.sharda.ac.in</v>
      </c>
      <c r="J54" s="17" t="str">
        <f>VLOOKUP(D54,Sheet1!E:K,6,FALSE)</f>
        <v>7840080567</v>
      </c>
      <c r="K54" s="17" t="s">
        <v>15</v>
      </c>
      <c r="L54" s="37" t="s">
        <v>3644</v>
      </c>
      <c r="M54" t="s">
        <v>3659</v>
      </c>
    </row>
    <row r="55" spans="1:13">
      <c r="A55" s="17">
        <v>54</v>
      </c>
      <c r="B55" s="17" t="s">
        <v>74</v>
      </c>
      <c r="C55" s="17">
        <v>2022434676</v>
      </c>
      <c r="D55" s="17">
        <v>2201010091</v>
      </c>
      <c r="E55" s="17" t="s">
        <v>1807</v>
      </c>
      <c r="F55" s="17"/>
      <c r="G55" s="17" t="s">
        <v>3760</v>
      </c>
      <c r="H55" s="17" t="s">
        <v>75</v>
      </c>
      <c r="I55" s="17" t="str">
        <f>VLOOKUP(C55,Sheet1!D:J,6,FALSE)</f>
        <v>2022434676.vishwanath@pt.sharda.ac.in</v>
      </c>
      <c r="J55" s="17" t="str">
        <f>VLOOKUP(D55,Sheet1!E:K,6,FALSE)</f>
        <v>9835339700</v>
      </c>
      <c r="K55" s="17" t="s">
        <v>15</v>
      </c>
      <c r="L55" s="37" t="s">
        <v>3644</v>
      </c>
      <c r="M55" t="s">
        <v>3659</v>
      </c>
    </row>
    <row r="56" spans="1:13">
      <c r="A56" s="17">
        <v>55</v>
      </c>
      <c r="B56" s="17" t="s">
        <v>105</v>
      </c>
      <c r="C56" s="17">
        <v>2022506408</v>
      </c>
      <c r="D56" s="17">
        <v>2201010430</v>
      </c>
      <c r="E56" s="17" t="s">
        <v>1807</v>
      </c>
      <c r="F56" s="17"/>
      <c r="G56" s="17" t="s">
        <v>3761</v>
      </c>
      <c r="H56" s="17" t="s">
        <v>106</v>
      </c>
      <c r="I56" s="17" t="str">
        <f>VLOOKUP(C56,Sheet1!D:J,6,FALSE)</f>
        <v>2022506408.umesh@pt.sharda.ac.in</v>
      </c>
      <c r="J56" s="17" t="str">
        <f>VLOOKUP(D56,Sheet1!E:K,6,FALSE)</f>
        <v>9905593696</v>
      </c>
      <c r="K56" s="17" t="s">
        <v>15</v>
      </c>
      <c r="L56" s="37" t="s">
        <v>3644</v>
      </c>
      <c r="M56" t="s">
        <v>3659</v>
      </c>
    </row>
    <row r="57" spans="1:13">
      <c r="A57" s="17">
        <v>56</v>
      </c>
      <c r="B57" s="17" t="s">
        <v>29</v>
      </c>
      <c r="C57" s="17">
        <v>2022003474</v>
      </c>
      <c r="D57" s="17">
        <v>2201010499</v>
      </c>
      <c r="E57" s="17" t="s">
        <v>1807</v>
      </c>
      <c r="F57" s="17"/>
      <c r="G57" s="17" t="s">
        <v>3762</v>
      </c>
      <c r="H57" s="17" t="s">
        <v>30</v>
      </c>
      <c r="I57" s="17" t="str">
        <f>VLOOKUP(C57,Sheet1!D:J,6,FALSE)</f>
        <v>2022003474.munna@pt.sharda.ac.in</v>
      </c>
      <c r="J57" s="17" t="str">
        <f>VLOOKUP(D57,Sheet1!E:K,6,FALSE)</f>
        <v>6397729725</v>
      </c>
      <c r="K57" s="17" t="s">
        <v>15</v>
      </c>
      <c r="L57" s="37" t="s">
        <v>3644</v>
      </c>
      <c r="M57" t="s">
        <v>3659</v>
      </c>
    </row>
    <row r="58" spans="1:13">
      <c r="A58" s="17">
        <v>57</v>
      </c>
      <c r="B58" s="17" t="s">
        <v>52</v>
      </c>
      <c r="C58" s="17">
        <v>2022344698</v>
      </c>
      <c r="D58" s="17">
        <v>2201010539</v>
      </c>
      <c r="E58" s="17" t="s">
        <v>1807</v>
      </c>
      <c r="F58" s="17"/>
      <c r="G58" s="17" t="s">
        <v>3763</v>
      </c>
      <c r="H58" s="17" t="s">
        <v>53</v>
      </c>
      <c r="I58" s="17" t="str">
        <f>VLOOKUP(C58,Sheet1!D:J,6,FALSE)</f>
        <v>2022344698.mantu@pt.sharda.ac.in</v>
      </c>
      <c r="J58" s="17" t="str">
        <f>VLOOKUP(D58,Sheet1!E:K,6,FALSE)</f>
        <v>9693330760</v>
      </c>
      <c r="K58" s="17" t="s">
        <v>15</v>
      </c>
      <c r="L58" s="37" t="s">
        <v>3644</v>
      </c>
      <c r="M58" t="s">
        <v>3659</v>
      </c>
    </row>
    <row r="59" spans="1:13">
      <c r="A59" s="17">
        <v>58</v>
      </c>
      <c r="B59" s="17" t="s">
        <v>12</v>
      </c>
      <c r="C59" s="17">
        <v>2022000799</v>
      </c>
      <c r="D59" s="17">
        <v>2201010619</v>
      </c>
      <c r="E59" s="17" t="s">
        <v>1807</v>
      </c>
      <c r="F59" s="17"/>
      <c r="G59" s="17" t="s">
        <v>3764</v>
      </c>
      <c r="H59" s="17" t="s">
        <v>14</v>
      </c>
      <c r="I59" s="17" t="str">
        <f>VLOOKUP(C59,Sheet1!D:J,6,FALSE)</f>
        <v>2022000799.baseer@pt.sharda.ac.in</v>
      </c>
      <c r="J59" s="17">
        <f>VLOOKUP(D59,Sheet1!E:K,6,FALSE)</f>
        <v>0</v>
      </c>
      <c r="K59" s="17" t="s">
        <v>15</v>
      </c>
      <c r="L59" s="37" t="s">
        <v>3644</v>
      </c>
      <c r="M59" t="s">
        <v>3659</v>
      </c>
    </row>
    <row r="60" spans="1:13">
      <c r="A60" s="17">
        <v>59</v>
      </c>
      <c r="B60" s="17" t="s">
        <v>19</v>
      </c>
      <c r="C60" s="17">
        <v>2022001198</v>
      </c>
      <c r="D60" s="17">
        <v>2201010620</v>
      </c>
      <c r="E60" s="17" t="s">
        <v>1807</v>
      </c>
      <c r="F60" s="17"/>
      <c r="G60" s="17" t="s">
        <v>3765</v>
      </c>
      <c r="H60" s="17" t="s">
        <v>20</v>
      </c>
      <c r="I60" s="17" t="str">
        <f>VLOOKUP(C60,Sheet1!D:J,6,FALSE)</f>
        <v>2022001198.farid@pt.sharda.ac.in</v>
      </c>
      <c r="J60" s="17" t="str">
        <f>VLOOKUP(D60,Sheet1!E:K,6,FALSE)</f>
        <v>960445800</v>
      </c>
      <c r="K60" s="17" t="s">
        <v>15</v>
      </c>
      <c r="L60" s="37" t="s">
        <v>3644</v>
      </c>
      <c r="M60" t="s">
        <v>3659</v>
      </c>
    </row>
    <row r="61" spans="1:13">
      <c r="A61" s="17">
        <v>60</v>
      </c>
      <c r="B61" s="17" t="s">
        <v>66</v>
      </c>
      <c r="C61" s="17">
        <v>2022408033</v>
      </c>
      <c r="D61" s="17">
        <v>2201010723</v>
      </c>
      <c r="E61" s="17" t="s">
        <v>1807</v>
      </c>
      <c r="F61" s="17"/>
      <c r="G61" s="17" t="s">
        <v>3766</v>
      </c>
      <c r="H61" s="17" t="s">
        <v>67</v>
      </c>
      <c r="I61" s="17" t="str">
        <f>VLOOKUP(C61,Sheet1!D:J,6,FALSE)</f>
        <v>2022408033.prakashchandra@pt.sharda.ac.in</v>
      </c>
      <c r="J61" s="17" t="str">
        <f>VLOOKUP(D61,Sheet1!E:K,6,FALSE)</f>
        <v>9958635595</v>
      </c>
      <c r="K61" s="17"/>
      <c r="L61" s="37" t="s">
        <v>3644</v>
      </c>
      <c r="M61" t="s">
        <v>3659</v>
      </c>
    </row>
    <row r="62" spans="1:13">
      <c r="A62" s="17">
        <v>61</v>
      </c>
      <c r="B62" s="17" t="s">
        <v>96</v>
      </c>
      <c r="C62" s="17">
        <v>2022498602</v>
      </c>
      <c r="D62" s="17">
        <v>2201010724</v>
      </c>
      <c r="E62" s="17" t="s">
        <v>1807</v>
      </c>
      <c r="F62" s="17"/>
      <c r="G62" s="17" t="s">
        <v>3767</v>
      </c>
      <c r="H62" s="17" t="s">
        <v>97</v>
      </c>
      <c r="I62" s="17" t="str">
        <f>VLOOKUP(C62,Sheet1!D:J,6,FALSE)</f>
        <v>2022498602.laldev@pt.sharda.ac.in</v>
      </c>
      <c r="J62" s="17" t="str">
        <f>VLOOKUP(D62,Sheet1!E:K,6,FALSE)</f>
        <v>9838391937</v>
      </c>
      <c r="K62" s="17"/>
      <c r="L62" s="37" t="s">
        <v>3644</v>
      </c>
      <c r="M62" t="s">
        <v>3659</v>
      </c>
    </row>
    <row r="63" spans="1:13">
      <c r="A63" s="17">
        <v>62</v>
      </c>
      <c r="B63" s="17" t="s">
        <v>60</v>
      </c>
      <c r="C63" s="17">
        <v>2022393356</v>
      </c>
      <c r="D63" s="17">
        <v>2201010771</v>
      </c>
      <c r="E63" s="17" t="s">
        <v>1807</v>
      </c>
      <c r="F63" s="17"/>
      <c r="G63" s="17" t="s">
        <v>3768</v>
      </c>
      <c r="H63" s="17" t="s">
        <v>61</v>
      </c>
      <c r="I63" s="17" t="str">
        <f>VLOOKUP(C63,Sheet1!D:J,6,FALSE)</f>
        <v>2022393356.jaiprakash@pt.sharda.ac.in</v>
      </c>
      <c r="J63" s="17" t="str">
        <f>VLOOKUP(D63,Sheet1!E:K,6,FALSE)</f>
        <v>8810607038</v>
      </c>
      <c r="K63" s="17"/>
      <c r="L63" s="37" t="s">
        <v>3644</v>
      </c>
      <c r="M63" t="s">
        <v>3659</v>
      </c>
    </row>
  </sheetData>
  <conditionalFormatting sqref="C1">
    <cfRule type="duplicateValues" dxfId="127" priority="823"/>
  </conditionalFormatting>
  <conditionalFormatting sqref="C1:D1">
    <cfRule type="duplicateValues" dxfId="126" priority="825"/>
    <cfRule type="duplicateValues" dxfId="125" priority="826"/>
  </conditionalFormatting>
  <dataValidations count="1">
    <dataValidation type="list" allowBlank="1" showErrorMessage="1" sqref="L2:L63">
      <formula1>"G1,G2"</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M63"/>
  <sheetViews>
    <sheetView topLeftCell="E54" workbookViewId="0">
      <selection activeCell="C62" sqref="C62"/>
    </sheetView>
  </sheetViews>
  <sheetFormatPr defaultRowHeight="14.5"/>
  <cols>
    <col min="2" max="2" width="22.54296875" customWidth="1"/>
    <col min="3" max="3" width="16.6328125" customWidth="1"/>
    <col min="4" max="4" width="11" bestFit="1" customWidth="1"/>
    <col min="5" max="5" width="14.36328125" bestFit="1" customWidth="1"/>
    <col min="6" max="7" width="14.36328125" customWidth="1"/>
    <col min="8" max="8" width="37.90625" bestFit="1" customWidth="1"/>
    <col min="9" max="9" width="40.36328125" bestFit="1" customWidth="1"/>
    <col min="10" max="10" width="14.54296875" bestFit="1" customWidth="1"/>
    <col min="11" max="11" width="15.6328125" bestFit="1" customWidth="1"/>
    <col min="12" max="12" width="11.54296875" style="38" customWidth="1"/>
  </cols>
  <sheetData>
    <row r="1" spans="1:13" ht="25">
      <c r="A1" s="1" t="s">
        <v>1</v>
      </c>
      <c r="B1" s="1" t="s">
        <v>2</v>
      </c>
      <c r="C1" s="1" t="s">
        <v>3</v>
      </c>
      <c r="D1" s="1" t="s">
        <v>4</v>
      </c>
      <c r="E1" s="1" t="s">
        <v>1817</v>
      </c>
      <c r="F1" s="1"/>
      <c r="G1" s="1"/>
      <c r="H1" s="1" t="s">
        <v>6</v>
      </c>
      <c r="I1" s="1" t="s">
        <v>1819</v>
      </c>
      <c r="J1" s="1" t="s">
        <v>1820</v>
      </c>
      <c r="K1" s="1" t="s">
        <v>7</v>
      </c>
      <c r="L1" s="36" t="s">
        <v>3676</v>
      </c>
      <c r="M1" s="41" t="s">
        <v>3677</v>
      </c>
    </row>
    <row r="2" spans="1:13">
      <c r="A2" s="17">
        <v>1</v>
      </c>
      <c r="B2" s="17" t="s">
        <v>791</v>
      </c>
      <c r="C2" s="17">
        <v>2021316862</v>
      </c>
      <c r="D2" s="17">
        <v>210101007</v>
      </c>
      <c r="E2" s="17" t="s">
        <v>1809</v>
      </c>
      <c r="F2" s="17" t="e">
        <f>VLOOKUP(C2,'Fast Track '!B:C,2,FALSE)</f>
        <v>#N/A</v>
      </c>
      <c r="G2" s="17" t="s">
        <v>3707</v>
      </c>
      <c r="H2" s="17" t="s">
        <v>792</v>
      </c>
      <c r="I2" s="17" t="str">
        <f>VLOOKUP(C2,Sheet1!D:J,6,FALSE)</f>
        <v>2021316862.moses@pt.sharda.ac.in</v>
      </c>
      <c r="J2" s="17" t="str">
        <f>VLOOKUP(C2,Sheet1!D:J,7,FALSE)</f>
        <v>8630390567</v>
      </c>
      <c r="K2" s="17" t="s">
        <v>15</v>
      </c>
      <c r="L2" s="37" t="s">
        <v>3645</v>
      </c>
      <c r="M2" t="s">
        <v>3660</v>
      </c>
    </row>
    <row r="3" spans="1:13">
      <c r="A3" s="17">
        <v>2</v>
      </c>
      <c r="B3" s="17" t="s">
        <v>789</v>
      </c>
      <c r="C3" s="17">
        <v>2021301933</v>
      </c>
      <c r="D3" s="17">
        <v>210101058</v>
      </c>
      <c r="E3" s="17" t="s">
        <v>1809</v>
      </c>
      <c r="F3" s="17" t="e">
        <f>VLOOKUP(C3,'Fast Track '!B:C,2,FALSE)</f>
        <v>#N/A</v>
      </c>
      <c r="G3" s="17" t="s">
        <v>3708</v>
      </c>
      <c r="H3" s="17" t="s">
        <v>790</v>
      </c>
      <c r="I3" s="17" t="str">
        <f>VLOOKUP(C3,Sheet1!D:J,6,FALSE)</f>
        <v>2021301933.sajadhussain@pt.sharda.ac.in</v>
      </c>
      <c r="J3" s="17" t="str">
        <f>VLOOKUP(C3,Sheet1!D:J,7,FALSE)</f>
        <v>8899972039</v>
      </c>
      <c r="K3" s="17" t="s">
        <v>15</v>
      </c>
      <c r="L3" s="37" t="s">
        <v>3645</v>
      </c>
      <c r="M3" t="s">
        <v>3660</v>
      </c>
    </row>
    <row r="4" spans="1:13">
      <c r="A4" s="17">
        <v>3</v>
      </c>
      <c r="B4" s="17" t="s">
        <v>795</v>
      </c>
      <c r="C4" s="17">
        <v>2021373068</v>
      </c>
      <c r="D4" s="17">
        <v>210101077</v>
      </c>
      <c r="E4" s="17" t="s">
        <v>1809</v>
      </c>
      <c r="F4" s="17" t="e">
        <f>VLOOKUP(C4,'Fast Track '!B:C,2,FALSE)</f>
        <v>#N/A</v>
      </c>
      <c r="G4" s="17" t="s">
        <v>3709</v>
      </c>
      <c r="H4" s="17" t="s">
        <v>796</v>
      </c>
      <c r="I4" s="17" t="str">
        <f>VLOOKUP(C4,Sheet1!D:J,6,FALSE)</f>
        <v>2021373068.dharmbir@pt.sharda.ac.in</v>
      </c>
      <c r="J4" s="17" t="str">
        <f>VLOOKUP(C4,Sheet1!D:J,7,FALSE)</f>
        <v>9991288569</v>
      </c>
      <c r="K4" s="17" t="s">
        <v>15</v>
      </c>
      <c r="L4" s="37" t="s">
        <v>3645</v>
      </c>
      <c r="M4" t="s">
        <v>3660</v>
      </c>
    </row>
    <row r="5" spans="1:13">
      <c r="A5" s="17">
        <v>4</v>
      </c>
      <c r="B5" s="17" t="s">
        <v>797</v>
      </c>
      <c r="C5" s="17">
        <v>2021396844</v>
      </c>
      <c r="D5" s="17">
        <v>210101170</v>
      </c>
      <c r="E5" s="17" t="s">
        <v>1809</v>
      </c>
      <c r="F5" s="17" t="e">
        <f>VLOOKUP(C5,'Fast Track '!B:C,2,FALSE)</f>
        <v>#N/A</v>
      </c>
      <c r="G5" s="17" t="s">
        <v>3710</v>
      </c>
      <c r="H5" s="17" t="s">
        <v>798</v>
      </c>
      <c r="I5" s="17" t="str">
        <f>VLOOKUP(C5,Sheet1!D:J,6,FALSE)</f>
        <v>2021396844.rodas@pt.sharda.ac.in</v>
      </c>
      <c r="J5" s="17" t="str">
        <f>VLOOKUP(C5,Sheet1!D:J,7,FALSE)</f>
        <v>8630448878</v>
      </c>
      <c r="K5" s="17" t="s">
        <v>15</v>
      </c>
      <c r="L5" s="37" t="s">
        <v>3645</v>
      </c>
      <c r="M5" t="s">
        <v>3660</v>
      </c>
    </row>
    <row r="6" spans="1:13">
      <c r="A6" s="17">
        <v>5</v>
      </c>
      <c r="B6" s="17" t="s">
        <v>803</v>
      </c>
      <c r="C6" s="17">
        <v>2021447448</v>
      </c>
      <c r="D6" s="17">
        <v>210101223</v>
      </c>
      <c r="E6" s="17" t="s">
        <v>1809</v>
      </c>
      <c r="F6" s="17" t="e">
        <f>VLOOKUP(C6,'Fast Track '!B:C,2,FALSE)</f>
        <v>#N/A</v>
      </c>
      <c r="G6" s="17" t="s">
        <v>3711</v>
      </c>
      <c r="H6" s="17" t="s">
        <v>804</v>
      </c>
      <c r="I6" s="17" t="str">
        <f>VLOOKUP(C6,Sheet1!D:J,6,FALSE)</f>
        <v>2021447448.yashwant@pt.sharda.ac.in</v>
      </c>
      <c r="J6" s="17" t="str">
        <f>VLOOKUP(C6,Sheet1!D:J,7,FALSE)</f>
        <v>8368539536</v>
      </c>
      <c r="K6" s="17" t="s">
        <v>15</v>
      </c>
      <c r="L6" s="37" t="s">
        <v>3645</v>
      </c>
      <c r="M6" t="s">
        <v>3660</v>
      </c>
    </row>
    <row r="7" spans="1:13">
      <c r="A7" s="17">
        <v>6</v>
      </c>
      <c r="B7" s="17" t="s">
        <v>799</v>
      </c>
      <c r="C7" s="17">
        <v>2021428834</v>
      </c>
      <c r="D7" s="17">
        <v>210101239</v>
      </c>
      <c r="E7" s="17" t="s">
        <v>1809</v>
      </c>
      <c r="F7" s="17" t="e">
        <f>VLOOKUP(C7,'Fast Track '!B:C,2,FALSE)</f>
        <v>#N/A</v>
      </c>
      <c r="G7" s="17" t="s">
        <v>3712</v>
      </c>
      <c r="H7" s="17" t="s">
        <v>800</v>
      </c>
      <c r="I7" s="17" t="str">
        <f>VLOOKUP(C7,Sheet1!D:J,6,FALSE)</f>
        <v>2021428834.pawan@pt.sharda.ac.in</v>
      </c>
      <c r="J7" s="17" t="str">
        <f>VLOOKUP(C7,Sheet1!D:J,7,FALSE)</f>
        <v>9012402604</v>
      </c>
      <c r="K7" s="17" t="s">
        <v>15</v>
      </c>
      <c r="L7" s="37" t="s">
        <v>3645</v>
      </c>
      <c r="M7" t="s">
        <v>3660</v>
      </c>
    </row>
    <row r="8" spans="1:13">
      <c r="A8" s="17">
        <v>7</v>
      </c>
      <c r="B8" s="17" t="s">
        <v>801</v>
      </c>
      <c r="C8" s="17">
        <v>2021446146</v>
      </c>
      <c r="D8" s="17">
        <v>210101241</v>
      </c>
      <c r="E8" s="17" t="s">
        <v>1809</v>
      </c>
      <c r="F8" s="17" t="e">
        <f>VLOOKUP(C8,'Fast Track '!B:C,2,FALSE)</f>
        <v>#N/A</v>
      </c>
      <c r="G8" s="17" t="s">
        <v>3713</v>
      </c>
      <c r="H8" s="17" t="s">
        <v>802</v>
      </c>
      <c r="I8" s="17" t="str">
        <f>VLOOKUP(C8,Sheet1!D:J,6,FALSE)</f>
        <v>2021446146.satish@pt.sharda.ac.in</v>
      </c>
      <c r="J8" s="17" t="str">
        <f>VLOOKUP(C8,Sheet1!D:J,7,FALSE)</f>
        <v>8860341621</v>
      </c>
      <c r="K8" s="17" t="s">
        <v>15</v>
      </c>
      <c r="L8" s="37" t="s">
        <v>3645</v>
      </c>
      <c r="M8" t="s">
        <v>3660</v>
      </c>
    </row>
    <row r="9" spans="1:13">
      <c r="A9" s="17">
        <v>8</v>
      </c>
      <c r="B9" s="17" t="s">
        <v>805</v>
      </c>
      <c r="C9" s="17">
        <v>2021474998</v>
      </c>
      <c r="D9" s="17">
        <v>210101366</v>
      </c>
      <c r="E9" s="17" t="s">
        <v>1809</v>
      </c>
      <c r="F9" s="17" t="e">
        <f>VLOOKUP(C9,'Fast Track '!B:C,2,FALSE)</f>
        <v>#N/A</v>
      </c>
      <c r="G9" s="17" t="s">
        <v>3714</v>
      </c>
      <c r="H9" s="17" t="s">
        <v>806</v>
      </c>
      <c r="I9" s="17" t="str">
        <f>VLOOKUP(C9,Sheet1!D:J,6,FALSE)</f>
        <v>2021474998.shantanu@pt.sharda.ac.in</v>
      </c>
      <c r="J9" s="17" t="str">
        <f>VLOOKUP(C9,Sheet1!D:J,7,FALSE)</f>
        <v>6204449635</v>
      </c>
      <c r="K9" s="17" t="s">
        <v>15</v>
      </c>
      <c r="L9" s="37" t="s">
        <v>3645</v>
      </c>
      <c r="M9" t="s">
        <v>3660</v>
      </c>
    </row>
    <row r="10" spans="1:13">
      <c r="A10" s="17">
        <v>9</v>
      </c>
      <c r="B10" s="17" t="s">
        <v>179</v>
      </c>
      <c r="C10" s="17">
        <v>2022303213</v>
      </c>
      <c r="D10" s="17">
        <v>2201010472</v>
      </c>
      <c r="E10" s="17" t="s">
        <v>1809</v>
      </c>
      <c r="F10" s="17" t="e">
        <f>VLOOKUP(C10,'Fast Track '!B:C,2,FALSE)</f>
        <v>#N/A</v>
      </c>
      <c r="G10" s="17" t="s">
        <v>3715</v>
      </c>
      <c r="H10" s="17" t="s">
        <v>180</v>
      </c>
      <c r="I10" s="17" t="str">
        <f>VLOOKUP(C10,Sheet1!D:J,6,FALSE)</f>
        <v>2022303213.arvind@pt.sharda.ac.in</v>
      </c>
      <c r="J10" s="17" t="str">
        <f>VLOOKUP(D10,Sheet1!E:K,6,FALSE)</f>
        <v>8972061400</v>
      </c>
      <c r="K10" s="17" t="s">
        <v>15</v>
      </c>
      <c r="L10" s="37" t="s">
        <v>3644</v>
      </c>
      <c r="M10" t="s">
        <v>3661</v>
      </c>
    </row>
    <row r="11" spans="1:13">
      <c r="A11" s="17">
        <v>10</v>
      </c>
      <c r="B11" s="17" t="s">
        <v>814</v>
      </c>
      <c r="C11" s="17">
        <v>2022005321</v>
      </c>
      <c r="D11" s="17">
        <v>2201010051</v>
      </c>
      <c r="E11" s="17" t="s">
        <v>1809</v>
      </c>
      <c r="F11" s="17" t="e">
        <f>VLOOKUP(C11,'Fast Track '!B:C,2,FALSE)</f>
        <v>#N/A</v>
      </c>
      <c r="G11" s="17" t="s">
        <v>3716</v>
      </c>
      <c r="H11" s="17" t="s">
        <v>815</v>
      </c>
      <c r="I11" s="17" t="str">
        <f>VLOOKUP(C11,Sheet1!D:J,6,FALSE)</f>
        <v>2022005321.jitendrakumar@pt.sharda.ac.in</v>
      </c>
      <c r="J11" s="17" t="str">
        <f>VLOOKUP(C11,Sheet1!D:J,7,FALSE)</f>
        <v>9625310230</v>
      </c>
      <c r="K11" s="17" t="s">
        <v>15</v>
      </c>
      <c r="L11" s="37" t="s">
        <v>3645</v>
      </c>
      <c r="M11" t="s">
        <v>3660</v>
      </c>
    </row>
    <row r="12" spans="1:13">
      <c r="A12" s="17">
        <v>11</v>
      </c>
      <c r="B12" s="17" t="s">
        <v>84</v>
      </c>
      <c r="C12" s="17">
        <v>2022473379</v>
      </c>
      <c r="D12" s="17">
        <v>2201010070</v>
      </c>
      <c r="E12" s="17" t="s">
        <v>1809</v>
      </c>
      <c r="F12" s="17" t="e">
        <f>VLOOKUP(C12,'Fast Track '!B:C,2,FALSE)</f>
        <v>#N/A</v>
      </c>
      <c r="G12" s="17" t="s">
        <v>3717</v>
      </c>
      <c r="H12" s="17" t="s">
        <v>85</v>
      </c>
      <c r="I12" s="17" t="str">
        <f>VLOOKUP(C12,Sheet1!D:J,6,FALSE)</f>
        <v>2022473379.firoz@pt.sharda.ac.in</v>
      </c>
      <c r="J12" s="17" t="str">
        <f>VLOOKUP(C12,Sheet1!D:J,7,FALSE)</f>
        <v>9031242786</v>
      </c>
      <c r="K12" s="17" t="s">
        <v>15</v>
      </c>
      <c r="L12" s="37" t="s">
        <v>3645</v>
      </c>
      <c r="M12" t="s">
        <v>3660</v>
      </c>
    </row>
    <row r="13" spans="1:13">
      <c r="A13" s="17">
        <v>12</v>
      </c>
      <c r="B13" s="17" t="s">
        <v>41</v>
      </c>
      <c r="C13" s="17">
        <v>2022006171</v>
      </c>
      <c r="D13" s="17">
        <v>2201010101</v>
      </c>
      <c r="E13" s="17" t="s">
        <v>1809</v>
      </c>
      <c r="F13" s="17" t="e">
        <f>VLOOKUP(C13,'Fast Track '!B:C,2,FALSE)</f>
        <v>#N/A</v>
      </c>
      <c r="G13" s="17" t="s">
        <v>3718</v>
      </c>
      <c r="H13" s="17" t="s">
        <v>42</v>
      </c>
      <c r="I13" s="17" t="str">
        <f>VLOOKUP(C13,Sheet1!D:J,6,FALSE)</f>
        <v>2022006171.anuj@pt.sharda.ac.in</v>
      </c>
      <c r="J13" s="17" t="str">
        <f>VLOOKUP(C13,Sheet1!D:J,7,FALSE)</f>
        <v>8368460852</v>
      </c>
      <c r="K13" s="17" t="s">
        <v>15</v>
      </c>
      <c r="L13" s="37" t="s">
        <v>3645</v>
      </c>
      <c r="M13" t="s">
        <v>3660</v>
      </c>
    </row>
    <row r="14" spans="1:13">
      <c r="A14" s="17">
        <v>13</v>
      </c>
      <c r="B14" s="17" t="s">
        <v>100</v>
      </c>
      <c r="C14" s="17">
        <v>2022502414</v>
      </c>
      <c r="D14" s="17">
        <v>2201010132</v>
      </c>
      <c r="E14" s="17" t="s">
        <v>1809</v>
      </c>
      <c r="F14" s="17" t="e">
        <f>VLOOKUP(C14,'Fast Track '!B:C,2,FALSE)</f>
        <v>#N/A</v>
      </c>
      <c r="G14" s="17" t="s">
        <v>3719</v>
      </c>
      <c r="H14" s="17" t="s">
        <v>101</v>
      </c>
      <c r="I14" s="17" t="str">
        <f>VLOOKUP(C14,Sheet1!D:J,6,FALSE)</f>
        <v>2022502414.vijay@pt.sharda.ac.in</v>
      </c>
      <c r="J14" s="17" t="str">
        <f>VLOOKUP(C14,Sheet1!D:J,7,FALSE)</f>
        <v>8850205691</v>
      </c>
      <c r="K14" s="17" t="s">
        <v>15</v>
      </c>
      <c r="L14" s="37" t="s">
        <v>3645</v>
      </c>
      <c r="M14" t="s">
        <v>3660</v>
      </c>
    </row>
    <row r="15" spans="1:13">
      <c r="A15" s="17">
        <v>14</v>
      </c>
      <c r="B15" s="17" t="s">
        <v>47</v>
      </c>
      <c r="C15" s="17">
        <v>2022329124</v>
      </c>
      <c r="D15" s="17">
        <v>2201010138</v>
      </c>
      <c r="E15" s="17" t="s">
        <v>1809</v>
      </c>
      <c r="F15" s="17" t="e">
        <f>VLOOKUP(C15,'Fast Track '!B:C,2,FALSE)</f>
        <v>#N/A</v>
      </c>
      <c r="G15" s="17" t="s">
        <v>3720</v>
      </c>
      <c r="H15" s="17" t="s">
        <v>48</v>
      </c>
      <c r="I15" s="17" t="str">
        <f>VLOOKUP(C15,Sheet1!D:J,6,FALSE)</f>
        <v>2022329124.satendra@pt.sharda.ac.in</v>
      </c>
      <c r="J15" s="17" t="str">
        <f>VLOOKUP(C15,Sheet1!D:J,7,FALSE)</f>
        <v>8755465044</v>
      </c>
      <c r="K15" s="17" t="s">
        <v>15</v>
      </c>
      <c r="L15" s="37" t="s">
        <v>3645</v>
      </c>
      <c r="M15" t="s">
        <v>3660</v>
      </c>
    </row>
    <row r="16" spans="1:13">
      <c r="A16" s="17">
        <v>15</v>
      </c>
      <c r="B16" s="17" t="s">
        <v>785</v>
      </c>
      <c r="C16" s="17">
        <v>2022557408</v>
      </c>
      <c r="D16" s="17">
        <v>2201010176</v>
      </c>
      <c r="E16" s="17" t="s">
        <v>1809</v>
      </c>
      <c r="F16" s="17" t="e">
        <f>VLOOKUP(C16,'Fast Track '!B:C,2,FALSE)</f>
        <v>#N/A</v>
      </c>
      <c r="G16" s="17" t="s">
        <v>3721</v>
      </c>
      <c r="H16" s="17" t="s">
        <v>786</v>
      </c>
      <c r="I16" s="17" t="str">
        <f>VLOOKUP(C16,Sheet1!D:J,6,FALSE)</f>
        <v>2022557408.shri@pt.sharda.ac.in</v>
      </c>
      <c r="J16" s="17" t="str">
        <f>VLOOKUP(C16,Sheet1!D:J,7,FALSE)</f>
        <v>9999771597</v>
      </c>
      <c r="K16" s="17" t="s">
        <v>15</v>
      </c>
      <c r="L16" s="37" t="s">
        <v>3645</v>
      </c>
      <c r="M16" t="s">
        <v>3660</v>
      </c>
    </row>
    <row r="17" spans="1:13">
      <c r="A17" s="17">
        <v>16</v>
      </c>
      <c r="B17" s="17" t="s">
        <v>118</v>
      </c>
      <c r="C17" s="17">
        <v>2022535159</v>
      </c>
      <c r="D17" s="17">
        <v>2201010197</v>
      </c>
      <c r="E17" s="17" t="s">
        <v>1809</v>
      </c>
      <c r="F17" s="17" t="e">
        <f>VLOOKUP(C17,'Fast Track '!B:C,2,FALSE)</f>
        <v>#N/A</v>
      </c>
      <c r="G17" s="17" t="s">
        <v>3722</v>
      </c>
      <c r="H17" s="17" t="s">
        <v>119</v>
      </c>
      <c r="I17" s="17" t="str">
        <f>VLOOKUP(C17,Sheet1!D:J,6,FALSE)</f>
        <v>2022535159.pawankumar@pt.sharda.ac.in</v>
      </c>
      <c r="J17" s="17" t="str">
        <f>VLOOKUP(C17,Sheet1!D:J,7,FALSE)</f>
        <v>9812003005</v>
      </c>
      <c r="K17" s="17" t="s">
        <v>15</v>
      </c>
      <c r="L17" s="37" t="s">
        <v>3645</v>
      </c>
      <c r="M17" t="s">
        <v>3660</v>
      </c>
    </row>
    <row r="18" spans="1:13">
      <c r="A18" s="17">
        <v>17</v>
      </c>
      <c r="B18" s="17" t="s">
        <v>27</v>
      </c>
      <c r="C18" s="17">
        <v>2022003043</v>
      </c>
      <c r="D18" s="17">
        <v>2201010209</v>
      </c>
      <c r="E18" s="17" t="s">
        <v>1809</v>
      </c>
      <c r="F18" s="17" t="e">
        <f>VLOOKUP(C18,'Fast Track '!B:C,2,FALSE)</f>
        <v>#N/A</v>
      </c>
      <c r="G18" s="17" t="s">
        <v>3723</v>
      </c>
      <c r="H18" s="17" t="s">
        <v>28</v>
      </c>
      <c r="I18" s="17" t="str">
        <f>VLOOKUP(C18,Sheet1!D:J,6,FALSE)</f>
        <v>2022003043.mantreshwar@pt.sharda.ac.in</v>
      </c>
      <c r="J18" s="17" t="str">
        <f>VLOOKUP(C18,Sheet1!D:J,7,FALSE)</f>
        <v>8630225086</v>
      </c>
      <c r="K18" s="17" t="s">
        <v>15</v>
      </c>
      <c r="L18" s="37" t="s">
        <v>3645</v>
      </c>
      <c r="M18" t="s">
        <v>3660</v>
      </c>
    </row>
    <row r="19" spans="1:13">
      <c r="A19" s="17">
        <v>18</v>
      </c>
      <c r="B19" s="17" t="s">
        <v>102</v>
      </c>
      <c r="C19" s="17">
        <v>2022505448</v>
      </c>
      <c r="D19" s="17">
        <v>2201010283</v>
      </c>
      <c r="E19" s="17" t="s">
        <v>1809</v>
      </c>
      <c r="F19" s="17" t="e">
        <f>VLOOKUP(C19,'Fast Track '!B:C,2,FALSE)</f>
        <v>#N/A</v>
      </c>
      <c r="G19" s="17" t="s">
        <v>3724</v>
      </c>
      <c r="H19" s="17" t="s">
        <v>103</v>
      </c>
      <c r="I19" s="17" t="str">
        <f>VLOOKUP(C19,Sheet1!D:J,6,FALSE)</f>
        <v>2022505448.shreekant@pt.sharda.ac.in</v>
      </c>
      <c r="J19" s="17" t="str">
        <f>VLOOKUP(C19,Sheet1!D:J,7,FALSE)</f>
        <v>7017959380</v>
      </c>
      <c r="K19" s="17" t="s">
        <v>15</v>
      </c>
      <c r="L19" s="37" t="s">
        <v>3645</v>
      </c>
      <c r="M19" t="s">
        <v>3660</v>
      </c>
    </row>
    <row r="20" spans="1:13">
      <c r="A20" s="17">
        <v>19</v>
      </c>
      <c r="B20" s="17" t="s">
        <v>24</v>
      </c>
      <c r="C20" s="17">
        <v>2022002824</v>
      </c>
      <c r="D20" s="17">
        <v>2201010327</v>
      </c>
      <c r="E20" s="17" t="s">
        <v>1809</v>
      </c>
      <c r="F20" s="17" t="e">
        <f>VLOOKUP(C20,'Fast Track '!B:C,2,FALSE)</f>
        <v>#N/A</v>
      </c>
      <c r="G20" s="17" t="s">
        <v>3725</v>
      </c>
      <c r="H20" s="17" t="s">
        <v>25</v>
      </c>
      <c r="I20" s="17" t="str">
        <f>VLOOKUP(C20,Sheet1!D:J,6,FALSE)</f>
        <v>2022002824.krishan@pt.sharda.ac.in</v>
      </c>
      <c r="J20" s="17" t="str">
        <f>VLOOKUP(C20,Sheet1!D:J,7,FALSE)</f>
        <v>7011620274</v>
      </c>
      <c r="K20" s="17" t="s">
        <v>15</v>
      </c>
      <c r="L20" s="37" t="s">
        <v>3645</v>
      </c>
      <c r="M20" t="s">
        <v>3660</v>
      </c>
    </row>
    <row r="21" spans="1:13">
      <c r="A21" s="17">
        <v>20</v>
      </c>
      <c r="B21" s="17" t="s">
        <v>33</v>
      </c>
      <c r="C21" s="17">
        <v>2022004161</v>
      </c>
      <c r="D21" s="17">
        <v>2201010362</v>
      </c>
      <c r="E21" s="17" t="s">
        <v>1809</v>
      </c>
      <c r="F21" s="17" t="e">
        <f>VLOOKUP(C21,'Fast Track '!B:C,2,FALSE)</f>
        <v>#N/A</v>
      </c>
      <c r="G21" s="17" t="s">
        <v>3726</v>
      </c>
      <c r="H21" s="17" t="s">
        <v>34</v>
      </c>
      <c r="I21" s="17" t="str">
        <f>VLOOKUP(C21,Sheet1!D:J,6,FALSE)</f>
        <v>2022004161.zakiul@pt.sharda.ac.in</v>
      </c>
      <c r="J21" s="17" t="str">
        <f>VLOOKUP(C21,Sheet1!D:J,7,FALSE)</f>
        <v>6396324650</v>
      </c>
      <c r="K21" s="17" t="s">
        <v>15</v>
      </c>
      <c r="L21" s="37" t="s">
        <v>3645</v>
      </c>
      <c r="M21" t="s">
        <v>3660</v>
      </c>
    </row>
    <row r="22" spans="1:13">
      <c r="A22" s="17">
        <v>21</v>
      </c>
      <c r="B22" s="17" t="s">
        <v>107</v>
      </c>
      <c r="C22" s="17">
        <v>2022506809</v>
      </c>
      <c r="D22" s="17">
        <v>2201010364</v>
      </c>
      <c r="E22" s="17" t="s">
        <v>1809</v>
      </c>
      <c r="F22" s="17" t="e">
        <f>VLOOKUP(C22,'Fast Track '!B:C,2,FALSE)</f>
        <v>#N/A</v>
      </c>
      <c r="G22" s="17" t="s">
        <v>3727</v>
      </c>
      <c r="H22" s="17" t="s">
        <v>108</v>
      </c>
      <c r="I22" s="17" t="str">
        <f>VLOOKUP(C22,Sheet1!D:J,6,FALSE)</f>
        <v>2022506809.hukamchand@pt.sharda.ac.in</v>
      </c>
      <c r="J22" s="17" t="str">
        <f>VLOOKUP(C22,Sheet1!D:J,7,FALSE)</f>
        <v>9667523633</v>
      </c>
      <c r="K22" s="17" t="s">
        <v>15</v>
      </c>
      <c r="L22" s="37" t="s">
        <v>3645</v>
      </c>
      <c r="M22" t="s">
        <v>3660</v>
      </c>
    </row>
    <row r="23" spans="1:13">
      <c r="A23" s="17">
        <v>22</v>
      </c>
      <c r="B23" s="17" t="s">
        <v>86</v>
      </c>
      <c r="C23" s="17">
        <v>2022482796</v>
      </c>
      <c r="D23" s="17">
        <v>2201010433</v>
      </c>
      <c r="E23" s="17" t="s">
        <v>1809</v>
      </c>
      <c r="F23" s="17" t="e">
        <f>VLOOKUP(C23,'Fast Track '!B:C,2,FALSE)</f>
        <v>#N/A</v>
      </c>
      <c r="G23" s="17" t="s">
        <v>3728</v>
      </c>
      <c r="H23" s="17" t="s">
        <v>87</v>
      </c>
      <c r="I23" s="17" t="str">
        <f>VLOOKUP(C23,Sheet1!D:J,6,FALSE)</f>
        <v>2022482796.heerasingh@pt.sharda.ac.in</v>
      </c>
      <c r="J23" s="17" t="str">
        <f>VLOOKUP(C23,Sheet1!D:J,7,FALSE)</f>
        <v>8126978333</v>
      </c>
      <c r="K23" s="17" t="s">
        <v>15</v>
      </c>
      <c r="L23" s="37" t="s">
        <v>3645</v>
      </c>
      <c r="M23" t="s">
        <v>3660</v>
      </c>
    </row>
    <row r="24" spans="1:13">
      <c r="A24" s="17">
        <v>23</v>
      </c>
      <c r="B24" s="17" t="s">
        <v>94</v>
      </c>
      <c r="C24" s="17">
        <v>2022495153</v>
      </c>
      <c r="D24" s="17">
        <v>2201010685</v>
      </c>
      <c r="E24" s="17" t="s">
        <v>1809</v>
      </c>
      <c r="F24" s="17" t="e">
        <f>VLOOKUP(C24,'Fast Track '!B:C,2,FALSE)</f>
        <v>#N/A</v>
      </c>
      <c r="G24" s="17" t="s">
        <v>3729</v>
      </c>
      <c r="H24" s="17" t="s">
        <v>95</v>
      </c>
      <c r="I24" s="17" t="str">
        <f>VLOOKUP(C24,Sheet1!D:J,6,FALSE)</f>
        <v>2022495153.rajeshkumar@pt.sharda.ac.in</v>
      </c>
      <c r="J24" s="17" t="str">
        <f>VLOOKUP(C24,Sheet1!D:J,7,FALSE)</f>
        <v>9260956206</v>
      </c>
      <c r="K24" s="17" t="s">
        <v>15</v>
      </c>
      <c r="L24" s="37" t="s">
        <v>3645</v>
      </c>
      <c r="M24" t="s">
        <v>3660</v>
      </c>
    </row>
    <row r="25" spans="1:13">
      <c r="A25" s="17">
        <v>24</v>
      </c>
      <c r="B25" s="17" t="s">
        <v>120</v>
      </c>
      <c r="C25" s="17">
        <v>2022543079</v>
      </c>
      <c r="D25" s="17">
        <v>2201010735</v>
      </c>
      <c r="E25" s="17" t="s">
        <v>1809</v>
      </c>
      <c r="F25" s="17" t="e">
        <f>VLOOKUP(C25,'Fast Track '!B:C,2,FALSE)</f>
        <v>#N/A</v>
      </c>
      <c r="G25" s="17" t="s">
        <v>3730</v>
      </c>
      <c r="H25" s="17" t="s">
        <v>121</v>
      </c>
      <c r="I25" s="17" t="str">
        <f>VLOOKUP(C25,Sheet1!D:J,6,FALSE)</f>
        <v>2022543079.ramsewak@pt.sharda.ac.in</v>
      </c>
      <c r="J25" s="17" t="str">
        <f>VLOOKUP(C25,Sheet1!D:J,7,FALSE)</f>
        <v>8287941372</v>
      </c>
      <c r="K25" s="17" t="s">
        <v>15</v>
      </c>
      <c r="L25" s="37" t="s">
        <v>3645</v>
      </c>
      <c r="M25" t="s">
        <v>3660</v>
      </c>
    </row>
    <row r="26" spans="1:13">
      <c r="A26" s="17">
        <v>25</v>
      </c>
      <c r="B26" s="17" t="s">
        <v>39</v>
      </c>
      <c r="C26" s="17">
        <v>2022005697</v>
      </c>
      <c r="D26" s="17">
        <v>2201010754</v>
      </c>
      <c r="E26" s="17" t="s">
        <v>1809</v>
      </c>
      <c r="F26" s="17" t="e">
        <f>VLOOKUP(C26,'Fast Track '!B:C,2,FALSE)</f>
        <v>#N/A</v>
      </c>
      <c r="G26" s="17" t="s">
        <v>3731</v>
      </c>
      <c r="H26" s="17" t="s">
        <v>40</v>
      </c>
      <c r="I26" s="17" t="str">
        <f>VLOOKUP(C26,Sheet1!D:J,6,FALSE)</f>
        <v>2022005697.umashanker@pt.sharda.ac.in</v>
      </c>
      <c r="J26" s="17" t="str">
        <f>VLOOKUP(C26,Sheet1!D:J,7,FALSE)</f>
        <v>9867931067</v>
      </c>
      <c r="K26" s="17" t="s">
        <v>15</v>
      </c>
      <c r="L26" s="37" t="s">
        <v>3645</v>
      </c>
      <c r="M26" t="s">
        <v>3660</v>
      </c>
    </row>
    <row r="27" spans="1:13">
      <c r="A27" s="17">
        <v>26</v>
      </c>
      <c r="B27" s="17" t="s">
        <v>78</v>
      </c>
      <c r="C27" s="17">
        <v>2022439020</v>
      </c>
      <c r="D27" s="17">
        <v>2201010780</v>
      </c>
      <c r="E27" s="17" t="s">
        <v>1809</v>
      </c>
      <c r="F27" s="17" t="e">
        <f>VLOOKUP(C27,'Fast Track '!B:C,2,FALSE)</f>
        <v>#N/A</v>
      </c>
      <c r="G27" s="17" t="s">
        <v>3732</v>
      </c>
      <c r="H27" s="17" t="s">
        <v>79</v>
      </c>
      <c r="I27" s="17" t="str">
        <f>VLOOKUP(C27,Sheet1!D:J,6,FALSE)</f>
        <v>2022439020.luv@pt.sharda.ac.in</v>
      </c>
      <c r="J27" s="17" t="str">
        <f>VLOOKUP(C27,Sheet1!D:J,7,FALSE)</f>
        <v>9971284298</v>
      </c>
      <c r="K27" s="17" t="s">
        <v>15</v>
      </c>
      <c r="L27" s="37" t="s">
        <v>3645</v>
      </c>
      <c r="M27" t="s">
        <v>3660</v>
      </c>
    </row>
    <row r="28" spans="1:13">
      <c r="A28" s="17">
        <v>27</v>
      </c>
      <c r="B28" s="17" t="s">
        <v>43</v>
      </c>
      <c r="C28" s="17">
        <v>2022007449</v>
      </c>
      <c r="D28" s="17">
        <v>2201010849</v>
      </c>
      <c r="E28" s="17" t="s">
        <v>1809</v>
      </c>
      <c r="F28" s="17" t="e">
        <f>VLOOKUP(C28,'Fast Track '!B:C,2,FALSE)</f>
        <v>#N/A</v>
      </c>
      <c r="G28" s="17" t="s">
        <v>3733</v>
      </c>
      <c r="H28" s="17" t="s">
        <v>44</v>
      </c>
      <c r="I28" s="17" t="str">
        <f>VLOOKUP(C28,Sheet1!D:J,6,FALSE)</f>
        <v>2022007449.bishnu@pt.sharda.ac.in</v>
      </c>
      <c r="J28" s="17" t="str">
        <f>VLOOKUP(C28,Sheet1!D:J,7,FALSE)</f>
        <v>9366242126</v>
      </c>
      <c r="K28" s="17" t="s">
        <v>15</v>
      </c>
      <c r="L28" s="37" t="s">
        <v>3645</v>
      </c>
      <c r="M28" t="s">
        <v>3660</v>
      </c>
    </row>
    <row r="29" spans="1:13">
      <c r="A29" s="17">
        <v>28</v>
      </c>
      <c r="B29" s="17" t="s">
        <v>56</v>
      </c>
      <c r="C29" s="17">
        <v>2022369268</v>
      </c>
      <c r="D29" s="17">
        <v>2201010870</v>
      </c>
      <c r="E29" s="17" t="s">
        <v>1809</v>
      </c>
      <c r="F29" s="17" t="e">
        <f>VLOOKUP(C29,'Fast Track '!B:C,2,FALSE)</f>
        <v>#N/A</v>
      </c>
      <c r="G29" s="17" t="s">
        <v>3734</v>
      </c>
      <c r="H29" s="17" t="s">
        <v>57</v>
      </c>
      <c r="I29" s="17" t="str">
        <f>VLOOKUP(C29,Sheet1!D:J,6,FALSE)</f>
        <v>2022369268.tariqahmad@pt.sharda.ac.in</v>
      </c>
      <c r="J29" s="17" t="str">
        <f>VLOOKUP(C29,Sheet1!D:J,7,FALSE)</f>
        <v>6005823801</v>
      </c>
      <c r="K29" s="17" t="s">
        <v>15</v>
      </c>
      <c r="L29" s="37" t="s">
        <v>3645</v>
      </c>
      <c r="M29" t="s">
        <v>3660</v>
      </c>
    </row>
    <row r="30" spans="1:13">
      <c r="A30" s="17">
        <v>29</v>
      </c>
      <c r="B30" s="17" t="s">
        <v>115</v>
      </c>
      <c r="C30" s="17">
        <v>2022528998</v>
      </c>
      <c r="D30" s="17">
        <v>2201010876</v>
      </c>
      <c r="E30" s="17" t="s">
        <v>1809</v>
      </c>
      <c r="F30" s="17" t="e">
        <f>VLOOKUP(C30,'Fast Track '!B:C,2,FALSE)</f>
        <v>#N/A</v>
      </c>
      <c r="G30" s="17" t="s">
        <v>3735</v>
      </c>
      <c r="H30" s="17" t="s">
        <v>116</v>
      </c>
      <c r="I30" s="17" t="str">
        <f>VLOOKUP(C30,Sheet1!D:J,6,FALSE)</f>
        <v>2022528998.santosh@pt.sharda.ac.in</v>
      </c>
      <c r="J30" s="17" t="str">
        <f>VLOOKUP(C30,Sheet1!D:J,7,FALSE)</f>
        <v>9142324099</v>
      </c>
      <c r="K30" s="17" t="s">
        <v>15</v>
      </c>
      <c r="L30" s="37" t="s">
        <v>3645</v>
      </c>
      <c r="M30" t="s">
        <v>3660</v>
      </c>
    </row>
    <row r="31" spans="1:13">
      <c r="A31" s="17">
        <v>30</v>
      </c>
      <c r="B31" s="17" t="s">
        <v>807</v>
      </c>
      <c r="C31" s="17">
        <v>2021482470</v>
      </c>
      <c r="D31" s="17">
        <v>210101376</v>
      </c>
      <c r="E31" s="17" t="s">
        <v>1809</v>
      </c>
      <c r="F31" s="17" t="e">
        <f>VLOOKUP(C31,'Fast Track '!B:C,2,FALSE)</f>
        <v>#N/A</v>
      </c>
      <c r="G31" s="17" t="s">
        <v>3736</v>
      </c>
      <c r="H31" s="17" t="s">
        <v>808</v>
      </c>
      <c r="I31" s="17" t="str">
        <f>VLOOKUP(C31,Sheet1!D:J,6,FALSE)</f>
        <v>2021482470.suchand@pt.sharda.ac.in</v>
      </c>
      <c r="J31" s="17" t="str">
        <f>VLOOKUP(C31,Sheet1!D:J,7,FALSE)</f>
        <v>6370261378</v>
      </c>
      <c r="K31" s="17" t="s">
        <v>15</v>
      </c>
      <c r="L31" s="37" t="s">
        <v>3644</v>
      </c>
      <c r="M31" t="s">
        <v>3661</v>
      </c>
    </row>
    <row r="32" spans="1:13">
      <c r="A32" s="17">
        <v>31</v>
      </c>
      <c r="B32" s="17" t="s">
        <v>227</v>
      </c>
      <c r="C32" s="17">
        <v>2022567112</v>
      </c>
      <c r="D32" s="17">
        <v>2201010071</v>
      </c>
      <c r="E32" s="17" t="s">
        <v>1809</v>
      </c>
      <c r="F32" s="17" t="e">
        <f>VLOOKUP(C32,'Fast Track '!B:C,2,FALSE)</f>
        <v>#N/A</v>
      </c>
      <c r="G32" s="17" t="s">
        <v>3737</v>
      </c>
      <c r="H32" s="17" t="s">
        <v>228</v>
      </c>
      <c r="I32" s="17" t="str">
        <f>VLOOKUP(C32,Sheet1!D:J,6,FALSE)</f>
        <v>2022567112.santoshkumar@pt.sharda.ac.in</v>
      </c>
      <c r="J32" s="17" t="str">
        <f>VLOOKUP(C32,Sheet1!D:J,7,FALSE)</f>
        <v>9142316341</v>
      </c>
      <c r="K32" s="17" t="s">
        <v>15</v>
      </c>
      <c r="L32" s="37" t="s">
        <v>3644</v>
      </c>
      <c r="M32" t="s">
        <v>3661</v>
      </c>
    </row>
    <row r="33" spans="1:13">
      <c r="A33" s="17">
        <v>32</v>
      </c>
      <c r="B33" s="17" t="s">
        <v>150</v>
      </c>
      <c r="C33" s="17">
        <v>2022006152</v>
      </c>
      <c r="D33" s="17">
        <v>2201010075</v>
      </c>
      <c r="E33" s="17" t="s">
        <v>1809</v>
      </c>
      <c r="F33" s="17" t="e">
        <f>VLOOKUP(C33,'Fast Track '!B:C,2,FALSE)</f>
        <v>#N/A</v>
      </c>
      <c r="G33" s="17" t="s">
        <v>3738</v>
      </c>
      <c r="H33" s="17" t="s">
        <v>151</v>
      </c>
      <c r="I33" s="17" t="str">
        <f>VLOOKUP(C33,Sheet1!D:J,6,FALSE)</f>
        <v>2022006152.jaikishan@pt.sharda.ac.in</v>
      </c>
      <c r="J33" s="17" t="str">
        <f>VLOOKUP(C33,Sheet1!D:J,7,FALSE)</f>
        <v>9654088144</v>
      </c>
      <c r="K33" s="17" t="s">
        <v>15</v>
      </c>
      <c r="L33" s="37" t="s">
        <v>3644</v>
      </c>
      <c r="M33" t="s">
        <v>3661</v>
      </c>
    </row>
    <row r="34" spans="1:13">
      <c r="A34" s="17">
        <v>33</v>
      </c>
      <c r="B34" s="17" t="s">
        <v>160</v>
      </c>
      <c r="C34" s="17">
        <v>2022006654</v>
      </c>
      <c r="D34" s="17">
        <v>2201010088</v>
      </c>
      <c r="E34" s="17" t="s">
        <v>1809</v>
      </c>
      <c r="F34" s="17" t="e">
        <f>VLOOKUP(C34,'Fast Track '!B:C,2,FALSE)</f>
        <v>#N/A</v>
      </c>
      <c r="G34" s="17" t="s">
        <v>3739</v>
      </c>
      <c r="H34" s="17" t="s">
        <v>161</v>
      </c>
      <c r="I34" s="17" t="str">
        <f>VLOOKUP(C34,Sheet1!D:J,6,FALSE)</f>
        <v>2022006654.rajeshwar@pt.sharda.ac.in</v>
      </c>
      <c r="J34" s="17" t="str">
        <f>VLOOKUP(C34,Sheet1!D:J,7,FALSE)</f>
        <v>9667127584</v>
      </c>
      <c r="K34" s="17" t="s">
        <v>15</v>
      </c>
      <c r="L34" s="37" t="s">
        <v>3644</v>
      </c>
      <c r="M34" t="s">
        <v>3661</v>
      </c>
    </row>
    <row r="35" spans="1:13">
      <c r="A35" s="17">
        <v>34</v>
      </c>
      <c r="B35" s="17" t="s">
        <v>154</v>
      </c>
      <c r="C35" s="17">
        <v>2022006318</v>
      </c>
      <c r="D35" s="17">
        <v>2201010126</v>
      </c>
      <c r="E35" s="17" t="s">
        <v>1809</v>
      </c>
      <c r="F35" s="17" t="e">
        <f>VLOOKUP(C35,'Fast Track '!B:C,2,FALSE)</f>
        <v>#N/A</v>
      </c>
      <c r="G35" s="17" t="s">
        <v>3740</v>
      </c>
      <c r="H35" s="17" t="s">
        <v>155</v>
      </c>
      <c r="I35" s="17" t="str">
        <f>VLOOKUP(C35,Sheet1!D:J,6,FALSE)</f>
        <v>2022006318.md@pt.sharda.ac.in</v>
      </c>
      <c r="J35" s="17" t="str">
        <f>VLOOKUP(C35,Sheet1!D:J,7,FALSE)</f>
        <v>9289882117</v>
      </c>
      <c r="K35" s="17" t="s">
        <v>15</v>
      </c>
      <c r="L35" s="37" t="s">
        <v>3644</v>
      </c>
      <c r="M35" t="s">
        <v>3661</v>
      </c>
    </row>
    <row r="36" spans="1:13">
      <c r="A36" s="17">
        <v>35</v>
      </c>
      <c r="B36" s="17" t="s">
        <v>618</v>
      </c>
      <c r="C36" s="17">
        <v>2022002822</v>
      </c>
      <c r="D36" s="17">
        <v>2201010272</v>
      </c>
      <c r="E36" s="17" t="s">
        <v>1809</v>
      </c>
      <c r="F36" s="17" t="e">
        <f>VLOOKUP(C36,'Fast Track '!B:C,2,FALSE)</f>
        <v>#N/A</v>
      </c>
      <c r="G36" s="17" t="s">
        <v>3741</v>
      </c>
      <c r="H36" s="17" t="s">
        <v>811</v>
      </c>
      <c r="I36" s="17" t="str">
        <f>VLOOKUP(C36,Sheet1!D:J,6,FALSE)</f>
        <v>2022002822.jaidev@pt.sharda.ac.in</v>
      </c>
      <c r="J36" s="17" t="str">
        <f>VLOOKUP(C36,Sheet1!D:J,7,FALSE)</f>
        <v>6395061345</v>
      </c>
      <c r="K36" s="17" t="s">
        <v>15</v>
      </c>
      <c r="L36" s="37" t="s">
        <v>3644</v>
      </c>
      <c r="M36" t="s">
        <v>3661</v>
      </c>
    </row>
    <row r="37" spans="1:13">
      <c r="A37" s="17">
        <v>36</v>
      </c>
      <c r="B37" s="17" t="s">
        <v>241</v>
      </c>
      <c r="C37" s="17">
        <v>2022819221</v>
      </c>
      <c r="D37" s="17">
        <v>2201010307</v>
      </c>
      <c r="E37" s="17" t="s">
        <v>1809</v>
      </c>
      <c r="F37" s="17" t="e">
        <f>VLOOKUP(C37,'Fast Track '!B:C,2,FALSE)</f>
        <v>#N/A</v>
      </c>
      <c r="G37" s="17" t="s">
        <v>3742</v>
      </c>
      <c r="H37" s="17" t="s">
        <v>242</v>
      </c>
      <c r="I37" s="17" t="str">
        <f>VLOOKUP(C37,Sheet1!D:J,6,FALSE)</f>
        <v>2022819221.bishwanath@pt.sharda.ac.in</v>
      </c>
      <c r="J37" s="17" t="str">
        <f>VLOOKUP(C37,Sheet1!D:J,7,FALSE)</f>
        <v>91 7011069348</v>
      </c>
      <c r="K37" s="17" t="s">
        <v>15</v>
      </c>
      <c r="L37" s="37" t="s">
        <v>3644</v>
      </c>
      <c r="M37" t="s">
        <v>3661</v>
      </c>
    </row>
    <row r="38" spans="1:13">
      <c r="A38" s="17">
        <v>37</v>
      </c>
      <c r="B38" s="17" t="s">
        <v>253</v>
      </c>
      <c r="C38" s="17">
        <v>2022834589</v>
      </c>
      <c r="D38" s="17">
        <v>2201010444</v>
      </c>
      <c r="E38" s="17" t="s">
        <v>1809</v>
      </c>
      <c r="F38" s="17" t="e">
        <f>VLOOKUP(C38,'Fast Track '!B:C,2,FALSE)</f>
        <v>#N/A</v>
      </c>
      <c r="G38" s="17" t="s">
        <v>3743</v>
      </c>
      <c r="H38" s="17" t="s">
        <v>254</v>
      </c>
      <c r="I38" s="17" t="str">
        <f>VLOOKUP(C38,Sheet1!D:J,6,FALSE)</f>
        <v>2022834589.indalpurbe@pt.sharda.ac.in</v>
      </c>
      <c r="J38" s="17" t="str">
        <f>VLOOKUP(C38,Sheet1!D:J,7,FALSE)</f>
        <v>977 9824256171</v>
      </c>
      <c r="K38" s="17" t="s">
        <v>15</v>
      </c>
      <c r="L38" s="37" t="s">
        <v>3644</v>
      </c>
      <c r="M38" t="s">
        <v>3661</v>
      </c>
    </row>
    <row r="39" spans="1:13">
      <c r="A39" s="17">
        <v>38</v>
      </c>
      <c r="B39" s="17" t="s">
        <v>193</v>
      </c>
      <c r="C39" s="17">
        <v>2022443535</v>
      </c>
      <c r="D39" s="17">
        <v>2201010451</v>
      </c>
      <c r="E39" s="17" t="s">
        <v>1809</v>
      </c>
      <c r="F39" s="17" t="e">
        <f>VLOOKUP(C39,'Fast Track '!B:C,2,FALSE)</f>
        <v>#N/A</v>
      </c>
      <c r="G39" s="17" t="s">
        <v>3744</v>
      </c>
      <c r="H39" s="17" t="s">
        <v>194</v>
      </c>
      <c r="I39" s="17" t="str">
        <f>VLOOKUP(C39,Sheet1!D:J,6,FALSE)</f>
        <v>2022443535.dinesh@pt.sharda.ac.in</v>
      </c>
      <c r="J39" s="17" t="str">
        <f>VLOOKUP(C39,Sheet1!D:J,7,FALSE)</f>
        <v>9336394829</v>
      </c>
      <c r="K39" s="17" t="s">
        <v>15</v>
      </c>
      <c r="L39" s="37" t="s">
        <v>3644</v>
      </c>
      <c r="M39" t="s">
        <v>3661</v>
      </c>
    </row>
    <row r="40" spans="1:13">
      <c r="A40" s="17">
        <v>39</v>
      </c>
      <c r="B40" s="17" t="s">
        <v>209</v>
      </c>
      <c r="C40" s="17">
        <v>2022503208</v>
      </c>
      <c r="D40" s="17">
        <v>2201010453</v>
      </c>
      <c r="E40" s="17" t="s">
        <v>1809</v>
      </c>
      <c r="F40" s="17" t="e">
        <f>VLOOKUP(C40,'Fast Track '!B:C,2,FALSE)</f>
        <v>#N/A</v>
      </c>
      <c r="G40" s="17" t="s">
        <v>3745</v>
      </c>
      <c r="H40" s="17" t="s">
        <v>210</v>
      </c>
      <c r="I40" s="17" t="str">
        <f>VLOOKUP(C40,Sheet1!D:J,6,FALSE)</f>
        <v>2022503208.ashok@pt.sharda.ac.in</v>
      </c>
      <c r="J40" s="17" t="str">
        <f>VLOOKUP(C40,Sheet1!D:J,7,FALSE)</f>
        <v>8587023411</v>
      </c>
      <c r="K40" s="17" t="s">
        <v>15</v>
      </c>
      <c r="L40" s="37" t="s">
        <v>3644</v>
      </c>
      <c r="M40" t="s">
        <v>3661</v>
      </c>
    </row>
    <row r="41" spans="1:13">
      <c r="A41" s="17">
        <v>40</v>
      </c>
      <c r="B41" s="17" t="s">
        <v>145</v>
      </c>
      <c r="C41" s="17">
        <v>2022559563</v>
      </c>
      <c r="D41" s="17">
        <v>2201010495</v>
      </c>
      <c r="E41" s="17" t="s">
        <v>1809</v>
      </c>
      <c r="F41" s="17" t="e">
        <f>VLOOKUP(C41,'Fast Track '!B:C,2,FALSE)</f>
        <v>#N/A</v>
      </c>
      <c r="G41" s="17" t="s">
        <v>3746</v>
      </c>
      <c r="H41" s="17" t="s">
        <v>146</v>
      </c>
      <c r="I41" s="17" t="str">
        <f>VLOOKUP(C41,Sheet1!D:J,6,FALSE)</f>
        <v>2022559563.bharatsingh@pt.sharda.ac.in</v>
      </c>
      <c r="J41" s="17" t="str">
        <f>VLOOKUP(C41,Sheet1!D:J,7,FALSE)</f>
        <v>9548745734</v>
      </c>
      <c r="K41" s="17" t="s">
        <v>15</v>
      </c>
      <c r="L41" s="37" t="s">
        <v>3644</v>
      </c>
      <c r="M41" t="s">
        <v>3661</v>
      </c>
    </row>
    <row r="42" spans="1:13">
      <c r="A42" s="17">
        <v>41</v>
      </c>
      <c r="B42" s="17" t="s">
        <v>181</v>
      </c>
      <c r="C42" s="17">
        <v>2022304804</v>
      </c>
      <c r="D42" s="17">
        <v>2201010534</v>
      </c>
      <c r="E42" s="17" t="s">
        <v>1809</v>
      </c>
      <c r="F42" s="17" t="e">
        <f>VLOOKUP(C42,'Fast Track '!B:C,2,FALSE)</f>
        <v>#N/A</v>
      </c>
      <c r="G42" s="17" t="s">
        <v>3747</v>
      </c>
      <c r="H42" s="17" t="s">
        <v>182</v>
      </c>
      <c r="I42" s="17" t="str">
        <f>VLOOKUP(C42,Sheet1!D:J,6,FALSE)</f>
        <v>2022304804.shailesh@pt.sharda.ac.in</v>
      </c>
      <c r="J42" s="17" t="str">
        <f>VLOOKUP(C42,Sheet1!D:J,7,FALSE)</f>
        <v>9076913494</v>
      </c>
      <c r="K42" s="17" t="s">
        <v>15</v>
      </c>
      <c r="L42" s="37" t="s">
        <v>3644</v>
      </c>
      <c r="M42" t="s">
        <v>3661</v>
      </c>
    </row>
    <row r="43" spans="1:13">
      <c r="A43" s="17">
        <v>42</v>
      </c>
      <c r="B43" s="17" t="s">
        <v>156</v>
      </c>
      <c r="C43" s="17">
        <v>2022006437</v>
      </c>
      <c r="D43" s="17">
        <v>2201010536</v>
      </c>
      <c r="E43" s="17" t="s">
        <v>1809</v>
      </c>
      <c r="F43" s="17" t="e">
        <f>VLOOKUP(C43,'Fast Track '!B:C,2,FALSE)</f>
        <v>#N/A</v>
      </c>
      <c r="G43" s="17" t="s">
        <v>3748</v>
      </c>
      <c r="H43" s="17" t="s">
        <v>157</v>
      </c>
      <c r="I43" s="17" t="str">
        <f>VLOOKUP(C43,Sheet1!D:J,6,FALSE)</f>
        <v>2022006437.arunkumar@pt.sharda.ac.in</v>
      </c>
      <c r="J43" s="17" t="str">
        <f>VLOOKUP(C43,Sheet1!D:J,7,FALSE)</f>
        <v>8377044082</v>
      </c>
      <c r="K43" s="17" t="s">
        <v>15</v>
      </c>
      <c r="L43" s="37" t="s">
        <v>3644</v>
      </c>
      <c r="M43" t="s">
        <v>3661</v>
      </c>
    </row>
    <row r="44" spans="1:13">
      <c r="A44" s="17">
        <v>43</v>
      </c>
      <c r="B44" s="17" t="s">
        <v>205</v>
      </c>
      <c r="C44" s="17">
        <v>2022502123</v>
      </c>
      <c r="D44" s="17">
        <v>2201010541</v>
      </c>
      <c r="E44" s="17" t="s">
        <v>1809</v>
      </c>
      <c r="F44" s="17" t="e">
        <f>VLOOKUP(C44,'Fast Track '!B:C,2,FALSE)</f>
        <v>#N/A</v>
      </c>
      <c r="G44" s="17" t="s">
        <v>3749</v>
      </c>
      <c r="H44" s="17" t="s">
        <v>206</v>
      </c>
      <c r="I44" s="17" t="str">
        <f>VLOOKUP(C44,Sheet1!D:J,6,FALSE)</f>
        <v>2022502123.nawalkumar@pt.sharda.ac.in</v>
      </c>
      <c r="J44" s="17" t="str">
        <f>VLOOKUP(C44,Sheet1!D:J,7,FALSE)</f>
        <v>7295035144</v>
      </c>
      <c r="K44" s="17" t="s">
        <v>15</v>
      </c>
      <c r="L44" s="37" t="s">
        <v>3644</v>
      </c>
      <c r="M44" t="s">
        <v>3661</v>
      </c>
    </row>
    <row r="45" spans="1:13">
      <c r="A45" s="17">
        <v>44</v>
      </c>
      <c r="B45" s="17" t="s">
        <v>215</v>
      </c>
      <c r="C45" s="17">
        <v>2022554897</v>
      </c>
      <c r="D45" s="17">
        <v>2201010562</v>
      </c>
      <c r="E45" s="17" t="s">
        <v>1809</v>
      </c>
      <c r="F45" s="17" t="e">
        <f>VLOOKUP(C45,'Fast Track '!B:C,2,FALSE)</f>
        <v>#N/A</v>
      </c>
      <c r="G45" s="17" t="s">
        <v>3750</v>
      </c>
      <c r="H45" s="17" t="s">
        <v>216</v>
      </c>
      <c r="I45" s="17" t="str">
        <f>VLOOKUP(C45,Sheet1!D:J,6,FALSE)</f>
        <v>2022554897.devendrakumar@pt.sharda.ac.in</v>
      </c>
      <c r="J45" s="17" t="str">
        <f>VLOOKUP(C45,Sheet1!D:J,7,FALSE)</f>
        <v>9693985964</v>
      </c>
      <c r="K45" s="17" t="s">
        <v>15</v>
      </c>
      <c r="L45" s="37" t="s">
        <v>3644</v>
      </c>
      <c r="M45" t="s">
        <v>3661</v>
      </c>
    </row>
    <row r="46" spans="1:13">
      <c r="A46" s="17">
        <v>45</v>
      </c>
      <c r="B46" s="17" t="s">
        <v>133</v>
      </c>
      <c r="C46" s="17">
        <v>2022006859</v>
      </c>
      <c r="D46" s="17">
        <v>2201010563</v>
      </c>
      <c r="E46" s="17" t="s">
        <v>1809</v>
      </c>
      <c r="F46" s="17" t="e">
        <f>VLOOKUP(C46,'Fast Track '!B:C,2,FALSE)</f>
        <v>#N/A</v>
      </c>
      <c r="G46" s="17" t="s">
        <v>3751</v>
      </c>
      <c r="H46" s="17" t="s">
        <v>134</v>
      </c>
      <c r="I46" s="17" t="str">
        <f>VLOOKUP(C46,Sheet1!D:J,6,FALSE)</f>
        <v>2022006859.munnakumar@pt.sharda.ac.in</v>
      </c>
      <c r="J46" s="17" t="str">
        <f>VLOOKUP(C46,Sheet1!D:J,7,FALSE)</f>
        <v>9821056602</v>
      </c>
      <c r="K46" s="17" t="s">
        <v>15</v>
      </c>
      <c r="L46" s="37" t="s">
        <v>3644</v>
      </c>
      <c r="M46" t="s">
        <v>3661</v>
      </c>
    </row>
    <row r="47" spans="1:13">
      <c r="A47" s="17">
        <v>46</v>
      </c>
      <c r="B47" s="17" t="s">
        <v>183</v>
      </c>
      <c r="C47" s="17">
        <v>2022317952</v>
      </c>
      <c r="D47" s="17">
        <v>2201010587</v>
      </c>
      <c r="E47" s="17" t="s">
        <v>1809</v>
      </c>
      <c r="F47" s="17" t="e">
        <f>VLOOKUP(C47,'Fast Track '!B:C,2,FALSE)</f>
        <v>#N/A</v>
      </c>
      <c r="G47" s="17" t="s">
        <v>3752</v>
      </c>
      <c r="H47" s="17" t="s">
        <v>184</v>
      </c>
      <c r="I47" s="17" t="str">
        <f>VLOOKUP(C47,Sheet1!D:J,6,FALSE)</f>
        <v>2022317952.ravindersingh@pt.sharda.ac.in</v>
      </c>
      <c r="J47" s="17" t="str">
        <f>VLOOKUP(C47,Sheet1!D:J,7,FALSE)</f>
        <v>9667869832</v>
      </c>
      <c r="K47" s="17" t="s">
        <v>15</v>
      </c>
      <c r="L47" s="37" t="s">
        <v>3644</v>
      </c>
      <c r="M47" t="s">
        <v>3661</v>
      </c>
    </row>
    <row r="48" spans="1:13">
      <c r="A48" s="17">
        <v>47</v>
      </c>
      <c r="B48" s="17" t="s">
        <v>199</v>
      </c>
      <c r="C48" s="17">
        <v>2022483390</v>
      </c>
      <c r="D48" s="17">
        <v>2201010595</v>
      </c>
      <c r="E48" s="17" t="s">
        <v>1809</v>
      </c>
      <c r="F48" s="17" t="e">
        <f>VLOOKUP(C48,'Fast Track '!B:C,2,FALSE)</f>
        <v>#N/A</v>
      </c>
      <c r="G48" s="17" t="s">
        <v>3753</v>
      </c>
      <c r="H48" s="17" t="s">
        <v>200</v>
      </c>
      <c r="I48" s="17" t="str">
        <f>VLOOKUP(C48,Sheet1!D:J,6,FALSE)</f>
        <v>2022483390.yadunandan@pt.sharda.ac.in</v>
      </c>
      <c r="J48" s="17" t="str">
        <f>VLOOKUP(C48,Sheet1!D:J,7,FALSE)</f>
        <v>7061826795</v>
      </c>
      <c r="K48" s="17" t="s">
        <v>15</v>
      </c>
      <c r="L48" s="37" t="s">
        <v>3644</v>
      </c>
      <c r="M48" t="s">
        <v>3661</v>
      </c>
    </row>
    <row r="49" spans="1:13">
      <c r="A49" s="17">
        <v>48</v>
      </c>
      <c r="B49" s="17" t="s">
        <v>221</v>
      </c>
      <c r="C49" s="17">
        <v>2022558819</v>
      </c>
      <c r="D49" s="17">
        <v>2201010621</v>
      </c>
      <c r="E49" s="17" t="s">
        <v>1809</v>
      </c>
      <c r="F49" s="17" t="e">
        <f>VLOOKUP(C49,'Fast Track '!B:C,2,FALSE)</f>
        <v>#N/A</v>
      </c>
      <c r="G49" s="17" t="s">
        <v>3754</v>
      </c>
      <c r="H49" s="17" t="s">
        <v>222</v>
      </c>
      <c r="I49" s="17" t="str">
        <f>VLOOKUP(C49,Sheet1!D:J,6,FALSE)</f>
        <v>2022558819.hemant@pt.sharda.ac.in</v>
      </c>
      <c r="J49" s="17" t="str">
        <f>VLOOKUP(C49,Sheet1!D:J,7,FALSE)</f>
        <v>8252799984</v>
      </c>
      <c r="K49" s="17" t="s">
        <v>15</v>
      </c>
      <c r="L49" s="37" t="s">
        <v>3644</v>
      </c>
      <c r="M49" t="s">
        <v>3661</v>
      </c>
    </row>
    <row r="50" spans="1:13">
      <c r="A50" s="17">
        <v>49</v>
      </c>
      <c r="B50" s="17" t="s">
        <v>243</v>
      </c>
      <c r="C50" s="17">
        <v>2022820996</v>
      </c>
      <c r="D50" s="17">
        <v>2201010647</v>
      </c>
      <c r="E50" s="17" t="s">
        <v>1809</v>
      </c>
      <c r="F50" s="17" t="e">
        <f>VLOOKUP(C50,'Fast Track '!B:C,2,FALSE)</f>
        <v>#N/A</v>
      </c>
      <c r="G50" s="17" t="s">
        <v>3755</v>
      </c>
      <c r="H50" s="17" t="s">
        <v>244</v>
      </c>
      <c r="I50" s="17" t="str">
        <f>VLOOKUP(C50,Sheet1!D:J,6,FALSE)</f>
        <v>2022820996.gunbahadur@pt.sharda.ac.in</v>
      </c>
      <c r="J50" s="17" t="str">
        <f>VLOOKUP(C50,Sheet1!D:J,7,FALSE)</f>
        <v>8595197137</v>
      </c>
      <c r="K50" s="17" t="s">
        <v>15</v>
      </c>
      <c r="L50" s="37" t="s">
        <v>3644</v>
      </c>
      <c r="M50" t="s">
        <v>3661</v>
      </c>
    </row>
    <row r="51" spans="1:13">
      <c r="A51" s="17">
        <v>50</v>
      </c>
      <c r="B51" s="17" t="s">
        <v>259</v>
      </c>
      <c r="C51" s="17">
        <v>2022468330</v>
      </c>
      <c r="D51" s="17">
        <v>2201010670</v>
      </c>
      <c r="E51" s="17" t="s">
        <v>1809</v>
      </c>
      <c r="F51" s="17" t="e">
        <f>VLOOKUP(C51,'Fast Track '!B:C,2,FALSE)</f>
        <v>#N/A</v>
      </c>
      <c r="G51" s="17" t="s">
        <v>3756</v>
      </c>
      <c r="H51" s="17" t="s">
        <v>260</v>
      </c>
      <c r="I51" s="17" t="str">
        <f>VLOOKUP(C51,Sheet1!D:J,6,FALSE)</f>
        <v>2022468330.surendra@pt.sharda.ac.in</v>
      </c>
      <c r="J51" s="17" t="str">
        <f>VLOOKUP(C51,Sheet1!D:J,7,FALSE)</f>
        <v>7982564713</v>
      </c>
      <c r="K51" s="17" t="s">
        <v>15</v>
      </c>
      <c r="L51" s="37" t="s">
        <v>3644</v>
      </c>
      <c r="M51" t="s">
        <v>3661</v>
      </c>
    </row>
    <row r="52" spans="1:13">
      <c r="A52" s="17">
        <v>51</v>
      </c>
      <c r="B52" s="17" t="s">
        <v>168</v>
      </c>
      <c r="C52" s="17">
        <v>2022006890</v>
      </c>
      <c r="D52" s="17">
        <v>2201010686</v>
      </c>
      <c r="E52" s="17" t="s">
        <v>1809</v>
      </c>
      <c r="F52" s="17" t="e">
        <f>VLOOKUP(C52,'Fast Track '!B:C,2,FALSE)</f>
        <v>#N/A</v>
      </c>
      <c r="G52" s="17" t="s">
        <v>3757</v>
      </c>
      <c r="H52" s="17" t="s">
        <v>169</v>
      </c>
      <c r="I52" s="17" t="str">
        <f>VLOOKUP(C52,Sheet1!D:J,6,FALSE)</f>
        <v>2022006890.arvindkumar@pt.sharda.ac.in</v>
      </c>
      <c r="J52" s="17" t="str">
        <f>VLOOKUP(C52,Sheet1!D:J,7,FALSE)</f>
        <v>7905342875</v>
      </c>
      <c r="K52" s="17" t="s">
        <v>15</v>
      </c>
      <c r="L52" s="37" t="s">
        <v>3644</v>
      </c>
      <c r="M52" t="s">
        <v>3661</v>
      </c>
    </row>
    <row r="53" spans="1:13">
      <c r="A53" s="17">
        <v>52</v>
      </c>
      <c r="B53" s="17" t="s">
        <v>223</v>
      </c>
      <c r="C53" s="17">
        <v>2022559432</v>
      </c>
      <c r="D53" s="17">
        <v>2201010689</v>
      </c>
      <c r="E53" s="17" t="s">
        <v>1809</v>
      </c>
      <c r="F53" s="17" t="e">
        <f>VLOOKUP(C53,'Fast Track '!B:C,2,FALSE)</f>
        <v>#N/A</v>
      </c>
      <c r="G53" s="17" t="s">
        <v>3758</v>
      </c>
      <c r="H53" s="17" t="s">
        <v>224</v>
      </c>
      <c r="I53" s="17" t="str">
        <f>VLOOKUP(C53,Sheet1!D:J,6,FALSE)</f>
        <v>2022559432.hem@pt.sharda.ac.in</v>
      </c>
      <c r="J53" s="17" t="str">
        <f>VLOOKUP(C53,Sheet1!D:J,7,FALSE)</f>
        <v>6263994974</v>
      </c>
      <c r="K53" s="17" t="s">
        <v>15</v>
      </c>
      <c r="L53" s="37" t="s">
        <v>3644</v>
      </c>
      <c r="M53" t="s">
        <v>3661</v>
      </c>
    </row>
    <row r="54" spans="1:13">
      <c r="A54" s="17">
        <v>53</v>
      </c>
      <c r="B54" s="17" t="s">
        <v>187</v>
      </c>
      <c r="C54" s="17">
        <v>2022403475</v>
      </c>
      <c r="D54" s="17">
        <v>2201010726</v>
      </c>
      <c r="E54" s="17" t="s">
        <v>1809</v>
      </c>
      <c r="F54" s="17" t="e">
        <f>VLOOKUP(C54,'Fast Track '!B:C,2,FALSE)</f>
        <v>#N/A</v>
      </c>
      <c r="G54" s="17" t="s">
        <v>3759</v>
      </c>
      <c r="H54" s="17" t="s">
        <v>188</v>
      </c>
      <c r="I54" s="17" t="str">
        <f>VLOOKUP(C54,Sheet1!D:J,6,FALSE)</f>
        <v>2022403475.satyendrakumar@pt.sharda.ac.in</v>
      </c>
      <c r="J54" s="17" t="str">
        <f>VLOOKUP(C54,Sheet1!D:J,7,FALSE)</f>
        <v>8433363676</v>
      </c>
      <c r="K54" s="17" t="s">
        <v>15</v>
      </c>
      <c r="L54" s="37" t="s">
        <v>3644</v>
      </c>
      <c r="M54" t="s">
        <v>3661</v>
      </c>
    </row>
    <row r="55" spans="1:13">
      <c r="A55" s="17">
        <v>54</v>
      </c>
      <c r="B55" s="17" t="s">
        <v>147</v>
      </c>
      <c r="C55" s="17">
        <v>2022003841</v>
      </c>
      <c r="D55" s="17">
        <v>2201010798</v>
      </c>
      <c r="E55" s="17" t="s">
        <v>1809</v>
      </c>
      <c r="F55" s="17" t="e">
        <f>VLOOKUP(C55,'Fast Track '!B:C,2,FALSE)</f>
        <v>#N/A</v>
      </c>
      <c r="G55" s="17" t="s">
        <v>3760</v>
      </c>
      <c r="H55" s="17" t="s">
        <v>148</v>
      </c>
      <c r="I55" s="17" t="str">
        <f>VLOOKUP(C55,Sheet1!D:J,6,FALSE)</f>
        <v>2022003841.pushpendra@pt.sharda.ac.in</v>
      </c>
      <c r="J55" s="17" t="str">
        <f>VLOOKUP(C55,Sheet1!D:J,7,FALSE)</f>
        <v>9368863746</v>
      </c>
      <c r="K55" s="17" t="s">
        <v>15</v>
      </c>
      <c r="L55" s="37" t="s">
        <v>3644</v>
      </c>
      <c r="M55" t="s">
        <v>3661</v>
      </c>
    </row>
    <row r="56" spans="1:13">
      <c r="A56" s="17">
        <v>55</v>
      </c>
      <c r="B56" s="17" t="s">
        <v>170</v>
      </c>
      <c r="C56" s="17">
        <v>2022007179</v>
      </c>
      <c r="D56" s="17">
        <v>2201010836</v>
      </c>
      <c r="E56" s="17" t="s">
        <v>1809</v>
      </c>
      <c r="F56" s="17" t="e">
        <f>VLOOKUP(C56,'Fast Track '!B:C,2,FALSE)</f>
        <v>#N/A</v>
      </c>
      <c r="G56" s="17" t="s">
        <v>3761</v>
      </c>
      <c r="H56" s="17" t="s">
        <v>171</v>
      </c>
      <c r="I56" s="17" t="str">
        <f>VLOOKUP(C56,Sheet1!D:J,6,FALSE)</f>
        <v>2022007179.harish@pt.sharda.ac.in</v>
      </c>
      <c r="J56" s="17" t="str">
        <f>VLOOKUP(C56,Sheet1!D:J,7,FALSE)</f>
        <v>8076487808</v>
      </c>
      <c r="K56" s="17" t="s">
        <v>15</v>
      </c>
      <c r="L56" s="37" t="s">
        <v>3644</v>
      </c>
      <c r="M56" t="s">
        <v>3661</v>
      </c>
    </row>
    <row r="57" spans="1:13">
      <c r="A57" s="17">
        <v>56</v>
      </c>
      <c r="B57" s="17" t="s">
        <v>177</v>
      </c>
      <c r="C57" s="17">
        <v>2022007635</v>
      </c>
      <c r="D57" s="17">
        <v>2201010854</v>
      </c>
      <c r="E57" s="17" t="s">
        <v>1809</v>
      </c>
      <c r="F57" s="17" t="e">
        <f>VLOOKUP(C57,'Fast Track '!B:C,2,FALSE)</f>
        <v>#N/A</v>
      </c>
      <c r="G57" s="17" t="s">
        <v>3762</v>
      </c>
      <c r="H57" s="17" t="s">
        <v>178</v>
      </c>
      <c r="I57" s="17" t="str">
        <f>VLOOKUP(C57,Sheet1!D:J,6,FALSE)</f>
        <v>2022007635.mahavirprasad@pt.sharda.ac.in</v>
      </c>
      <c r="J57" s="17">
        <f>VLOOKUP(C57,Sheet1!D:J,7,FALSE)</f>
        <v>0</v>
      </c>
      <c r="K57" s="17" t="s">
        <v>15</v>
      </c>
      <c r="L57" s="37" t="s">
        <v>3644</v>
      </c>
      <c r="M57" t="s">
        <v>3661</v>
      </c>
    </row>
    <row r="58" spans="1:13">
      <c r="A58" s="17">
        <v>57</v>
      </c>
      <c r="B58" s="17" t="s">
        <v>203</v>
      </c>
      <c r="C58" s="17">
        <v>2022485674</v>
      </c>
      <c r="D58" s="17">
        <v>2201010872</v>
      </c>
      <c r="E58" s="17" t="s">
        <v>1809</v>
      </c>
      <c r="F58" s="17" t="e">
        <f>VLOOKUP(C58,'Fast Track '!B:C,2,FALSE)</f>
        <v>#N/A</v>
      </c>
      <c r="G58" s="17" t="s">
        <v>3763</v>
      </c>
      <c r="H58" s="17" t="s">
        <v>204</v>
      </c>
      <c r="I58" s="17" t="str">
        <f>VLOOKUP(C58,Sheet1!D:J,6,FALSE)</f>
        <v>2022485674.shivmuni@pt.sharda.ac.in</v>
      </c>
      <c r="J58" s="17" t="str">
        <f>VLOOKUP(C58,Sheet1!D:J,7,FALSE)</f>
        <v>6204937729</v>
      </c>
      <c r="K58" s="17" t="s">
        <v>15</v>
      </c>
      <c r="L58" s="37" t="s">
        <v>3644</v>
      </c>
      <c r="M58" t="s">
        <v>3661</v>
      </c>
    </row>
    <row r="59" spans="1:13">
      <c r="A59" s="17">
        <v>58</v>
      </c>
      <c r="B59" s="17" t="s">
        <v>257</v>
      </c>
      <c r="C59" s="17">
        <v>2022593768</v>
      </c>
      <c r="D59" s="17">
        <v>2201010891</v>
      </c>
      <c r="E59" s="17" t="s">
        <v>1809</v>
      </c>
      <c r="F59" s="17" t="e">
        <f>VLOOKUP(C59,'Fast Track '!B:C,2,FALSE)</f>
        <v>#N/A</v>
      </c>
      <c r="G59" s="17" t="s">
        <v>3764</v>
      </c>
      <c r="H59" s="17" t="s">
        <v>258</v>
      </c>
      <c r="I59" s="17" t="str">
        <f>VLOOKUP(C59,Sheet1!D:J,6,FALSE)</f>
        <v>2022593768.kamalbash@pt.sharda.ac.in</v>
      </c>
      <c r="J59" s="17" t="str">
        <f>VLOOKUP(C59,Sheet1!D:J,7,FALSE)</f>
        <v>7207263026</v>
      </c>
      <c r="K59" s="17"/>
      <c r="L59" s="37" t="s">
        <v>3644</v>
      </c>
      <c r="M59" t="s">
        <v>3661</v>
      </c>
    </row>
    <row r="60" spans="1:13">
      <c r="A60" s="17">
        <v>59</v>
      </c>
      <c r="B60" s="17" t="s">
        <v>237</v>
      </c>
      <c r="C60" s="17">
        <v>2022624445</v>
      </c>
      <c r="D60" s="17">
        <v>2201010906</v>
      </c>
      <c r="E60" s="17" t="s">
        <v>1809</v>
      </c>
      <c r="F60" s="17" t="e">
        <f>VLOOKUP(C60,'Fast Track '!B:C,2,FALSE)</f>
        <v>#N/A</v>
      </c>
      <c r="G60" s="17" t="s">
        <v>3765</v>
      </c>
      <c r="H60" s="17" t="s">
        <v>238</v>
      </c>
      <c r="I60" s="17" t="str">
        <f>VLOOKUP(C60,Sheet1!D:J,6,FALSE)</f>
        <v>2022624445.awadheshkumar@pt.sharda.ac.in</v>
      </c>
      <c r="J60" s="17" t="str">
        <f>VLOOKUP(C60,Sheet1!D:J,7,FALSE)</f>
        <v>9572408902</v>
      </c>
      <c r="K60" s="17"/>
      <c r="L60" s="37" t="s">
        <v>3644</v>
      </c>
      <c r="M60" t="s">
        <v>3661</v>
      </c>
    </row>
    <row r="61" spans="1:13">
      <c r="A61" s="17">
        <v>60</v>
      </c>
      <c r="B61" s="17" t="s">
        <v>255</v>
      </c>
      <c r="C61" s="17">
        <v>2023521223</v>
      </c>
      <c r="D61" s="17">
        <v>2301017014</v>
      </c>
      <c r="E61" s="17" t="s">
        <v>1809</v>
      </c>
      <c r="F61" s="17" t="e">
        <f>VLOOKUP(C61,'Fast Track '!B:C,2,FALSE)</f>
        <v>#N/A</v>
      </c>
      <c r="G61" s="17" t="s">
        <v>3766</v>
      </c>
      <c r="H61" s="17" t="s">
        <v>256</v>
      </c>
      <c r="I61" s="17" t="str">
        <f>VLOOKUP(C61,Sheet1!D:J,6,FALSE)</f>
        <v>2023521223.sushil@pt.sharda.ac.in</v>
      </c>
      <c r="J61" s="17" t="str">
        <f>VLOOKUP(C61,Sheet1!D:J,7,FALSE)</f>
        <v>8126223351</v>
      </c>
      <c r="K61" s="17"/>
      <c r="L61" s="37" t="s">
        <v>3644</v>
      </c>
      <c r="M61" t="s">
        <v>3661</v>
      </c>
    </row>
    <row r="62" spans="1:13">
      <c r="A62" s="61">
        <v>61</v>
      </c>
      <c r="B62" s="58" t="s">
        <v>3693</v>
      </c>
      <c r="C62" s="58">
        <v>2019618451</v>
      </c>
      <c r="E62" s="17" t="s">
        <v>1804</v>
      </c>
      <c r="F62" s="17" t="e">
        <f>VLOOKUP(C62,'Fast Track '!B:C,2,FALSE)</f>
        <v>#N/A</v>
      </c>
      <c r="G62" s="17" t="s">
        <v>3767</v>
      </c>
      <c r="H62" s="62" t="s">
        <v>3694</v>
      </c>
      <c r="J62">
        <v>9752104147</v>
      </c>
      <c r="K62" s="33" t="s">
        <v>15</v>
      </c>
      <c r="L62" s="38" t="s">
        <v>3644</v>
      </c>
    </row>
    <row r="63" spans="1:13">
      <c r="L63" s="37"/>
    </row>
  </sheetData>
  <conditionalFormatting sqref="C1">
    <cfRule type="duplicateValues" dxfId="124" priority="827"/>
  </conditionalFormatting>
  <conditionalFormatting sqref="C1:D1">
    <cfRule type="duplicateValues" dxfId="123" priority="829"/>
    <cfRule type="duplicateValues" dxfId="122" priority="830"/>
  </conditionalFormatting>
  <dataValidations count="1">
    <dataValidation type="list" allowBlank="1" showErrorMessage="1" sqref="L2:L62">
      <formula1>"G1,G2"</formula1>
    </dataValidation>
  </dataValidations>
  <hyperlinks>
    <hyperlink ref="H62" r:id="rId1"/>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N76"/>
  <sheetViews>
    <sheetView topLeftCell="A64" workbookViewId="0">
      <selection activeCell="B75" sqref="B75"/>
    </sheetView>
  </sheetViews>
  <sheetFormatPr defaultRowHeight="14.5"/>
  <cols>
    <col min="2" max="2" width="29.6328125" bestFit="1" customWidth="1"/>
    <col min="3" max="4" width="11" bestFit="1" customWidth="1"/>
    <col min="5" max="5" width="18.6328125" bestFit="1" customWidth="1"/>
    <col min="6" max="7" width="18.6328125" customWidth="1"/>
    <col min="8" max="8" width="35.453125" bestFit="1" customWidth="1"/>
    <col min="9" max="9" width="39.453125" bestFit="1" customWidth="1"/>
    <col min="10" max="10" width="11" bestFit="1" customWidth="1"/>
    <col min="11" max="11" width="22.6328125" bestFit="1" customWidth="1"/>
    <col min="12" max="12" width="11.54296875" style="38" customWidth="1"/>
  </cols>
  <sheetData>
    <row r="1" spans="1:13" ht="25">
      <c r="A1" s="1" t="s">
        <v>1</v>
      </c>
      <c r="B1" s="1" t="s">
        <v>2</v>
      </c>
      <c r="C1" s="1" t="s">
        <v>3</v>
      </c>
      <c r="D1" s="1" t="s">
        <v>4</v>
      </c>
      <c r="E1" s="1" t="s">
        <v>1817</v>
      </c>
      <c r="F1" s="1"/>
      <c r="G1" s="1"/>
      <c r="H1" s="1" t="s">
        <v>6</v>
      </c>
      <c r="I1" s="1" t="s">
        <v>1819</v>
      </c>
      <c r="J1" s="1" t="s">
        <v>1820</v>
      </c>
      <c r="K1" s="1" t="s">
        <v>7</v>
      </c>
      <c r="L1" s="36" t="s">
        <v>3676</v>
      </c>
      <c r="M1" s="41" t="s">
        <v>3677</v>
      </c>
    </row>
    <row r="2" spans="1:13">
      <c r="A2" s="5">
        <v>1</v>
      </c>
      <c r="B2" s="6" t="s">
        <v>1134</v>
      </c>
      <c r="C2" s="7">
        <v>2022003160</v>
      </c>
      <c r="D2" s="7">
        <v>2201010002</v>
      </c>
      <c r="E2" s="7" t="s">
        <v>1811</v>
      </c>
      <c r="F2" s="7" t="str">
        <f>VLOOKUP(C2,'Fast Track '!B:C,2,FALSE)</f>
        <v xml:space="preserve">Fasttrack </v>
      </c>
      <c r="G2" s="7" t="s">
        <v>3707</v>
      </c>
      <c r="H2" s="6" t="s">
        <v>1135</v>
      </c>
      <c r="I2" s="6" t="s">
        <v>2845</v>
      </c>
      <c r="J2" s="6" t="s">
        <v>2846</v>
      </c>
      <c r="K2" s="35" t="s">
        <v>532</v>
      </c>
      <c r="L2" s="37" t="s">
        <v>3645</v>
      </c>
      <c r="M2" t="s">
        <v>3662</v>
      </c>
    </row>
    <row r="3" spans="1:13">
      <c r="A3" s="5">
        <v>2</v>
      </c>
      <c r="B3" s="6" t="s">
        <v>1258</v>
      </c>
      <c r="C3" s="7">
        <v>2022434098</v>
      </c>
      <c r="D3" s="7">
        <v>2201010727</v>
      </c>
      <c r="E3" s="7" t="s">
        <v>1811</v>
      </c>
      <c r="F3" s="7" t="str">
        <f>VLOOKUP(C3,'Fast Track '!B:C,2,FALSE)</f>
        <v xml:space="preserve">Fasttrack </v>
      </c>
      <c r="G3" s="7" t="s">
        <v>3708</v>
      </c>
      <c r="H3" s="6" t="s">
        <v>1259</v>
      </c>
      <c r="I3" s="6" t="s">
        <v>3173</v>
      </c>
      <c r="J3" s="6" t="s">
        <v>3174</v>
      </c>
      <c r="K3" s="35" t="s">
        <v>532</v>
      </c>
      <c r="L3" s="37" t="s">
        <v>3645</v>
      </c>
      <c r="M3" t="s">
        <v>3662</v>
      </c>
    </row>
    <row r="4" spans="1:13">
      <c r="A4" s="5">
        <v>3</v>
      </c>
      <c r="B4" s="6" t="s">
        <v>844</v>
      </c>
      <c r="C4" s="7">
        <v>2022361106</v>
      </c>
      <c r="D4" s="7">
        <v>2201010482</v>
      </c>
      <c r="E4" s="7" t="s">
        <v>1811</v>
      </c>
      <c r="F4" s="7" t="str">
        <f>VLOOKUP(C4,'Fast Track '!B:C,2,FALSE)</f>
        <v xml:space="preserve">Fasttrack </v>
      </c>
      <c r="G4" s="7" t="s">
        <v>3709</v>
      </c>
      <c r="H4" s="6" t="s">
        <v>845</v>
      </c>
      <c r="I4" s="6" t="s">
        <v>3281</v>
      </c>
      <c r="J4" s="6" t="s">
        <v>3282</v>
      </c>
      <c r="K4" s="35" t="s">
        <v>532</v>
      </c>
      <c r="L4" s="37" t="s">
        <v>3645</v>
      </c>
      <c r="M4" t="s">
        <v>3662</v>
      </c>
    </row>
    <row r="5" spans="1:13">
      <c r="A5" s="5">
        <v>4</v>
      </c>
      <c r="B5" s="6" t="s">
        <v>858</v>
      </c>
      <c r="C5" s="7">
        <v>2022427832</v>
      </c>
      <c r="D5" s="7">
        <v>2201010809</v>
      </c>
      <c r="E5" s="7" t="s">
        <v>1811</v>
      </c>
      <c r="F5" s="7" t="str">
        <f>VLOOKUP(C5,'Fast Track '!B:C,2,FALSE)</f>
        <v xml:space="preserve">Fasttrack </v>
      </c>
      <c r="G5" s="7" t="s">
        <v>3710</v>
      </c>
      <c r="H5" s="6" t="s">
        <v>859</v>
      </c>
      <c r="I5" s="6" t="s">
        <v>3311</v>
      </c>
      <c r="J5" s="6" t="s">
        <v>3312</v>
      </c>
      <c r="K5" s="35" t="s">
        <v>532</v>
      </c>
      <c r="L5" s="37" t="s">
        <v>3645</v>
      </c>
      <c r="M5" t="s">
        <v>3662</v>
      </c>
    </row>
    <row r="6" spans="1:13">
      <c r="A6" s="5">
        <v>5</v>
      </c>
      <c r="B6" s="6" t="s">
        <v>1560</v>
      </c>
      <c r="C6" s="7">
        <v>2022503936</v>
      </c>
      <c r="D6" s="7">
        <v>2201010368</v>
      </c>
      <c r="E6" s="7" t="s">
        <v>1811</v>
      </c>
      <c r="F6" s="7" t="str">
        <f>VLOOKUP(C6,'Fast Track '!B:C,2,FALSE)</f>
        <v xml:space="preserve">Fasttrack </v>
      </c>
      <c r="G6" s="7" t="s">
        <v>3711</v>
      </c>
      <c r="H6" s="6" t="s">
        <v>1561</v>
      </c>
      <c r="I6" s="6" t="s">
        <v>3401</v>
      </c>
      <c r="J6" s="6" t="s">
        <v>3402</v>
      </c>
      <c r="K6" s="35" t="s">
        <v>532</v>
      </c>
      <c r="L6" s="37" t="s">
        <v>3645</v>
      </c>
      <c r="M6" t="s">
        <v>3662</v>
      </c>
    </row>
    <row r="7" spans="1:13">
      <c r="A7" s="5">
        <v>6</v>
      </c>
      <c r="B7" s="6" t="s">
        <v>1566</v>
      </c>
      <c r="C7" s="7">
        <v>2022507071</v>
      </c>
      <c r="D7" s="7">
        <v>2201010461</v>
      </c>
      <c r="E7" s="7" t="s">
        <v>1811</v>
      </c>
      <c r="F7" s="7" t="str">
        <f>VLOOKUP(C7,'Fast Track '!B:C,2,FALSE)</f>
        <v xml:space="preserve">Fasttrack </v>
      </c>
      <c r="G7" s="7" t="s">
        <v>3712</v>
      </c>
      <c r="H7" s="6" t="s">
        <v>1567</v>
      </c>
      <c r="I7" s="6" t="s">
        <v>3405</v>
      </c>
      <c r="J7" s="6" t="s">
        <v>3406</v>
      </c>
      <c r="K7" s="35" t="s">
        <v>532</v>
      </c>
      <c r="L7" s="37" t="s">
        <v>3645</v>
      </c>
      <c r="M7" t="s">
        <v>3662</v>
      </c>
    </row>
    <row r="8" spans="1:13">
      <c r="A8" s="5">
        <v>7</v>
      </c>
      <c r="B8" s="6" t="s">
        <v>1189</v>
      </c>
      <c r="C8" s="7">
        <v>2022445444</v>
      </c>
      <c r="D8" s="7">
        <v>2201010028</v>
      </c>
      <c r="E8" s="7" t="s">
        <v>1811</v>
      </c>
      <c r="F8" s="7" t="e">
        <f>VLOOKUP(C8,'Fast Track '!B:C,2,FALSE)</f>
        <v>#N/A</v>
      </c>
      <c r="G8" s="7" t="s">
        <v>3713</v>
      </c>
      <c r="H8" s="6" t="s">
        <v>1190</v>
      </c>
      <c r="I8" s="6" t="s">
        <v>2857</v>
      </c>
      <c r="J8" s="6" t="s">
        <v>2858</v>
      </c>
      <c r="K8" s="35" t="s">
        <v>532</v>
      </c>
      <c r="L8" s="37" t="s">
        <v>3645</v>
      </c>
      <c r="M8" t="s">
        <v>3662</v>
      </c>
    </row>
    <row r="9" spans="1:13">
      <c r="A9" s="5">
        <v>8</v>
      </c>
      <c r="B9" s="6" t="s">
        <v>1209</v>
      </c>
      <c r="C9" s="7">
        <v>2022489115</v>
      </c>
      <c r="D9" s="7">
        <v>2201010036</v>
      </c>
      <c r="E9" s="7" t="s">
        <v>1811</v>
      </c>
      <c r="F9" s="7" t="e">
        <f>VLOOKUP(C9,'Fast Track '!B:C,2,FALSE)</f>
        <v>#N/A</v>
      </c>
      <c r="G9" s="7" t="s">
        <v>3714</v>
      </c>
      <c r="H9" s="6" t="s">
        <v>1210</v>
      </c>
      <c r="I9" s="6" t="s">
        <v>2859</v>
      </c>
      <c r="J9" s="6" t="s">
        <v>2860</v>
      </c>
      <c r="K9" s="35" t="s">
        <v>532</v>
      </c>
      <c r="L9" s="37" t="s">
        <v>3645</v>
      </c>
      <c r="M9" t="s">
        <v>3662</v>
      </c>
    </row>
    <row r="10" spans="1:13">
      <c r="A10" s="5">
        <v>9</v>
      </c>
      <c r="B10" s="6" t="s">
        <v>1130</v>
      </c>
      <c r="C10" s="7">
        <v>2022002243</v>
      </c>
      <c r="D10" s="7">
        <v>2201010462</v>
      </c>
      <c r="E10" s="7" t="s">
        <v>1811</v>
      </c>
      <c r="F10" s="7" t="str">
        <f>VLOOKUP(C10,'Fast Track '!B:C,2,FALSE)</f>
        <v xml:space="preserve">Fasttrack </v>
      </c>
      <c r="G10" s="7" t="s">
        <v>3715</v>
      </c>
      <c r="H10" s="6" t="s">
        <v>1131</v>
      </c>
      <c r="I10" s="6" t="s">
        <v>2917</v>
      </c>
      <c r="J10" s="6" t="s">
        <v>2918</v>
      </c>
      <c r="K10" s="35" t="s">
        <v>532</v>
      </c>
      <c r="L10" s="37" t="s">
        <v>3645</v>
      </c>
      <c r="M10" t="s">
        <v>3662</v>
      </c>
    </row>
    <row r="11" spans="1:13">
      <c r="A11" s="5">
        <v>10</v>
      </c>
      <c r="B11" s="6" t="s">
        <v>1132</v>
      </c>
      <c r="C11" s="7">
        <v>2022002974</v>
      </c>
      <c r="D11" s="7">
        <v>2201010074</v>
      </c>
      <c r="E11" s="7" t="s">
        <v>1811</v>
      </c>
      <c r="F11" s="7" t="e">
        <f>VLOOKUP(C11,'Fast Track '!B:C,2,FALSE)</f>
        <v>#N/A</v>
      </c>
      <c r="G11" s="7" t="s">
        <v>3716</v>
      </c>
      <c r="H11" s="6" t="s">
        <v>1133</v>
      </c>
      <c r="I11" s="6" t="s">
        <v>2863</v>
      </c>
      <c r="J11" s="6" t="s">
        <v>2864</v>
      </c>
      <c r="K11" s="35" t="s">
        <v>532</v>
      </c>
      <c r="L11" s="37" t="s">
        <v>3645</v>
      </c>
      <c r="M11" t="s">
        <v>3662</v>
      </c>
    </row>
    <row r="12" spans="1:13">
      <c r="A12" s="5">
        <v>11</v>
      </c>
      <c r="B12" s="6" t="s">
        <v>1177</v>
      </c>
      <c r="C12" s="7">
        <v>2022405043</v>
      </c>
      <c r="D12" s="7">
        <v>2201010112</v>
      </c>
      <c r="E12" s="7" t="s">
        <v>1811</v>
      </c>
      <c r="F12" s="7" t="e">
        <f>VLOOKUP(C12,'Fast Track '!B:C,2,FALSE)</f>
        <v>#N/A</v>
      </c>
      <c r="G12" s="7" t="s">
        <v>3717</v>
      </c>
      <c r="H12" s="6" t="s">
        <v>1178</v>
      </c>
      <c r="I12" s="6" t="s">
        <v>2865</v>
      </c>
      <c r="J12" s="6" t="s">
        <v>2866</v>
      </c>
      <c r="K12" s="35" t="s">
        <v>532</v>
      </c>
      <c r="L12" s="37" t="s">
        <v>3645</v>
      </c>
      <c r="M12" t="s">
        <v>3662</v>
      </c>
    </row>
    <row r="13" spans="1:13">
      <c r="A13" s="5">
        <v>12</v>
      </c>
      <c r="B13" s="6" t="s">
        <v>1191</v>
      </c>
      <c r="C13" s="7">
        <v>2022445607</v>
      </c>
      <c r="D13" s="7">
        <v>2201010136</v>
      </c>
      <c r="E13" s="7" t="s">
        <v>1811</v>
      </c>
      <c r="F13" s="7" t="e">
        <f>VLOOKUP(C13,'Fast Track '!B:C,2,FALSE)</f>
        <v>#N/A</v>
      </c>
      <c r="G13" s="7" t="s">
        <v>3718</v>
      </c>
      <c r="H13" s="6" t="s">
        <v>1192</v>
      </c>
      <c r="I13" s="6" t="s">
        <v>2867</v>
      </c>
      <c r="J13" s="6" t="s">
        <v>2868</v>
      </c>
      <c r="K13" s="35" t="s">
        <v>532</v>
      </c>
      <c r="L13" s="37" t="s">
        <v>3645</v>
      </c>
      <c r="M13" t="s">
        <v>3662</v>
      </c>
    </row>
    <row r="14" spans="1:13">
      <c r="A14" s="5">
        <v>13</v>
      </c>
      <c r="B14" s="6" t="s">
        <v>1144</v>
      </c>
      <c r="C14" s="7">
        <v>2022005224</v>
      </c>
      <c r="D14" s="7">
        <v>2201010158</v>
      </c>
      <c r="E14" s="7" t="s">
        <v>1811</v>
      </c>
      <c r="F14" s="7" t="e">
        <f>VLOOKUP(C14,'Fast Track '!B:C,2,FALSE)</f>
        <v>#N/A</v>
      </c>
      <c r="G14" s="7" t="s">
        <v>3719</v>
      </c>
      <c r="H14" s="6" t="s">
        <v>1145</v>
      </c>
      <c r="I14" s="6" t="s">
        <v>2869</v>
      </c>
      <c r="J14" s="6" t="s">
        <v>2870</v>
      </c>
      <c r="K14" s="35" t="s">
        <v>532</v>
      </c>
      <c r="L14" s="37" t="s">
        <v>3645</v>
      </c>
      <c r="M14" t="s">
        <v>3662</v>
      </c>
    </row>
    <row r="15" spans="1:13">
      <c r="A15" s="5">
        <v>14</v>
      </c>
      <c r="B15" s="6" t="s">
        <v>1243</v>
      </c>
      <c r="C15" s="7">
        <v>2022002716</v>
      </c>
      <c r="D15" s="7">
        <v>2201010165</v>
      </c>
      <c r="E15" s="7" t="s">
        <v>1811</v>
      </c>
      <c r="F15" s="7" t="e">
        <f>VLOOKUP(C15,'Fast Track '!B:C,2,FALSE)</f>
        <v>#N/A</v>
      </c>
      <c r="G15" s="7" t="s">
        <v>3720</v>
      </c>
      <c r="H15" s="6" t="s">
        <v>1244</v>
      </c>
      <c r="I15" s="6" t="s">
        <v>2871</v>
      </c>
      <c r="J15" s="6" t="s">
        <v>2872</v>
      </c>
      <c r="K15" s="35" t="s">
        <v>532</v>
      </c>
      <c r="L15" s="37" t="s">
        <v>3645</v>
      </c>
      <c r="M15" t="s">
        <v>3662</v>
      </c>
    </row>
    <row r="16" spans="1:13">
      <c r="A16" s="5">
        <v>15</v>
      </c>
      <c r="B16" s="6" t="s">
        <v>1156</v>
      </c>
      <c r="C16" s="7">
        <v>2022305160</v>
      </c>
      <c r="D16" s="7">
        <v>2201010168</v>
      </c>
      <c r="E16" s="7" t="s">
        <v>1811</v>
      </c>
      <c r="F16" s="7" t="e">
        <f>VLOOKUP(C16,'Fast Track '!B:C,2,FALSE)</f>
        <v>#N/A</v>
      </c>
      <c r="G16" s="7" t="s">
        <v>3721</v>
      </c>
      <c r="H16" s="6" t="s">
        <v>1157</v>
      </c>
      <c r="I16" s="6" t="s">
        <v>2873</v>
      </c>
      <c r="J16" s="6" t="s">
        <v>2874</v>
      </c>
      <c r="K16" s="35" t="s">
        <v>532</v>
      </c>
      <c r="L16" s="37" t="s">
        <v>3645</v>
      </c>
      <c r="M16" t="s">
        <v>3662</v>
      </c>
    </row>
    <row r="17" spans="1:13">
      <c r="A17" s="5">
        <v>16</v>
      </c>
      <c r="B17" s="6" t="s">
        <v>1179</v>
      </c>
      <c r="C17" s="7">
        <v>2022408489</v>
      </c>
      <c r="D17" s="7">
        <v>2201010180</v>
      </c>
      <c r="E17" s="7" t="s">
        <v>1811</v>
      </c>
      <c r="F17" s="7" t="e">
        <f>VLOOKUP(C17,'Fast Track '!B:C,2,FALSE)</f>
        <v>#N/A</v>
      </c>
      <c r="G17" s="7" t="s">
        <v>3722</v>
      </c>
      <c r="H17" s="6" t="s">
        <v>1180</v>
      </c>
      <c r="I17" s="6" t="s">
        <v>2875</v>
      </c>
      <c r="J17" s="6" t="s">
        <v>2876</v>
      </c>
      <c r="K17" s="35" t="s">
        <v>532</v>
      </c>
      <c r="L17" s="37" t="s">
        <v>3645</v>
      </c>
      <c r="M17" t="s">
        <v>3662</v>
      </c>
    </row>
    <row r="18" spans="1:13">
      <c r="A18" s="5">
        <v>17</v>
      </c>
      <c r="B18" s="6" t="s">
        <v>1171</v>
      </c>
      <c r="C18" s="7">
        <v>2022360947</v>
      </c>
      <c r="D18" s="7">
        <v>2201010200</v>
      </c>
      <c r="E18" s="7" t="s">
        <v>1811</v>
      </c>
      <c r="F18" s="7" t="e">
        <f>VLOOKUP(C18,'Fast Track '!B:C,2,FALSE)</f>
        <v>#N/A</v>
      </c>
      <c r="G18" s="7" t="s">
        <v>3723</v>
      </c>
      <c r="H18" s="6" t="s">
        <v>1172</v>
      </c>
      <c r="I18" s="6" t="s">
        <v>2877</v>
      </c>
      <c r="J18" s="6" t="s">
        <v>2878</v>
      </c>
      <c r="K18" s="35" t="s">
        <v>532</v>
      </c>
      <c r="L18" s="37" t="s">
        <v>3645</v>
      </c>
      <c r="M18" t="s">
        <v>3662</v>
      </c>
    </row>
    <row r="19" spans="1:13">
      <c r="A19" s="5">
        <v>18</v>
      </c>
      <c r="B19" s="6" t="s">
        <v>1223</v>
      </c>
      <c r="C19" s="7">
        <v>2022520080</v>
      </c>
      <c r="D19" s="7">
        <v>2201010206</v>
      </c>
      <c r="E19" s="7" t="s">
        <v>1811</v>
      </c>
      <c r="F19" s="7" t="str">
        <f>VLOOKUP(C19,'Fast Track '!B:C,2,FALSE)</f>
        <v xml:space="preserve">Fasttrack </v>
      </c>
      <c r="G19" s="7" t="s">
        <v>3724</v>
      </c>
      <c r="H19" s="6" t="s">
        <v>1224</v>
      </c>
      <c r="I19" s="6" t="s">
        <v>2879</v>
      </c>
      <c r="J19" s="6" t="s">
        <v>2880</v>
      </c>
      <c r="K19" s="35" t="s">
        <v>532</v>
      </c>
      <c r="L19" s="37" t="s">
        <v>3645</v>
      </c>
      <c r="M19" t="s">
        <v>3662</v>
      </c>
    </row>
    <row r="20" spans="1:13">
      <c r="A20" s="5">
        <v>19</v>
      </c>
      <c r="B20" s="6" t="s">
        <v>1207</v>
      </c>
      <c r="C20" s="7">
        <v>2022487026</v>
      </c>
      <c r="D20" s="7">
        <v>2201010216</v>
      </c>
      <c r="E20" s="7" t="s">
        <v>1811</v>
      </c>
      <c r="F20" s="7" t="e">
        <f>VLOOKUP(C20,'Fast Track '!B:C,2,FALSE)</f>
        <v>#N/A</v>
      </c>
      <c r="G20" s="7" t="s">
        <v>3725</v>
      </c>
      <c r="H20" s="6" t="s">
        <v>1208</v>
      </c>
      <c r="I20" s="6" t="s">
        <v>2881</v>
      </c>
      <c r="J20" s="6" t="s">
        <v>2882</v>
      </c>
      <c r="K20" s="35" t="s">
        <v>532</v>
      </c>
      <c r="L20" s="37" t="s">
        <v>3645</v>
      </c>
      <c r="M20" t="s">
        <v>3662</v>
      </c>
    </row>
    <row r="21" spans="1:13">
      <c r="A21" s="5">
        <v>20</v>
      </c>
      <c r="B21" s="6" t="s">
        <v>1165</v>
      </c>
      <c r="C21" s="7">
        <v>2022345074</v>
      </c>
      <c r="D21" s="7">
        <v>2201010223</v>
      </c>
      <c r="E21" s="7" t="s">
        <v>1811</v>
      </c>
      <c r="F21" s="7" t="e">
        <f>VLOOKUP(C21,'Fast Track '!B:C,2,FALSE)</f>
        <v>#N/A</v>
      </c>
      <c r="G21" s="7" t="s">
        <v>3726</v>
      </c>
      <c r="H21" s="6" t="s">
        <v>1166</v>
      </c>
      <c r="I21" s="6" t="s">
        <v>2883</v>
      </c>
      <c r="J21" s="6" t="s">
        <v>2884</v>
      </c>
      <c r="K21" s="35" t="s">
        <v>532</v>
      </c>
      <c r="L21" s="37" t="s">
        <v>3645</v>
      </c>
      <c r="M21" t="s">
        <v>3662</v>
      </c>
    </row>
    <row r="22" spans="1:13">
      <c r="A22" s="5">
        <v>21</v>
      </c>
      <c r="B22" s="6" t="s">
        <v>1148</v>
      </c>
      <c r="C22" s="7">
        <v>2022005900</v>
      </c>
      <c r="D22" s="7">
        <v>2201010265</v>
      </c>
      <c r="E22" s="7" t="s">
        <v>1811</v>
      </c>
      <c r="F22" s="7" t="e">
        <f>VLOOKUP(C22,'Fast Track '!B:C,2,FALSE)</f>
        <v>#N/A</v>
      </c>
      <c r="G22" s="7" t="s">
        <v>3727</v>
      </c>
      <c r="H22" s="6" t="s">
        <v>1149</v>
      </c>
      <c r="I22" s="6" t="s">
        <v>2885</v>
      </c>
      <c r="J22" s="6" t="s">
        <v>2886</v>
      </c>
      <c r="K22" s="35" t="s">
        <v>532</v>
      </c>
      <c r="L22" s="37" t="s">
        <v>3645</v>
      </c>
      <c r="M22" t="s">
        <v>3662</v>
      </c>
    </row>
    <row r="23" spans="1:13">
      <c r="A23" s="5">
        <v>22</v>
      </c>
      <c r="B23" s="6" t="s">
        <v>1140</v>
      </c>
      <c r="C23" s="7">
        <v>2022004383</v>
      </c>
      <c r="D23" s="7">
        <v>2201010277</v>
      </c>
      <c r="E23" s="7" t="s">
        <v>1811</v>
      </c>
      <c r="F23" s="7" t="e">
        <f>VLOOKUP(C23,'Fast Track '!B:C,2,FALSE)</f>
        <v>#N/A</v>
      </c>
      <c r="G23" s="7" t="s">
        <v>3728</v>
      </c>
      <c r="H23" s="6" t="s">
        <v>1141</v>
      </c>
      <c r="I23" s="6" t="s">
        <v>2887</v>
      </c>
      <c r="J23" s="6" t="s">
        <v>2888</v>
      </c>
      <c r="K23" s="35" t="s">
        <v>532</v>
      </c>
      <c r="L23" s="37" t="s">
        <v>3645</v>
      </c>
      <c r="M23" t="s">
        <v>3662</v>
      </c>
    </row>
    <row r="24" spans="1:13">
      <c r="A24" s="5">
        <v>23</v>
      </c>
      <c r="B24" s="6" t="s">
        <v>1201</v>
      </c>
      <c r="C24" s="7">
        <v>2022477650</v>
      </c>
      <c r="D24" s="7">
        <v>2201010287</v>
      </c>
      <c r="E24" s="7" t="s">
        <v>1811</v>
      </c>
      <c r="F24" s="7" t="e">
        <f>VLOOKUP(C24,'Fast Track '!B:C,2,FALSE)</f>
        <v>#N/A</v>
      </c>
      <c r="G24" s="7" t="s">
        <v>3729</v>
      </c>
      <c r="H24" s="6" t="s">
        <v>1202</v>
      </c>
      <c r="I24" s="6" t="s">
        <v>2889</v>
      </c>
      <c r="J24" s="6" t="s">
        <v>2890</v>
      </c>
      <c r="K24" s="35" t="s">
        <v>532</v>
      </c>
      <c r="L24" s="37" t="s">
        <v>3645</v>
      </c>
      <c r="M24" t="s">
        <v>3662</v>
      </c>
    </row>
    <row r="25" spans="1:13">
      <c r="A25" s="5">
        <v>24</v>
      </c>
      <c r="B25" s="6" t="s">
        <v>1195</v>
      </c>
      <c r="C25" s="7">
        <v>2022451567</v>
      </c>
      <c r="D25" s="7">
        <v>2201010291</v>
      </c>
      <c r="E25" s="7" t="s">
        <v>1811</v>
      </c>
      <c r="F25" s="7" t="e">
        <f>VLOOKUP(C25,'Fast Track '!B:C,2,FALSE)</f>
        <v>#N/A</v>
      </c>
      <c r="G25" s="7" t="s">
        <v>3730</v>
      </c>
      <c r="H25" s="6" t="s">
        <v>1196</v>
      </c>
      <c r="I25" s="6" t="s">
        <v>2891</v>
      </c>
      <c r="J25" s="6" t="s">
        <v>2892</v>
      </c>
      <c r="K25" s="35" t="s">
        <v>532</v>
      </c>
      <c r="L25" s="37" t="s">
        <v>3645</v>
      </c>
      <c r="M25" t="s">
        <v>3662</v>
      </c>
    </row>
    <row r="26" spans="1:13">
      <c r="A26" s="5">
        <v>25</v>
      </c>
      <c r="B26" s="6" t="s">
        <v>1136</v>
      </c>
      <c r="C26" s="7">
        <v>2022003541</v>
      </c>
      <c r="D26" s="7">
        <v>2201010309</v>
      </c>
      <c r="E26" s="7" t="s">
        <v>1811</v>
      </c>
      <c r="F26" s="7" t="e">
        <f>VLOOKUP(C26,'Fast Track '!B:C,2,FALSE)</f>
        <v>#N/A</v>
      </c>
      <c r="G26" s="7" t="s">
        <v>3731</v>
      </c>
      <c r="H26" s="6" t="s">
        <v>1137</v>
      </c>
      <c r="I26" s="6" t="s">
        <v>2893</v>
      </c>
      <c r="J26" s="6" t="s">
        <v>2894</v>
      </c>
      <c r="K26" s="35" t="s">
        <v>532</v>
      </c>
      <c r="L26" s="37" t="s">
        <v>3645</v>
      </c>
      <c r="M26" t="s">
        <v>3662</v>
      </c>
    </row>
    <row r="27" spans="1:13">
      <c r="A27" s="5">
        <v>26</v>
      </c>
      <c r="B27" s="6" t="s">
        <v>1215</v>
      </c>
      <c r="C27" s="7">
        <v>2022501831</v>
      </c>
      <c r="D27" s="7">
        <v>2201010320</v>
      </c>
      <c r="E27" s="7" t="s">
        <v>1811</v>
      </c>
      <c r="F27" s="7" t="e">
        <f>VLOOKUP(C27,'Fast Track '!B:C,2,FALSE)</f>
        <v>#N/A</v>
      </c>
      <c r="G27" s="7" t="s">
        <v>3732</v>
      </c>
      <c r="H27" s="6" t="s">
        <v>1216</v>
      </c>
      <c r="I27" s="6" t="s">
        <v>2897</v>
      </c>
      <c r="J27" s="6" t="s">
        <v>2898</v>
      </c>
      <c r="K27" s="35" t="s">
        <v>532</v>
      </c>
      <c r="L27" s="37" t="s">
        <v>3645</v>
      </c>
      <c r="M27" t="s">
        <v>3662</v>
      </c>
    </row>
    <row r="28" spans="1:13">
      <c r="A28" s="5">
        <v>27</v>
      </c>
      <c r="B28" s="6" t="s">
        <v>1152</v>
      </c>
      <c r="C28" s="7">
        <v>2022006436</v>
      </c>
      <c r="D28" s="7">
        <v>2201010338</v>
      </c>
      <c r="E28" s="7" t="s">
        <v>1811</v>
      </c>
      <c r="F28" s="7" t="e">
        <f>VLOOKUP(C28,'Fast Track '!B:C,2,FALSE)</f>
        <v>#N/A</v>
      </c>
      <c r="G28" s="7" t="s">
        <v>3733</v>
      </c>
      <c r="H28" s="6" t="s">
        <v>1153</v>
      </c>
      <c r="I28" s="6" t="s">
        <v>2901</v>
      </c>
      <c r="J28" s="6" t="s">
        <v>2902</v>
      </c>
      <c r="K28" s="35" t="s">
        <v>532</v>
      </c>
      <c r="L28" s="37" t="s">
        <v>3645</v>
      </c>
      <c r="M28" t="s">
        <v>3662</v>
      </c>
    </row>
    <row r="29" spans="1:13">
      <c r="A29" s="5">
        <v>28</v>
      </c>
      <c r="B29" s="6" t="s">
        <v>1247</v>
      </c>
      <c r="C29" s="7">
        <v>2022502804</v>
      </c>
      <c r="D29" s="7">
        <v>2201010342</v>
      </c>
      <c r="E29" s="7" t="s">
        <v>1811</v>
      </c>
      <c r="F29" s="7" t="e">
        <f>VLOOKUP(C29,'Fast Track '!B:C,2,FALSE)</f>
        <v>#N/A</v>
      </c>
      <c r="G29" s="7" t="s">
        <v>3734</v>
      </c>
      <c r="H29" s="6" t="s">
        <v>1248</v>
      </c>
      <c r="I29" s="6" t="s">
        <v>2905</v>
      </c>
      <c r="J29" s="6" t="s">
        <v>2906</v>
      </c>
      <c r="K29" s="35" t="s">
        <v>532</v>
      </c>
      <c r="L29" s="37" t="s">
        <v>3645</v>
      </c>
      <c r="M29" t="s">
        <v>3662</v>
      </c>
    </row>
    <row r="30" spans="1:13">
      <c r="A30" s="5">
        <v>29</v>
      </c>
      <c r="B30" s="6" t="s">
        <v>1229</v>
      </c>
      <c r="C30" s="7">
        <v>2022544917</v>
      </c>
      <c r="D30" s="7">
        <v>2201010582</v>
      </c>
      <c r="E30" s="7" t="s">
        <v>1811</v>
      </c>
      <c r="F30" s="7" t="str">
        <f>VLOOKUP(C30,'Fast Track '!B:C,2,FALSE)</f>
        <v xml:space="preserve">Fasttrack </v>
      </c>
      <c r="G30" s="7" t="s">
        <v>3735</v>
      </c>
      <c r="H30" s="6" t="s">
        <v>1230</v>
      </c>
      <c r="I30" s="6" t="s">
        <v>2923</v>
      </c>
      <c r="J30" s="6" t="s">
        <v>2924</v>
      </c>
      <c r="K30" s="35" t="s">
        <v>532</v>
      </c>
      <c r="L30" s="37" t="s">
        <v>3645</v>
      </c>
      <c r="M30" t="s">
        <v>3662</v>
      </c>
    </row>
    <row r="31" spans="1:13">
      <c r="A31" s="5">
        <v>30</v>
      </c>
      <c r="B31" s="6" t="s">
        <v>1183</v>
      </c>
      <c r="C31" s="7">
        <v>2022420368</v>
      </c>
      <c r="D31" s="7">
        <v>2201010423</v>
      </c>
      <c r="E31" s="7" t="s">
        <v>1811</v>
      </c>
      <c r="F31" s="7" t="e">
        <f>VLOOKUP(C31,'Fast Track '!B:C,2,FALSE)</f>
        <v>#N/A</v>
      </c>
      <c r="G31" s="7" t="s">
        <v>3736</v>
      </c>
      <c r="H31" s="6" t="s">
        <v>1184</v>
      </c>
      <c r="I31" s="6" t="s">
        <v>2911</v>
      </c>
      <c r="J31" s="6" t="s">
        <v>2912</v>
      </c>
      <c r="K31" s="35" t="s">
        <v>532</v>
      </c>
      <c r="L31" s="37" t="s">
        <v>3644</v>
      </c>
      <c r="M31" t="s">
        <v>3663</v>
      </c>
    </row>
    <row r="32" spans="1:13">
      <c r="A32" s="5">
        <v>31</v>
      </c>
      <c r="B32" s="6" t="s">
        <v>1241</v>
      </c>
      <c r="C32" s="7">
        <v>2022834880</v>
      </c>
      <c r="D32" s="7">
        <v>2201010440</v>
      </c>
      <c r="E32" s="7" t="s">
        <v>1811</v>
      </c>
      <c r="F32" s="7" t="e">
        <f>VLOOKUP(C32,'Fast Track '!B:C,2,FALSE)</f>
        <v>#N/A</v>
      </c>
      <c r="G32" s="7" t="s">
        <v>3737</v>
      </c>
      <c r="H32" s="6" t="s">
        <v>1242</v>
      </c>
      <c r="I32" s="6" t="s">
        <v>2913</v>
      </c>
      <c r="J32" s="6" t="s">
        <v>2914</v>
      </c>
      <c r="K32" s="35" t="s">
        <v>532</v>
      </c>
      <c r="L32" s="37" t="s">
        <v>3644</v>
      </c>
      <c r="M32" t="s">
        <v>3663</v>
      </c>
    </row>
    <row r="33" spans="1:13">
      <c r="A33" s="5">
        <v>32</v>
      </c>
      <c r="B33" s="6" t="s">
        <v>1219</v>
      </c>
      <c r="C33" s="7">
        <v>2022511920</v>
      </c>
      <c r="D33" s="7">
        <v>2201010446</v>
      </c>
      <c r="E33" s="7" t="s">
        <v>1811</v>
      </c>
      <c r="F33" s="7" t="e">
        <f>VLOOKUP(C33,'Fast Track '!B:C,2,FALSE)</f>
        <v>#N/A</v>
      </c>
      <c r="G33" s="7" t="s">
        <v>3738</v>
      </c>
      <c r="H33" s="6" t="s">
        <v>1220</v>
      </c>
      <c r="I33" s="6" t="s">
        <v>2915</v>
      </c>
      <c r="J33" s="6" t="s">
        <v>2916</v>
      </c>
      <c r="K33" s="35" t="s">
        <v>532</v>
      </c>
      <c r="L33" s="37" t="s">
        <v>3644</v>
      </c>
      <c r="M33" t="s">
        <v>3663</v>
      </c>
    </row>
    <row r="34" spans="1:13">
      <c r="A34" s="5">
        <v>33</v>
      </c>
      <c r="B34" s="6" t="s">
        <v>1175</v>
      </c>
      <c r="C34" s="7">
        <v>2022404434</v>
      </c>
      <c r="D34" s="7">
        <v>2201010486</v>
      </c>
      <c r="E34" s="7" t="s">
        <v>1811</v>
      </c>
      <c r="F34" s="7" t="e">
        <f>VLOOKUP(C34,'Fast Track '!B:C,2,FALSE)</f>
        <v>#N/A</v>
      </c>
      <c r="G34" s="7" t="s">
        <v>3739</v>
      </c>
      <c r="H34" s="6" t="s">
        <v>1176</v>
      </c>
      <c r="I34" s="6" t="s">
        <v>2919</v>
      </c>
      <c r="J34" s="6" t="s">
        <v>2920</v>
      </c>
      <c r="K34" s="35" t="s">
        <v>532</v>
      </c>
      <c r="L34" s="37" t="s">
        <v>3644</v>
      </c>
      <c r="M34" t="s">
        <v>3663</v>
      </c>
    </row>
    <row r="35" spans="1:13">
      <c r="A35" s="5">
        <v>34</v>
      </c>
      <c r="B35" s="6" t="s">
        <v>1211</v>
      </c>
      <c r="C35" s="7">
        <v>2022494330</v>
      </c>
      <c r="D35" s="7">
        <v>2201010492</v>
      </c>
      <c r="E35" s="7" t="s">
        <v>1811</v>
      </c>
      <c r="F35" s="7" t="e">
        <f>VLOOKUP(C35,'Fast Track '!B:C,2,FALSE)</f>
        <v>#N/A</v>
      </c>
      <c r="G35" s="7" t="s">
        <v>3740</v>
      </c>
      <c r="H35" s="6" t="s">
        <v>1212</v>
      </c>
      <c r="I35" s="6" t="s">
        <v>2921</v>
      </c>
      <c r="J35" s="6" t="s">
        <v>2922</v>
      </c>
      <c r="K35" s="35" t="s">
        <v>532</v>
      </c>
      <c r="L35" s="37" t="s">
        <v>3644</v>
      </c>
      <c r="M35" t="s">
        <v>3663</v>
      </c>
    </row>
    <row r="36" spans="1:13">
      <c r="A36" s="5">
        <v>35</v>
      </c>
      <c r="B36" s="6" t="s">
        <v>1217</v>
      </c>
      <c r="C36" s="7">
        <v>2022507803</v>
      </c>
      <c r="D36" s="7">
        <v>2201010590</v>
      </c>
      <c r="E36" s="7" t="s">
        <v>1811</v>
      </c>
      <c r="F36" s="7" t="e">
        <f>VLOOKUP(C36,'Fast Track '!B:C,2,FALSE)</f>
        <v>#N/A</v>
      </c>
      <c r="G36" s="7" t="s">
        <v>3741</v>
      </c>
      <c r="H36" s="6" t="s">
        <v>1218</v>
      </c>
      <c r="I36" s="6" t="s">
        <v>2925</v>
      </c>
      <c r="J36" s="6" t="s">
        <v>2926</v>
      </c>
      <c r="K36" s="35" t="s">
        <v>532</v>
      </c>
      <c r="L36" s="37" t="s">
        <v>3644</v>
      </c>
      <c r="M36" t="s">
        <v>3663</v>
      </c>
    </row>
    <row r="37" spans="1:13">
      <c r="A37" s="5">
        <v>36</v>
      </c>
      <c r="B37" s="6" t="s">
        <v>1253</v>
      </c>
      <c r="C37" s="7">
        <v>2022004067</v>
      </c>
      <c r="D37" s="7">
        <v>2201010624</v>
      </c>
      <c r="E37" s="7" t="s">
        <v>1811</v>
      </c>
      <c r="F37" s="7" t="e">
        <f>VLOOKUP(C37,'Fast Track '!B:C,2,FALSE)</f>
        <v>#N/A</v>
      </c>
      <c r="G37" s="7" t="s">
        <v>3742</v>
      </c>
      <c r="H37" s="6" t="s">
        <v>1254</v>
      </c>
      <c r="I37" s="6" t="s">
        <v>2927</v>
      </c>
      <c r="J37" s="6" t="s">
        <v>2928</v>
      </c>
      <c r="K37" s="35" t="s">
        <v>532</v>
      </c>
      <c r="L37" s="37" t="s">
        <v>3644</v>
      </c>
      <c r="M37" t="s">
        <v>3663</v>
      </c>
    </row>
    <row r="38" spans="1:13">
      <c r="A38" s="5">
        <v>37</v>
      </c>
      <c r="B38" s="6" t="s">
        <v>1251</v>
      </c>
      <c r="C38" s="7">
        <v>2022003455</v>
      </c>
      <c r="D38" s="7">
        <v>2201010625</v>
      </c>
      <c r="E38" s="7" t="s">
        <v>1811</v>
      </c>
      <c r="F38" s="7" t="e">
        <f>VLOOKUP(C38,'Fast Track '!B:C,2,FALSE)</f>
        <v>#N/A</v>
      </c>
      <c r="G38" s="7" t="s">
        <v>3743</v>
      </c>
      <c r="H38" s="6" t="s">
        <v>1252</v>
      </c>
      <c r="I38" s="6" t="s">
        <v>2929</v>
      </c>
      <c r="J38" s="6" t="s">
        <v>2930</v>
      </c>
      <c r="K38" s="35" t="s">
        <v>532</v>
      </c>
      <c r="L38" s="37" t="s">
        <v>3644</v>
      </c>
      <c r="M38" t="s">
        <v>3663</v>
      </c>
    </row>
    <row r="39" spans="1:13">
      <c r="A39" s="5">
        <v>38</v>
      </c>
      <c r="B39" s="6" t="s">
        <v>1193</v>
      </c>
      <c r="C39" s="7">
        <v>2022446086</v>
      </c>
      <c r="D39" s="7">
        <v>2201010657</v>
      </c>
      <c r="E39" s="7" t="s">
        <v>1811</v>
      </c>
      <c r="F39" s="7" t="e">
        <f>VLOOKUP(C39,'Fast Track '!B:C,2,FALSE)</f>
        <v>#N/A</v>
      </c>
      <c r="G39" s="7" t="s">
        <v>3744</v>
      </c>
      <c r="H39" s="6" t="s">
        <v>1194</v>
      </c>
      <c r="I39" s="6" t="s">
        <v>2931</v>
      </c>
      <c r="J39" s="6" t="s">
        <v>2932</v>
      </c>
      <c r="K39" s="35" t="s">
        <v>532</v>
      </c>
      <c r="L39" s="37" t="s">
        <v>3644</v>
      </c>
      <c r="M39" t="s">
        <v>3663</v>
      </c>
    </row>
    <row r="40" spans="1:13">
      <c r="A40" s="5">
        <v>39</v>
      </c>
      <c r="B40" s="6" t="s">
        <v>1173</v>
      </c>
      <c r="C40" s="7">
        <v>2022396848</v>
      </c>
      <c r="D40" s="7">
        <v>2201010678</v>
      </c>
      <c r="E40" s="7" t="s">
        <v>1811</v>
      </c>
      <c r="F40" s="7" t="e">
        <f>VLOOKUP(C40,'Fast Track '!B:C,2,FALSE)</f>
        <v>#N/A</v>
      </c>
      <c r="G40" s="7" t="s">
        <v>3745</v>
      </c>
      <c r="H40" s="6" t="s">
        <v>1174</v>
      </c>
      <c r="I40" s="6" t="s">
        <v>2937</v>
      </c>
      <c r="J40" s="6" t="s">
        <v>2938</v>
      </c>
      <c r="K40" s="35" t="s">
        <v>532</v>
      </c>
      <c r="L40" s="37" t="s">
        <v>3644</v>
      </c>
      <c r="M40" t="s">
        <v>3663</v>
      </c>
    </row>
    <row r="41" spans="1:13">
      <c r="A41" s="5">
        <v>40</v>
      </c>
      <c r="B41" s="6" t="s">
        <v>1187</v>
      </c>
      <c r="C41" s="7">
        <v>2022445249</v>
      </c>
      <c r="D41" s="7">
        <v>2201010690</v>
      </c>
      <c r="E41" s="7" t="s">
        <v>1811</v>
      </c>
      <c r="F41" s="7" t="e">
        <f>VLOOKUP(C41,'Fast Track '!B:C,2,FALSE)</f>
        <v>#N/A</v>
      </c>
      <c r="G41" s="7" t="s">
        <v>3746</v>
      </c>
      <c r="H41" s="6" t="s">
        <v>1188</v>
      </c>
      <c r="I41" s="6" t="s">
        <v>2939</v>
      </c>
      <c r="J41" s="6" t="s">
        <v>2940</v>
      </c>
      <c r="K41" s="35" t="s">
        <v>532</v>
      </c>
      <c r="L41" s="37" t="s">
        <v>3644</v>
      </c>
      <c r="M41" t="s">
        <v>3663</v>
      </c>
    </row>
    <row r="42" spans="1:13">
      <c r="A42" s="5">
        <v>41</v>
      </c>
      <c r="B42" s="6" t="s">
        <v>1142</v>
      </c>
      <c r="C42" s="7">
        <v>2022005125</v>
      </c>
      <c r="D42" s="7">
        <v>2201010748</v>
      </c>
      <c r="E42" s="7" t="s">
        <v>1811</v>
      </c>
      <c r="F42" s="7" t="e">
        <f>VLOOKUP(C42,'Fast Track '!B:C,2,FALSE)</f>
        <v>#N/A</v>
      </c>
      <c r="G42" s="7" t="s">
        <v>3747</v>
      </c>
      <c r="H42" s="6" t="s">
        <v>1143</v>
      </c>
      <c r="I42" s="6" t="s">
        <v>2943</v>
      </c>
      <c r="J42" s="6" t="s">
        <v>2944</v>
      </c>
      <c r="K42" s="35" t="s">
        <v>532</v>
      </c>
      <c r="L42" s="37" t="s">
        <v>3644</v>
      </c>
      <c r="M42" t="s">
        <v>3663</v>
      </c>
    </row>
    <row r="43" spans="1:13">
      <c r="A43" s="5">
        <v>42</v>
      </c>
      <c r="B43" s="6" t="s">
        <v>1181</v>
      </c>
      <c r="C43" s="7">
        <v>2022413409</v>
      </c>
      <c r="D43" s="7">
        <v>2201010760</v>
      </c>
      <c r="E43" s="7" t="s">
        <v>1811</v>
      </c>
      <c r="F43" s="7" t="e">
        <f>VLOOKUP(C43,'Fast Track '!B:C,2,FALSE)</f>
        <v>#N/A</v>
      </c>
      <c r="G43" s="7" t="s">
        <v>3748</v>
      </c>
      <c r="H43" s="6" t="s">
        <v>1182</v>
      </c>
      <c r="I43" s="6" t="s">
        <v>2945</v>
      </c>
      <c r="J43" s="6" t="s">
        <v>2946</v>
      </c>
      <c r="K43" s="35" t="s">
        <v>532</v>
      </c>
      <c r="L43" s="37" t="s">
        <v>3644</v>
      </c>
      <c r="M43" t="s">
        <v>3663</v>
      </c>
    </row>
    <row r="44" spans="1:13">
      <c r="A44" s="5">
        <v>43</v>
      </c>
      <c r="B44" s="6" t="s">
        <v>1169</v>
      </c>
      <c r="C44" s="7">
        <v>2022354885</v>
      </c>
      <c r="D44" s="7">
        <v>2201010772</v>
      </c>
      <c r="E44" s="7" t="s">
        <v>1811</v>
      </c>
      <c r="F44" s="7" t="e">
        <f>VLOOKUP(C44,'Fast Track '!B:C,2,FALSE)</f>
        <v>#N/A</v>
      </c>
      <c r="G44" s="7" t="s">
        <v>3749</v>
      </c>
      <c r="H44" s="6" t="s">
        <v>1170</v>
      </c>
      <c r="I44" s="6" t="s">
        <v>2947</v>
      </c>
      <c r="J44" s="6" t="s">
        <v>2948</v>
      </c>
      <c r="K44" s="35" t="s">
        <v>532</v>
      </c>
      <c r="L44" s="37" t="s">
        <v>3644</v>
      </c>
      <c r="M44" t="s">
        <v>3663</v>
      </c>
    </row>
    <row r="45" spans="1:13">
      <c r="A45" s="5">
        <v>44</v>
      </c>
      <c r="B45" s="6" t="s">
        <v>1138</v>
      </c>
      <c r="C45" s="7">
        <v>2022003792</v>
      </c>
      <c r="D45" s="7">
        <v>2201010777</v>
      </c>
      <c r="E45" s="7" t="s">
        <v>1811</v>
      </c>
      <c r="F45" s="7" t="e">
        <f>VLOOKUP(C45,'Fast Track '!B:C,2,FALSE)</f>
        <v>#N/A</v>
      </c>
      <c r="G45" s="7" t="s">
        <v>3750</v>
      </c>
      <c r="H45" s="6" t="s">
        <v>1139</v>
      </c>
      <c r="I45" s="6" t="s">
        <v>2951</v>
      </c>
      <c r="J45" s="6" t="s">
        <v>2952</v>
      </c>
      <c r="K45" s="35" t="s">
        <v>532</v>
      </c>
      <c r="L45" s="37" t="s">
        <v>3644</v>
      </c>
      <c r="M45" t="s">
        <v>3663</v>
      </c>
    </row>
    <row r="46" spans="1:13">
      <c r="A46" s="5">
        <v>45</v>
      </c>
      <c r="B46" s="6" t="s">
        <v>1213</v>
      </c>
      <c r="C46" s="7">
        <v>2022498647</v>
      </c>
      <c r="D46" s="7">
        <v>2201010789</v>
      </c>
      <c r="E46" s="7" t="s">
        <v>1811</v>
      </c>
      <c r="F46" s="7" t="e">
        <f>VLOOKUP(C46,'Fast Track '!B:C,2,FALSE)</f>
        <v>#N/A</v>
      </c>
      <c r="G46" s="7" t="s">
        <v>3751</v>
      </c>
      <c r="H46" s="6" t="s">
        <v>1214</v>
      </c>
      <c r="I46" s="6" t="s">
        <v>2953</v>
      </c>
      <c r="J46" s="6" t="s">
        <v>2954</v>
      </c>
      <c r="K46" s="35" t="s">
        <v>532</v>
      </c>
      <c r="L46" s="37" t="s">
        <v>3644</v>
      </c>
      <c r="M46" t="s">
        <v>3663</v>
      </c>
    </row>
    <row r="47" spans="1:13">
      <c r="A47" s="5">
        <v>46</v>
      </c>
      <c r="B47" s="6" t="s">
        <v>1225</v>
      </c>
      <c r="C47" s="7">
        <v>2022521262</v>
      </c>
      <c r="D47" s="7">
        <v>2201010792</v>
      </c>
      <c r="E47" s="7" t="s">
        <v>1811</v>
      </c>
      <c r="F47" s="7" t="e">
        <f>VLOOKUP(C47,'Fast Track '!B:C,2,FALSE)</f>
        <v>#N/A</v>
      </c>
      <c r="G47" s="7" t="s">
        <v>3752</v>
      </c>
      <c r="H47" s="6" t="s">
        <v>1226</v>
      </c>
      <c r="I47" s="6" t="s">
        <v>2955</v>
      </c>
      <c r="J47" s="6" t="s">
        <v>2956</v>
      </c>
      <c r="K47" s="35" t="s">
        <v>532</v>
      </c>
      <c r="L47" s="37" t="s">
        <v>3644</v>
      </c>
      <c r="M47" t="s">
        <v>3663</v>
      </c>
    </row>
    <row r="48" spans="1:13">
      <c r="A48" s="5">
        <v>47</v>
      </c>
      <c r="B48" s="6" t="s">
        <v>465</v>
      </c>
      <c r="C48" s="7">
        <v>2022339160</v>
      </c>
      <c r="D48" s="7">
        <v>2201010808</v>
      </c>
      <c r="E48" s="7" t="s">
        <v>1811</v>
      </c>
      <c r="F48" s="7" t="e">
        <f>VLOOKUP(C48,'Fast Track '!B:C,2,FALSE)</f>
        <v>#N/A</v>
      </c>
      <c r="G48" s="7" t="s">
        <v>3753</v>
      </c>
      <c r="H48" s="6" t="s">
        <v>1164</v>
      </c>
      <c r="I48" s="6" t="s">
        <v>2957</v>
      </c>
      <c r="J48" s="6" t="s">
        <v>2958</v>
      </c>
      <c r="K48" s="35" t="s">
        <v>532</v>
      </c>
      <c r="L48" s="37" t="s">
        <v>3644</v>
      </c>
      <c r="M48" t="s">
        <v>3663</v>
      </c>
    </row>
    <row r="49" spans="1:13">
      <c r="A49" s="5">
        <v>48</v>
      </c>
      <c r="B49" s="6" t="s">
        <v>1154</v>
      </c>
      <c r="C49" s="7">
        <v>2022007267</v>
      </c>
      <c r="D49" s="7">
        <v>2201010838</v>
      </c>
      <c r="E49" s="7" t="s">
        <v>1811</v>
      </c>
      <c r="F49" s="7" t="e">
        <f>VLOOKUP(C49,'Fast Track '!B:C,2,FALSE)</f>
        <v>#N/A</v>
      </c>
      <c r="G49" s="7" t="s">
        <v>3754</v>
      </c>
      <c r="H49" s="6" t="s">
        <v>1155</v>
      </c>
      <c r="I49" s="6" t="s">
        <v>2959</v>
      </c>
      <c r="J49" s="6" t="s">
        <v>2960</v>
      </c>
      <c r="K49" s="35" t="s">
        <v>532</v>
      </c>
      <c r="L49" s="37" t="s">
        <v>3644</v>
      </c>
      <c r="M49" t="s">
        <v>3663</v>
      </c>
    </row>
    <row r="50" spans="1:13">
      <c r="A50" s="5">
        <v>49</v>
      </c>
      <c r="B50" s="6" t="s">
        <v>1237</v>
      </c>
      <c r="C50" s="7">
        <v>2022620180</v>
      </c>
      <c r="D50" s="7">
        <v>2201010904</v>
      </c>
      <c r="E50" s="7" t="s">
        <v>1811</v>
      </c>
      <c r="F50" s="7" t="e">
        <f>VLOOKUP(C50,'Fast Track '!B:C,2,FALSE)</f>
        <v>#N/A</v>
      </c>
      <c r="G50" s="7" t="s">
        <v>3755</v>
      </c>
      <c r="H50" s="6" t="s">
        <v>1238</v>
      </c>
      <c r="I50" s="6" t="s">
        <v>2961</v>
      </c>
      <c r="J50" s="6" t="s">
        <v>2962</v>
      </c>
      <c r="K50" s="35" t="s">
        <v>532</v>
      </c>
      <c r="L50" s="37" t="s">
        <v>3644</v>
      </c>
      <c r="M50" t="s">
        <v>3663</v>
      </c>
    </row>
    <row r="51" spans="1:13">
      <c r="A51" s="5">
        <v>50</v>
      </c>
      <c r="B51" s="6" t="s">
        <v>1203</v>
      </c>
      <c r="C51" s="7">
        <v>2022479218</v>
      </c>
      <c r="D51" s="7">
        <v>2201010929</v>
      </c>
      <c r="E51" s="7" t="s">
        <v>1811</v>
      </c>
      <c r="F51" s="7" t="e">
        <f>VLOOKUP(C51,'Fast Track '!B:C,2,FALSE)</f>
        <v>#N/A</v>
      </c>
      <c r="G51" s="7" t="s">
        <v>3756</v>
      </c>
      <c r="H51" s="6" t="s">
        <v>1204</v>
      </c>
      <c r="I51" s="6" t="s">
        <v>2963</v>
      </c>
      <c r="J51" s="6" t="s">
        <v>2964</v>
      </c>
      <c r="K51" s="35" t="s">
        <v>532</v>
      </c>
      <c r="L51" s="37" t="s">
        <v>3644</v>
      </c>
      <c r="M51" t="s">
        <v>3663</v>
      </c>
    </row>
    <row r="52" spans="1:13">
      <c r="A52" s="5">
        <v>51</v>
      </c>
      <c r="B52" s="6" t="s">
        <v>1231</v>
      </c>
      <c r="C52" s="7">
        <v>2022600192</v>
      </c>
      <c r="D52" s="7">
        <v>2201010933</v>
      </c>
      <c r="E52" s="7" t="s">
        <v>1811</v>
      </c>
      <c r="F52" s="7" t="e">
        <f>VLOOKUP(C52,'Fast Track '!B:C,2,FALSE)</f>
        <v>#N/A</v>
      </c>
      <c r="G52" s="7" t="s">
        <v>3757</v>
      </c>
      <c r="H52" s="6" t="s">
        <v>1232</v>
      </c>
      <c r="I52" s="6" t="s">
        <v>2965</v>
      </c>
      <c r="J52" s="6" t="s">
        <v>2966</v>
      </c>
      <c r="K52" s="35" t="s">
        <v>532</v>
      </c>
      <c r="L52" s="37" t="s">
        <v>3644</v>
      </c>
      <c r="M52" t="s">
        <v>3663</v>
      </c>
    </row>
    <row r="53" spans="1:13">
      <c r="A53" s="5">
        <v>52</v>
      </c>
      <c r="B53" s="6" t="s">
        <v>1233</v>
      </c>
      <c r="C53" s="7">
        <v>2022601761</v>
      </c>
      <c r="D53" s="7">
        <v>2201010934</v>
      </c>
      <c r="E53" s="7" t="s">
        <v>1811</v>
      </c>
      <c r="F53" s="7" t="e">
        <f>VLOOKUP(C53,'Fast Track '!B:C,2,FALSE)</f>
        <v>#N/A</v>
      </c>
      <c r="G53" s="7" t="s">
        <v>3758</v>
      </c>
      <c r="H53" s="6" t="s">
        <v>1234</v>
      </c>
      <c r="I53" s="6" t="s">
        <v>2967</v>
      </c>
      <c r="J53" s="6" t="s">
        <v>2968</v>
      </c>
      <c r="K53" s="35" t="s">
        <v>532</v>
      </c>
      <c r="L53" s="37" t="s">
        <v>3644</v>
      </c>
      <c r="M53" t="s">
        <v>3663</v>
      </c>
    </row>
    <row r="54" spans="1:13">
      <c r="A54" s="5">
        <v>53</v>
      </c>
      <c r="B54" s="6" t="s">
        <v>1235</v>
      </c>
      <c r="C54" s="7">
        <v>2022610396</v>
      </c>
      <c r="D54" s="7">
        <v>2201010937</v>
      </c>
      <c r="E54" s="7" t="s">
        <v>1811</v>
      </c>
      <c r="F54" s="7" t="e">
        <f>VLOOKUP(C54,'Fast Track '!B:C,2,FALSE)</f>
        <v>#N/A</v>
      </c>
      <c r="G54" s="7" t="s">
        <v>3759</v>
      </c>
      <c r="H54" s="6" t="s">
        <v>1236</v>
      </c>
      <c r="I54" s="6" t="s">
        <v>2969</v>
      </c>
      <c r="J54" s="6" t="s">
        <v>2970</v>
      </c>
      <c r="K54" s="35" t="s">
        <v>532</v>
      </c>
      <c r="L54" s="37" t="s">
        <v>3644</v>
      </c>
      <c r="M54" t="s">
        <v>3663</v>
      </c>
    </row>
    <row r="55" spans="1:13">
      <c r="A55" s="5">
        <v>54</v>
      </c>
      <c r="B55" s="6" t="s">
        <v>1239</v>
      </c>
      <c r="C55" s="7">
        <v>2022623133</v>
      </c>
      <c r="D55" s="7">
        <v>2201010939</v>
      </c>
      <c r="E55" s="7" t="s">
        <v>1811</v>
      </c>
      <c r="F55" s="7" t="e">
        <f>VLOOKUP(C55,'Fast Track '!B:C,2,FALSE)</f>
        <v>#N/A</v>
      </c>
      <c r="G55" s="7" t="s">
        <v>3760</v>
      </c>
      <c r="H55" s="6" t="s">
        <v>1240</v>
      </c>
      <c r="I55" s="6" t="s">
        <v>2971</v>
      </c>
      <c r="J55" s="6" t="s">
        <v>2972</v>
      </c>
      <c r="K55" s="35" t="s">
        <v>532</v>
      </c>
      <c r="L55" s="37" t="s">
        <v>3644</v>
      </c>
      <c r="M55" t="s">
        <v>3663</v>
      </c>
    </row>
    <row r="56" spans="1:13">
      <c r="A56" s="5">
        <v>55</v>
      </c>
      <c r="B56" s="54" t="s">
        <v>1370</v>
      </c>
      <c r="C56" s="55">
        <v>2022513156</v>
      </c>
      <c r="D56" s="55">
        <v>2201010699</v>
      </c>
      <c r="E56" s="7" t="s">
        <v>1811</v>
      </c>
      <c r="F56" s="7" t="e">
        <f>VLOOKUP(C56,'Fast Track '!B:C,2,FALSE)</f>
        <v>#N/A</v>
      </c>
      <c r="G56" s="7" t="s">
        <v>3761</v>
      </c>
      <c r="H56" s="54" t="s">
        <v>1371</v>
      </c>
      <c r="I56" s="54" t="s">
        <v>3225</v>
      </c>
      <c r="J56" s="54" t="s">
        <v>3226</v>
      </c>
      <c r="K56" s="54" t="s">
        <v>1372</v>
      </c>
      <c r="L56" s="60" t="s">
        <v>3645</v>
      </c>
      <c r="M56" s="57" t="s">
        <v>3673</v>
      </c>
    </row>
    <row r="57" spans="1:13">
      <c r="A57" s="5">
        <v>56</v>
      </c>
      <c r="B57" s="54" t="s">
        <v>1468</v>
      </c>
      <c r="C57" s="55">
        <v>2022476818</v>
      </c>
      <c r="D57" s="55">
        <v>2201010171</v>
      </c>
      <c r="E57" s="7" t="s">
        <v>1811</v>
      </c>
      <c r="F57" s="7" t="e">
        <f>VLOOKUP(C57,'Fast Track '!B:C,2,FALSE)</f>
        <v>#N/A</v>
      </c>
      <c r="G57" s="7" t="s">
        <v>3762</v>
      </c>
      <c r="H57" s="54" t="s">
        <v>1469</v>
      </c>
      <c r="I57" s="54" t="s">
        <v>3341</v>
      </c>
      <c r="J57" s="54" t="s">
        <v>3342</v>
      </c>
      <c r="K57" s="54" t="s">
        <v>1372</v>
      </c>
      <c r="L57" s="60" t="s">
        <v>3645</v>
      </c>
      <c r="M57" s="57" t="s">
        <v>3673</v>
      </c>
    </row>
    <row r="58" spans="1:13">
      <c r="A58" s="5">
        <v>57</v>
      </c>
      <c r="B58" s="54" t="s">
        <v>1464</v>
      </c>
      <c r="C58" s="55">
        <v>2022431320</v>
      </c>
      <c r="D58" s="55">
        <v>2201010259</v>
      </c>
      <c r="E58" s="7" t="s">
        <v>1811</v>
      </c>
      <c r="F58" s="7" t="e">
        <f>VLOOKUP(C58,'Fast Track '!B:C,2,FALSE)</f>
        <v>#N/A</v>
      </c>
      <c r="G58" s="7" t="s">
        <v>3763</v>
      </c>
      <c r="H58" s="54" t="s">
        <v>1465</v>
      </c>
      <c r="I58" s="54" t="s">
        <v>3343</v>
      </c>
      <c r="J58" s="54" t="s">
        <v>3344</v>
      </c>
      <c r="K58" s="54" t="s">
        <v>1372</v>
      </c>
      <c r="L58" s="60" t="s">
        <v>3645</v>
      </c>
      <c r="M58" s="57" t="s">
        <v>3673</v>
      </c>
    </row>
    <row r="59" spans="1:13">
      <c r="A59" s="5">
        <v>58</v>
      </c>
      <c r="B59" s="54" t="s">
        <v>1421</v>
      </c>
      <c r="C59" s="55">
        <v>2022006750</v>
      </c>
      <c r="D59" s="55">
        <v>2201010282</v>
      </c>
      <c r="E59" s="7" t="s">
        <v>1811</v>
      </c>
      <c r="F59" s="7" t="str">
        <f>VLOOKUP(C59,'Fast Track '!B:C,2,FALSE)</f>
        <v xml:space="preserve">Fasttrack </v>
      </c>
      <c r="G59" s="7" t="s">
        <v>3764</v>
      </c>
      <c r="H59" s="54" t="s">
        <v>1422</v>
      </c>
      <c r="I59" s="54" t="s">
        <v>3345</v>
      </c>
      <c r="J59" s="54" t="s">
        <v>3346</v>
      </c>
      <c r="K59" s="54" t="s">
        <v>1372</v>
      </c>
      <c r="L59" s="60" t="s">
        <v>3645</v>
      </c>
      <c r="M59" s="57" t="s">
        <v>3673</v>
      </c>
    </row>
    <row r="60" spans="1:13">
      <c r="A60" s="5">
        <v>59</v>
      </c>
      <c r="B60" s="54" t="s">
        <v>1409</v>
      </c>
      <c r="C60" s="55">
        <v>2022006106</v>
      </c>
      <c r="D60" s="55">
        <v>2201010704</v>
      </c>
      <c r="E60" s="7" t="s">
        <v>1811</v>
      </c>
      <c r="F60" s="7" t="e">
        <f>VLOOKUP(C60,'Fast Track '!B:C,2,FALSE)</f>
        <v>#N/A</v>
      </c>
      <c r="G60" s="7" t="s">
        <v>3765</v>
      </c>
      <c r="H60" s="54" t="s">
        <v>1410</v>
      </c>
      <c r="I60" s="54" t="s">
        <v>3347</v>
      </c>
      <c r="J60" s="54" t="s">
        <v>3348</v>
      </c>
      <c r="K60" s="54" t="s">
        <v>1372</v>
      </c>
      <c r="L60" s="60" t="s">
        <v>3645</v>
      </c>
      <c r="M60" s="57" t="s">
        <v>3673</v>
      </c>
    </row>
    <row r="61" spans="1:13">
      <c r="A61" s="5">
        <v>60</v>
      </c>
      <c r="B61" s="54" t="s">
        <v>1397</v>
      </c>
      <c r="C61" s="55">
        <v>2022003592</v>
      </c>
      <c r="D61" s="55">
        <v>2201010722</v>
      </c>
      <c r="E61" s="7" t="s">
        <v>1811</v>
      </c>
      <c r="F61" s="7" t="e">
        <f>VLOOKUP(C61,'Fast Track '!B:C,2,FALSE)</f>
        <v>#N/A</v>
      </c>
      <c r="G61" s="7" t="s">
        <v>3766</v>
      </c>
      <c r="H61" s="54" t="s">
        <v>1398</v>
      </c>
      <c r="I61" s="54" t="s">
        <v>3349</v>
      </c>
      <c r="J61" s="54" t="s">
        <v>3350</v>
      </c>
      <c r="K61" s="54" t="s">
        <v>1372</v>
      </c>
      <c r="L61" s="60" t="s">
        <v>3645</v>
      </c>
      <c r="M61" s="57" t="s">
        <v>3673</v>
      </c>
    </row>
    <row r="62" spans="1:13">
      <c r="A62" s="5">
        <v>61</v>
      </c>
      <c r="B62" s="54" t="s">
        <v>1484</v>
      </c>
      <c r="C62" s="55">
        <v>2022579523</v>
      </c>
      <c r="D62" s="55">
        <v>2201010979</v>
      </c>
      <c r="E62" s="7" t="s">
        <v>1811</v>
      </c>
      <c r="F62" s="7" t="str">
        <f>VLOOKUP(C62,'Fast Track '!B:C,2,FALSE)</f>
        <v xml:space="preserve">Fasttrack </v>
      </c>
      <c r="G62" s="7" t="s">
        <v>3767</v>
      </c>
      <c r="H62" s="54" t="s">
        <v>1485</v>
      </c>
      <c r="I62" s="54" t="s">
        <v>3351</v>
      </c>
      <c r="J62" s="54" t="s">
        <v>3352</v>
      </c>
      <c r="K62" s="54" t="s">
        <v>1372</v>
      </c>
      <c r="L62" s="60" t="s">
        <v>3645</v>
      </c>
      <c r="M62" s="57" t="s">
        <v>3673</v>
      </c>
    </row>
    <row r="63" spans="1:13">
      <c r="A63" s="5">
        <v>62</v>
      </c>
      <c r="B63" s="54" t="s">
        <v>1443</v>
      </c>
      <c r="C63" s="55">
        <v>2022306619</v>
      </c>
      <c r="D63" s="55">
        <v>2201010044</v>
      </c>
      <c r="E63" s="7" t="s">
        <v>1811</v>
      </c>
      <c r="F63" s="7" t="e">
        <f>VLOOKUP(C63,'Fast Track '!B:C,2,FALSE)</f>
        <v>#N/A</v>
      </c>
      <c r="G63" s="7" t="s">
        <v>3768</v>
      </c>
      <c r="H63" s="54" t="s">
        <v>1444</v>
      </c>
      <c r="I63" s="54" t="s">
        <v>3447</v>
      </c>
      <c r="J63" s="54" t="s">
        <v>3448</v>
      </c>
      <c r="K63" s="54" t="s">
        <v>1372</v>
      </c>
      <c r="L63" s="60" t="s">
        <v>3645</v>
      </c>
      <c r="M63" s="57" t="s">
        <v>3673</v>
      </c>
    </row>
    <row r="64" spans="1:13">
      <c r="A64" s="5">
        <v>63</v>
      </c>
      <c r="B64" s="54" t="s">
        <v>1523</v>
      </c>
      <c r="C64" s="55">
        <v>2022005043</v>
      </c>
      <c r="D64" s="55">
        <v>2201010054</v>
      </c>
      <c r="E64" s="7" t="s">
        <v>1811</v>
      </c>
      <c r="F64" s="7" t="e">
        <f>VLOOKUP(C64,'Fast Track '!B:C,2,FALSE)</f>
        <v>#N/A</v>
      </c>
      <c r="G64" s="7" t="s">
        <v>3769</v>
      </c>
      <c r="H64" s="54" t="s">
        <v>1524</v>
      </c>
      <c r="I64" s="54" t="s">
        <v>3449</v>
      </c>
      <c r="J64" s="54" t="s">
        <v>3450</v>
      </c>
      <c r="K64" s="54" t="s">
        <v>1372</v>
      </c>
      <c r="L64" s="60" t="s">
        <v>3645</v>
      </c>
      <c r="M64" s="57" t="s">
        <v>3673</v>
      </c>
    </row>
    <row r="65" spans="1:14">
      <c r="A65" s="5">
        <v>64</v>
      </c>
      <c r="B65" s="54" t="s">
        <v>1411</v>
      </c>
      <c r="C65" s="55">
        <v>2022006195</v>
      </c>
      <c r="D65" s="55">
        <v>2201010089</v>
      </c>
      <c r="E65" s="7" t="s">
        <v>1811</v>
      </c>
      <c r="F65" s="7" t="e">
        <f>VLOOKUP(C65,'Fast Track '!B:C,2,FALSE)</f>
        <v>#N/A</v>
      </c>
      <c r="G65" s="7" t="s">
        <v>3770</v>
      </c>
      <c r="H65" s="54" t="s">
        <v>1412</v>
      </c>
      <c r="I65" s="54" t="s">
        <v>3451</v>
      </c>
      <c r="J65" s="54" t="s">
        <v>3452</v>
      </c>
      <c r="K65" s="54" t="s">
        <v>1372</v>
      </c>
      <c r="L65" s="60" t="s">
        <v>3645</v>
      </c>
      <c r="M65" s="57" t="s">
        <v>3673</v>
      </c>
    </row>
    <row r="66" spans="1:14">
      <c r="A66" s="5">
        <v>65</v>
      </c>
      <c r="B66" s="54" t="s">
        <v>1482</v>
      </c>
      <c r="C66" s="55">
        <v>2022569459</v>
      </c>
      <c r="D66" s="55">
        <v>2201010117</v>
      </c>
      <c r="E66" s="7" t="s">
        <v>1811</v>
      </c>
      <c r="F66" s="7" t="e">
        <f>VLOOKUP(C66,'Fast Track '!B:C,2,FALSE)</f>
        <v>#N/A</v>
      </c>
      <c r="G66" s="7" t="s">
        <v>3771</v>
      </c>
      <c r="H66" s="54" t="s">
        <v>1483</v>
      </c>
      <c r="I66" s="54" t="s">
        <v>3453</v>
      </c>
      <c r="J66" s="54" t="s">
        <v>3454</v>
      </c>
      <c r="K66" s="54" t="s">
        <v>1372</v>
      </c>
      <c r="L66" s="60" t="s">
        <v>3645</v>
      </c>
      <c r="M66" s="57" t="s">
        <v>3673</v>
      </c>
    </row>
    <row r="67" spans="1:14">
      <c r="A67" s="5">
        <v>66</v>
      </c>
      <c r="B67" s="54" t="s">
        <v>1419</v>
      </c>
      <c r="C67" s="55">
        <v>2022006607</v>
      </c>
      <c r="D67" s="55">
        <v>2201010137</v>
      </c>
      <c r="E67" s="7" t="s">
        <v>1811</v>
      </c>
      <c r="F67" s="7" t="e">
        <f>VLOOKUP(C67,'Fast Track '!B:C,2,FALSE)</f>
        <v>#N/A</v>
      </c>
      <c r="G67" s="7" t="s">
        <v>3772</v>
      </c>
      <c r="H67" s="54" t="s">
        <v>1420</v>
      </c>
      <c r="I67" s="54" t="s">
        <v>3455</v>
      </c>
      <c r="J67" s="54" t="s">
        <v>3456</v>
      </c>
      <c r="K67" s="54" t="s">
        <v>1372</v>
      </c>
      <c r="L67" s="60" t="s">
        <v>3645</v>
      </c>
      <c r="M67" s="57" t="s">
        <v>3673</v>
      </c>
    </row>
    <row r="68" spans="1:14">
      <c r="A68" s="5">
        <v>67</v>
      </c>
      <c r="B68" s="54" t="s">
        <v>1456</v>
      </c>
      <c r="C68" s="55">
        <v>2022394539</v>
      </c>
      <c r="D68" s="55">
        <v>2201010148</v>
      </c>
      <c r="E68" s="7" t="s">
        <v>1811</v>
      </c>
      <c r="F68" s="7" t="e">
        <f>VLOOKUP(C68,'Fast Track '!B:C,2,FALSE)</f>
        <v>#N/A</v>
      </c>
      <c r="G68" s="7" t="s">
        <v>3773</v>
      </c>
      <c r="H68" s="54" t="s">
        <v>1457</v>
      </c>
      <c r="I68" s="54" t="s">
        <v>3457</v>
      </c>
      <c r="J68" s="54" t="s">
        <v>3458</v>
      </c>
      <c r="K68" s="54" t="s">
        <v>1372</v>
      </c>
      <c r="L68" s="60" t="s">
        <v>3645</v>
      </c>
      <c r="M68" s="57" t="s">
        <v>3673</v>
      </c>
      <c r="N68" s="38"/>
    </row>
    <row r="69" spans="1:14">
      <c r="A69" s="5">
        <v>68</v>
      </c>
      <c r="B69" s="54" t="s">
        <v>1449</v>
      </c>
      <c r="C69" s="55">
        <v>2022330517</v>
      </c>
      <c r="D69" s="55">
        <v>2201010212</v>
      </c>
      <c r="E69" s="7" t="s">
        <v>1811</v>
      </c>
      <c r="F69" s="7" t="e">
        <f>VLOOKUP(C69,'Fast Track '!B:C,2,FALSE)</f>
        <v>#N/A</v>
      </c>
      <c r="G69" s="7" t="s">
        <v>3774</v>
      </c>
      <c r="H69" s="54" t="s">
        <v>1450</v>
      </c>
      <c r="I69" s="54" t="s">
        <v>3459</v>
      </c>
      <c r="J69" s="54" t="s">
        <v>3460</v>
      </c>
      <c r="K69" s="54" t="s">
        <v>1372</v>
      </c>
      <c r="L69" s="60" t="s">
        <v>3645</v>
      </c>
      <c r="M69" s="57" t="s">
        <v>3673</v>
      </c>
      <c r="N69" s="38"/>
    </row>
    <row r="70" spans="1:14">
      <c r="A70" s="5">
        <v>69</v>
      </c>
      <c r="B70" s="54" t="s">
        <v>1480</v>
      </c>
      <c r="C70" s="55">
        <v>2022560746</v>
      </c>
      <c r="D70" s="55">
        <v>2201010219</v>
      </c>
      <c r="E70" s="7" t="s">
        <v>1811</v>
      </c>
      <c r="F70" s="7" t="e">
        <f>VLOOKUP(C70,'Fast Track '!B:C,2,FALSE)</f>
        <v>#N/A</v>
      </c>
      <c r="G70" s="7" t="s">
        <v>3775</v>
      </c>
      <c r="H70" s="54" t="s">
        <v>1481</v>
      </c>
      <c r="I70" s="54" t="s">
        <v>3461</v>
      </c>
      <c r="J70" s="54" t="s">
        <v>3462</v>
      </c>
      <c r="K70" s="54" t="s">
        <v>1372</v>
      </c>
      <c r="L70" s="60" t="s">
        <v>3645</v>
      </c>
      <c r="M70" s="57" t="s">
        <v>3673</v>
      </c>
      <c r="N70" s="38"/>
    </row>
    <row r="71" spans="1:14">
      <c r="A71" s="5">
        <v>70</v>
      </c>
      <c r="B71" s="54" t="s">
        <v>1402</v>
      </c>
      <c r="C71" s="55">
        <v>2022004439</v>
      </c>
      <c r="D71" s="55">
        <v>2201010221</v>
      </c>
      <c r="E71" s="7" t="s">
        <v>1811</v>
      </c>
      <c r="F71" s="7" t="str">
        <f>VLOOKUP(C71,'Fast Track '!B:C,2,FALSE)</f>
        <v xml:space="preserve">Fasttrack </v>
      </c>
      <c r="G71" s="7" t="s">
        <v>3776</v>
      </c>
      <c r="H71" s="54" t="s">
        <v>1403</v>
      </c>
      <c r="I71" s="54" t="s">
        <v>3463</v>
      </c>
      <c r="J71" s="54" t="s">
        <v>3464</v>
      </c>
      <c r="K71" s="54" t="s">
        <v>1372</v>
      </c>
      <c r="L71" s="60" t="s">
        <v>3645</v>
      </c>
      <c r="M71" s="57" t="s">
        <v>3673</v>
      </c>
      <c r="N71" s="38"/>
    </row>
    <row r="72" spans="1:14">
      <c r="A72" s="5">
        <v>71</v>
      </c>
      <c r="B72" s="54" t="s">
        <v>1574</v>
      </c>
      <c r="C72" s="55">
        <v>2022514043</v>
      </c>
      <c r="D72" s="55">
        <v>2201010390</v>
      </c>
      <c r="E72" s="7" t="s">
        <v>1811</v>
      </c>
      <c r="F72" s="7" t="e">
        <f>VLOOKUP(C72,'Fast Track '!B:C,2,FALSE)</f>
        <v>#N/A</v>
      </c>
      <c r="G72" s="7" t="s">
        <v>3777</v>
      </c>
      <c r="H72" s="54" t="s">
        <v>1575</v>
      </c>
      <c r="I72" s="54" t="s">
        <v>3465</v>
      </c>
      <c r="J72" s="54" t="s">
        <v>3466</v>
      </c>
      <c r="K72" s="54" t="s">
        <v>1372</v>
      </c>
      <c r="L72" s="60" t="s">
        <v>3645</v>
      </c>
      <c r="M72" s="57" t="s">
        <v>3673</v>
      </c>
    </row>
    <row r="73" spans="1:14">
      <c r="A73" s="5">
        <v>72</v>
      </c>
      <c r="B73" s="54" t="s">
        <v>1572</v>
      </c>
      <c r="C73" s="55">
        <v>2022514039</v>
      </c>
      <c r="D73" s="55">
        <v>2201010393</v>
      </c>
      <c r="E73" s="7" t="s">
        <v>1811</v>
      </c>
      <c r="F73" s="7" t="e">
        <f>VLOOKUP(C73,'Fast Track '!B:C,2,FALSE)</f>
        <v>#N/A</v>
      </c>
      <c r="G73" s="7" t="s">
        <v>3778</v>
      </c>
      <c r="H73" s="54" t="s">
        <v>1573</v>
      </c>
      <c r="I73" s="54" t="s">
        <v>3467</v>
      </c>
      <c r="J73" s="54" t="s">
        <v>3468</v>
      </c>
      <c r="K73" s="54" t="s">
        <v>1372</v>
      </c>
      <c r="L73" s="60" t="s">
        <v>3645</v>
      </c>
      <c r="M73" s="57" t="s">
        <v>3673</v>
      </c>
    </row>
    <row r="74" spans="1:14">
      <c r="A74" s="5">
        <v>73</v>
      </c>
      <c r="B74" s="54" t="s">
        <v>306</v>
      </c>
      <c r="C74" s="55">
        <v>2022489962</v>
      </c>
      <c r="D74" s="55">
        <v>2201010519</v>
      </c>
      <c r="E74" s="7" t="s">
        <v>1811</v>
      </c>
      <c r="F74" s="7" t="e">
        <f>VLOOKUP(C74,'Fast Track '!B:C,2,FALSE)</f>
        <v>#N/A</v>
      </c>
      <c r="G74" s="7" t="s">
        <v>3779</v>
      </c>
      <c r="H74" s="54" t="s">
        <v>1473</v>
      </c>
      <c r="I74" s="54" t="s">
        <v>3469</v>
      </c>
      <c r="J74" s="54" t="s">
        <v>3470</v>
      </c>
      <c r="K74" s="54" t="s">
        <v>1372</v>
      </c>
      <c r="L74" s="60" t="s">
        <v>3645</v>
      </c>
      <c r="M74" s="57" t="s">
        <v>3673</v>
      </c>
    </row>
    <row r="75" spans="1:14">
      <c r="A75" s="38"/>
      <c r="L75"/>
    </row>
    <row r="76" spans="1:14">
      <c r="A76" s="38"/>
      <c r="L76"/>
    </row>
  </sheetData>
  <conditionalFormatting sqref="C3">
    <cfRule type="duplicateValues" dxfId="121" priority="32"/>
  </conditionalFormatting>
  <conditionalFormatting sqref="C3">
    <cfRule type="duplicateValues" dxfId="120" priority="29"/>
  </conditionalFormatting>
  <conditionalFormatting sqref="C3:D3">
    <cfRule type="duplicateValues" dxfId="119" priority="30"/>
    <cfRule type="duplicateValues" dxfId="118" priority="31"/>
  </conditionalFormatting>
  <conditionalFormatting sqref="C7">
    <cfRule type="duplicateValues" dxfId="117" priority="26"/>
  </conditionalFormatting>
  <conditionalFormatting sqref="C7:D7">
    <cfRule type="duplicateValues" dxfId="116" priority="27"/>
    <cfRule type="duplicateValues" dxfId="115" priority="28"/>
  </conditionalFormatting>
  <conditionalFormatting sqref="C6">
    <cfRule type="duplicateValues" dxfId="114" priority="23"/>
  </conditionalFormatting>
  <conditionalFormatting sqref="C6:D6">
    <cfRule type="duplicateValues" dxfId="113" priority="24"/>
    <cfRule type="duplicateValues" dxfId="112" priority="25"/>
  </conditionalFormatting>
  <conditionalFormatting sqref="C4">
    <cfRule type="duplicateValues" dxfId="111" priority="22"/>
  </conditionalFormatting>
  <conditionalFormatting sqref="C4">
    <cfRule type="duplicateValues" dxfId="110" priority="19"/>
  </conditionalFormatting>
  <conditionalFormatting sqref="C4:D4">
    <cfRule type="duplicateValues" dxfId="109" priority="20"/>
    <cfRule type="duplicateValues" dxfId="108" priority="21"/>
  </conditionalFormatting>
  <conditionalFormatting sqref="C5">
    <cfRule type="duplicateValues" dxfId="107" priority="18"/>
  </conditionalFormatting>
  <conditionalFormatting sqref="C5">
    <cfRule type="duplicateValues" dxfId="106" priority="15"/>
  </conditionalFormatting>
  <conditionalFormatting sqref="C5:D5">
    <cfRule type="duplicateValues" dxfId="105" priority="16"/>
    <cfRule type="duplicateValues" dxfId="104" priority="17"/>
  </conditionalFormatting>
  <conditionalFormatting sqref="C10">
    <cfRule type="duplicateValues" dxfId="103" priority="11"/>
  </conditionalFormatting>
  <conditionalFormatting sqref="C10">
    <cfRule type="duplicateValues" dxfId="102" priority="8"/>
  </conditionalFormatting>
  <conditionalFormatting sqref="C10:D10">
    <cfRule type="duplicateValues" dxfId="101" priority="9"/>
    <cfRule type="duplicateValues" dxfId="100" priority="10"/>
  </conditionalFormatting>
  <conditionalFormatting sqref="C30">
    <cfRule type="duplicateValues" dxfId="99" priority="7"/>
  </conditionalFormatting>
  <conditionalFormatting sqref="C30">
    <cfRule type="duplicateValues" dxfId="98" priority="4"/>
  </conditionalFormatting>
  <conditionalFormatting sqref="C30:D30">
    <cfRule type="duplicateValues" dxfId="97" priority="5"/>
    <cfRule type="duplicateValues" dxfId="96" priority="6"/>
  </conditionalFormatting>
  <conditionalFormatting sqref="C56:D74">
    <cfRule type="duplicateValues" dxfId="95" priority="782"/>
    <cfRule type="duplicateValues" dxfId="94" priority="783"/>
  </conditionalFormatting>
  <conditionalFormatting sqref="C31:C55 C1:C2 C8:C9 C11:C29">
    <cfRule type="duplicateValues" dxfId="93" priority="845"/>
  </conditionalFormatting>
  <conditionalFormatting sqref="C56:C74">
    <cfRule type="duplicateValues" dxfId="92" priority="865"/>
  </conditionalFormatting>
  <conditionalFormatting sqref="C31:D55 C1:D2 C11:D29 C8:D9">
    <cfRule type="duplicateValues" dxfId="91" priority="866"/>
    <cfRule type="duplicateValues" dxfId="90" priority="867"/>
  </conditionalFormatting>
  <dataValidations count="1">
    <dataValidation type="list" allowBlank="1" showErrorMessage="1" sqref="L2:L74">
      <formula1>"G1,G2"</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M59"/>
  <sheetViews>
    <sheetView topLeftCell="D1" zoomScale="85" zoomScaleNormal="85" workbookViewId="0">
      <selection activeCell="H12" sqref="H12"/>
    </sheetView>
  </sheetViews>
  <sheetFormatPr defaultRowHeight="14.5"/>
  <cols>
    <col min="1" max="1" width="5.90625" bestFit="1" customWidth="1"/>
    <col min="2" max="2" width="22.6328125" bestFit="1" customWidth="1"/>
    <col min="3" max="3" width="12.08984375" bestFit="1" customWidth="1"/>
    <col min="4" max="4" width="11" bestFit="1" customWidth="1"/>
    <col min="5" max="5" width="19.36328125" bestFit="1" customWidth="1"/>
    <col min="6" max="7" width="19.36328125" customWidth="1"/>
    <col min="8" max="8" width="34.6328125" bestFit="1" customWidth="1"/>
    <col min="9" max="9" width="39.90625" bestFit="1" customWidth="1"/>
    <col min="10" max="10" width="11" bestFit="1" customWidth="1"/>
    <col min="11" max="11" width="22.6328125" bestFit="1" customWidth="1"/>
    <col min="12" max="12" width="11.54296875" style="38" customWidth="1"/>
  </cols>
  <sheetData>
    <row r="1" spans="1:13" ht="25">
      <c r="A1" s="1" t="s">
        <v>1</v>
      </c>
      <c r="B1" s="1" t="s">
        <v>2</v>
      </c>
      <c r="C1" s="1" t="s">
        <v>3</v>
      </c>
      <c r="D1" s="1" t="s">
        <v>4</v>
      </c>
      <c r="E1" s="1" t="s">
        <v>1817</v>
      </c>
      <c r="F1" s="1"/>
      <c r="G1" s="1"/>
      <c r="H1" s="1" t="s">
        <v>6</v>
      </c>
      <c r="I1" s="1" t="s">
        <v>1819</v>
      </c>
      <c r="J1" s="1" t="s">
        <v>1820</v>
      </c>
      <c r="K1" s="1" t="s">
        <v>7</v>
      </c>
      <c r="L1" s="36" t="s">
        <v>3676</v>
      </c>
      <c r="M1" s="41" t="s">
        <v>3677</v>
      </c>
    </row>
    <row r="2" spans="1:13">
      <c r="A2" s="5">
        <v>1</v>
      </c>
      <c r="B2" s="6" t="s">
        <v>1375</v>
      </c>
      <c r="C2" s="7">
        <v>2021362606</v>
      </c>
      <c r="D2" s="7">
        <v>210101044</v>
      </c>
      <c r="E2" s="7" t="s">
        <v>1812</v>
      </c>
      <c r="F2" s="7" t="e">
        <f>VLOOKUP(C2,'Fast Track '!B:C,2,FALSE)</f>
        <v>#N/A</v>
      </c>
      <c r="G2" s="7" t="s">
        <v>3707</v>
      </c>
      <c r="H2" s="6" t="s">
        <v>1376</v>
      </c>
      <c r="I2" s="6" t="s">
        <v>3107</v>
      </c>
      <c r="J2" s="6" t="s">
        <v>3108</v>
      </c>
      <c r="K2" s="6" t="s">
        <v>532</v>
      </c>
      <c r="L2" s="37" t="s">
        <v>3645</v>
      </c>
      <c r="M2" t="s">
        <v>3664</v>
      </c>
    </row>
    <row r="3" spans="1:13">
      <c r="A3" s="5">
        <v>2</v>
      </c>
      <c r="B3" s="6" t="s">
        <v>1498</v>
      </c>
      <c r="C3" s="7">
        <v>2021341739</v>
      </c>
      <c r="D3" s="7">
        <v>210101150</v>
      </c>
      <c r="E3" s="7" t="s">
        <v>1812</v>
      </c>
      <c r="F3" s="7" t="e">
        <f>VLOOKUP(C3,'Fast Track '!B:C,2,FALSE)</f>
        <v>#N/A</v>
      </c>
      <c r="G3" s="7" t="s">
        <v>3708</v>
      </c>
      <c r="H3" s="11" t="s">
        <v>1499</v>
      </c>
      <c r="I3" s="6" t="s">
        <v>3112</v>
      </c>
      <c r="J3" s="6" t="s">
        <v>3113</v>
      </c>
      <c r="K3" s="6" t="s">
        <v>532</v>
      </c>
      <c r="L3" s="37" t="s">
        <v>3645</v>
      </c>
      <c r="M3" t="s">
        <v>3664</v>
      </c>
    </row>
    <row r="4" spans="1:13">
      <c r="A4" s="5">
        <v>3</v>
      </c>
      <c r="B4" s="6" t="s">
        <v>1502</v>
      </c>
      <c r="C4" s="7">
        <v>2021399162</v>
      </c>
      <c r="D4" s="7">
        <v>210101172</v>
      </c>
      <c r="E4" s="7" t="s">
        <v>1812</v>
      </c>
      <c r="F4" s="7" t="e">
        <f>VLOOKUP(C4,'Fast Track '!B:C,2,FALSE)</f>
        <v>#N/A</v>
      </c>
      <c r="G4" s="7" t="s">
        <v>3709</v>
      </c>
      <c r="H4" s="6" t="s">
        <v>1503</v>
      </c>
      <c r="I4" s="6" t="s">
        <v>3114</v>
      </c>
      <c r="J4" s="6" t="s">
        <v>3115</v>
      </c>
      <c r="K4" s="6" t="s">
        <v>532</v>
      </c>
      <c r="L4" s="37" t="s">
        <v>3645</v>
      </c>
      <c r="M4" t="s">
        <v>3664</v>
      </c>
    </row>
    <row r="5" spans="1:13">
      <c r="A5" s="5">
        <v>4</v>
      </c>
      <c r="B5" s="16" t="s">
        <v>1800</v>
      </c>
      <c r="C5" s="16">
        <v>2021411743</v>
      </c>
      <c r="D5" s="7">
        <v>210101211</v>
      </c>
      <c r="E5" s="7" t="s">
        <v>1812</v>
      </c>
      <c r="F5" s="7" t="e">
        <f>VLOOKUP(C5,'Fast Track '!B:C,2,FALSE)</f>
        <v>#N/A</v>
      </c>
      <c r="G5" s="7" t="s">
        <v>3710</v>
      </c>
      <c r="H5" s="16"/>
      <c r="I5" s="6" t="s">
        <v>3116</v>
      </c>
      <c r="J5" s="6">
        <v>9399130373</v>
      </c>
      <c r="K5" s="6" t="s">
        <v>532</v>
      </c>
      <c r="L5" s="37" t="s">
        <v>3645</v>
      </c>
      <c r="M5" t="s">
        <v>3664</v>
      </c>
    </row>
    <row r="6" spans="1:13">
      <c r="A6" s="5">
        <v>5</v>
      </c>
      <c r="B6" s="6" t="s">
        <v>1500</v>
      </c>
      <c r="C6" s="7">
        <v>2021344584</v>
      </c>
      <c r="D6" s="7">
        <v>210101214</v>
      </c>
      <c r="E6" s="7" t="s">
        <v>1812</v>
      </c>
      <c r="F6" s="7" t="e">
        <f>VLOOKUP(C6,'Fast Track '!B:C,2,FALSE)</f>
        <v>#N/A</v>
      </c>
      <c r="G6" s="7" t="s">
        <v>3711</v>
      </c>
      <c r="H6" s="11" t="s">
        <v>1501</v>
      </c>
      <c r="I6" s="6" t="s">
        <v>3117</v>
      </c>
      <c r="J6" s="6" t="s">
        <v>3118</v>
      </c>
      <c r="K6" s="6" t="s">
        <v>532</v>
      </c>
      <c r="L6" s="37" t="s">
        <v>3645</v>
      </c>
      <c r="M6" t="s">
        <v>3664</v>
      </c>
    </row>
    <row r="7" spans="1:13">
      <c r="A7" s="5">
        <v>6</v>
      </c>
      <c r="B7" s="6" t="s">
        <v>1277</v>
      </c>
      <c r="C7" s="7">
        <v>2022004949</v>
      </c>
      <c r="D7" s="7">
        <v>2201010006</v>
      </c>
      <c r="E7" s="7" t="s">
        <v>1812</v>
      </c>
      <c r="F7" s="7" t="e">
        <f>VLOOKUP(C7,'Fast Track '!B:C,2,FALSE)</f>
        <v>#N/A</v>
      </c>
      <c r="G7" s="7" t="s">
        <v>3712</v>
      </c>
      <c r="H7" s="6" t="s">
        <v>1278</v>
      </c>
      <c r="I7" s="6" t="s">
        <v>3123</v>
      </c>
      <c r="J7" s="6" t="s">
        <v>3124</v>
      </c>
      <c r="K7" s="6" t="s">
        <v>532</v>
      </c>
      <c r="L7" s="37" t="s">
        <v>3645</v>
      </c>
      <c r="M7" t="s">
        <v>3664</v>
      </c>
    </row>
    <row r="8" spans="1:13">
      <c r="A8" s="5">
        <v>7</v>
      </c>
      <c r="B8" s="6" t="s">
        <v>1357</v>
      </c>
      <c r="C8" s="7">
        <v>2022589100</v>
      </c>
      <c r="D8" s="7">
        <v>2201010107</v>
      </c>
      <c r="E8" s="7" t="s">
        <v>1812</v>
      </c>
      <c r="F8" s="7" t="e">
        <f>VLOOKUP(C8,'Fast Track '!B:C,2,FALSE)</f>
        <v>#N/A</v>
      </c>
      <c r="G8" s="7" t="s">
        <v>3713</v>
      </c>
      <c r="H8" s="6" t="s">
        <v>1358</v>
      </c>
      <c r="I8" s="6" t="s">
        <v>3127</v>
      </c>
      <c r="J8" s="6" t="s">
        <v>3128</v>
      </c>
      <c r="K8" s="6" t="s">
        <v>532</v>
      </c>
      <c r="L8" s="37" t="s">
        <v>3645</v>
      </c>
      <c r="M8" t="s">
        <v>3664</v>
      </c>
    </row>
    <row r="9" spans="1:13">
      <c r="A9" s="5">
        <v>8</v>
      </c>
      <c r="B9" s="6" t="s">
        <v>1328</v>
      </c>
      <c r="C9" s="7">
        <v>2022512918</v>
      </c>
      <c r="D9" s="7">
        <v>2201010170</v>
      </c>
      <c r="E9" s="7" t="s">
        <v>1812</v>
      </c>
      <c r="F9" s="7" t="e">
        <f>VLOOKUP(C9,'Fast Track '!B:C,2,FALSE)</f>
        <v>#N/A</v>
      </c>
      <c r="G9" s="7" t="s">
        <v>3714</v>
      </c>
      <c r="H9" s="6" t="s">
        <v>1329</v>
      </c>
      <c r="I9" s="6" t="s">
        <v>3129</v>
      </c>
      <c r="J9" s="6" t="s">
        <v>3130</v>
      </c>
      <c r="K9" s="6" t="s">
        <v>532</v>
      </c>
      <c r="L9" s="37" t="s">
        <v>3645</v>
      </c>
      <c r="M9" t="s">
        <v>3664</v>
      </c>
    </row>
    <row r="10" spans="1:13">
      <c r="A10" s="5">
        <v>9</v>
      </c>
      <c r="B10" s="6" t="s">
        <v>1293</v>
      </c>
      <c r="C10" s="7">
        <v>2022309968</v>
      </c>
      <c r="D10" s="7">
        <v>2201010192</v>
      </c>
      <c r="E10" s="7" t="s">
        <v>1812</v>
      </c>
      <c r="F10" s="7" t="e">
        <f>VLOOKUP(C10,'Fast Track '!B:C,2,FALSE)</f>
        <v>#N/A</v>
      </c>
      <c r="G10" s="7" t="s">
        <v>3715</v>
      </c>
      <c r="H10" s="6" t="s">
        <v>1294</v>
      </c>
      <c r="I10" s="6" t="s">
        <v>3131</v>
      </c>
      <c r="J10" s="6" t="s">
        <v>3132</v>
      </c>
      <c r="K10" s="6" t="s">
        <v>532</v>
      </c>
      <c r="L10" s="37" t="s">
        <v>3645</v>
      </c>
      <c r="M10" t="s">
        <v>3664</v>
      </c>
    </row>
    <row r="11" spans="1:13">
      <c r="A11" s="5">
        <v>10</v>
      </c>
      <c r="B11" s="6" t="s">
        <v>1505</v>
      </c>
      <c r="C11" s="7">
        <v>2022473465</v>
      </c>
      <c r="D11" s="7">
        <v>2201010205</v>
      </c>
      <c r="E11" s="7" t="s">
        <v>1812</v>
      </c>
      <c r="F11" s="7" t="e">
        <f>VLOOKUP(C11,'Fast Track '!B:C,2,FALSE)</f>
        <v>#N/A</v>
      </c>
      <c r="G11" s="7" t="s">
        <v>3716</v>
      </c>
      <c r="H11" s="6" t="s">
        <v>1506</v>
      </c>
      <c r="I11" s="6" t="s">
        <v>3133</v>
      </c>
      <c r="J11" s="6" t="s">
        <v>3134</v>
      </c>
      <c r="K11" s="6" t="s">
        <v>532</v>
      </c>
      <c r="L11" s="37" t="s">
        <v>3645</v>
      </c>
      <c r="M11" t="s">
        <v>3664</v>
      </c>
    </row>
    <row r="12" spans="1:13">
      <c r="A12" s="5">
        <v>11</v>
      </c>
      <c r="B12" s="6" t="s">
        <v>1543</v>
      </c>
      <c r="C12" s="7">
        <v>2022340865</v>
      </c>
      <c r="D12" s="7">
        <v>2201010208</v>
      </c>
      <c r="E12" s="7" t="s">
        <v>1812</v>
      </c>
      <c r="F12" s="7" t="e">
        <f>VLOOKUP(C12,'Fast Track '!B:C,2,FALSE)</f>
        <v>#N/A</v>
      </c>
      <c r="G12" s="7" t="s">
        <v>3717</v>
      </c>
      <c r="H12" s="6" t="s">
        <v>1544</v>
      </c>
      <c r="I12" s="6" t="s">
        <v>3135</v>
      </c>
      <c r="J12" s="6" t="s">
        <v>3136</v>
      </c>
      <c r="K12" s="6" t="s">
        <v>532</v>
      </c>
      <c r="L12" s="37" t="s">
        <v>3645</v>
      </c>
      <c r="M12" t="s">
        <v>3664</v>
      </c>
    </row>
    <row r="13" spans="1:13">
      <c r="A13" s="5">
        <v>12</v>
      </c>
      <c r="B13" s="6" t="s">
        <v>730</v>
      </c>
      <c r="C13" s="7">
        <v>2022527313</v>
      </c>
      <c r="D13" s="7">
        <v>2201010267</v>
      </c>
      <c r="E13" s="7" t="s">
        <v>1812</v>
      </c>
      <c r="F13" s="7" t="e">
        <f>VLOOKUP(C13,'Fast Track '!B:C,2,FALSE)</f>
        <v>#N/A</v>
      </c>
      <c r="G13" s="7" t="s">
        <v>3718</v>
      </c>
      <c r="H13" s="6" t="s">
        <v>1338</v>
      </c>
      <c r="I13" s="6" t="s">
        <v>3137</v>
      </c>
      <c r="J13" s="6" t="s">
        <v>3138</v>
      </c>
      <c r="K13" s="6" t="s">
        <v>532</v>
      </c>
      <c r="L13" s="37" t="s">
        <v>3645</v>
      </c>
      <c r="M13" t="s">
        <v>3664</v>
      </c>
    </row>
    <row r="14" spans="1:13">
      <c r="A14" s="5">
        <v>13</v>
      </c>
      <c r="B14" s="6" t="s">
        <v>1353</v>
      </c>
      <c r="C14" s="7">
        <v>2022572764</v>
      </c>
      <c r="D14" s="7">
        <v>2201010290</v>
      </c>
      <c r="E14" s="7" t="s">
        <v>1812</v>
      </c>
      <c r="F14" s="7" t="e">
        <f>VLOOKUP(C14,'Fast Track '!B:C,2,FALSE)</f>
        <v>#N/A</v>
      </c>
      <c r="G14" s="7" t="s">
        <v>3719</v>
      </c>
      <c r="H14" s="6" t="s">
        <v>1354</v>
      </c>
      <c r="I14" s="6" t="s">
        <v>3139</v>
      </c>
      <c r="J14" s="6" t="s">
        <v>3140</v>
      </c>
      <c r="K14" s="6" t="s">
        <v>532</v>
      </c>
      <c r="L14" s="37" t="s">
        <v>3645</v>
      </c>
      <c r="M14" t="s">
        <v>3664</v>
      </c>
    </row>
    <row r="15" spans="1:13">
      <c r="A15" s="5">
        <v>14</v>
      </c>
      <c r="B15" s="6" t="s">
        <v>1312</v>
      </c>
      <c r="C15" s="7">
        <v>2022416375</v>
      </c>
      <c r="D15" s="7">
        <v>2201010295</v>
      </c>
      <c r="E15" s="7" t="s">
        <v>1812</v>
      </c>
      <c r="F15" s="7" t="e">
        <f>VLOOKUP(C15,'Fast Track '!B:C,2,FALSE)</f>
        <v>#N/A</v>
      </c>
      <c r="G15" s="7" t="s">
        <v>3720</v>
      </c>
      <c r="H15" s="6" t="s">
        <v>1313</v>
      </c>
      <c r="I15" s="6" t="s">
        <v>3141</v>
      </c>
      <c r="J15" s="6" t="s">
        <v>3142</v>
      </c>
      <c r="K15" s="6" t="s">
        <v>532</v>
      </c>
      <c r="L15" s="37" t="s">
        <v>3645</v>
      </c>
      <c r="M15" t="s">
        <v>3664</v>
      </c>
    </row>
    <row r="16" spans="1:13">
      <c r="A16" s="5">
        <v>15</v>
      </c>
      <c r="B16" s="6" t="s">
        <v>1262</v>
      </c>
      <c r="C16" s="7">
        <v>2022512289</v>
      </c>
      <c r="D16" s="7">
        <v>2201010366</v>
      </c>
      <c r="E16" s="7" t="s">
        <v>1812</v>
      </c>
      <c r="F16" s="7" t="e">
        <f>VLOOKUP(C16,'Fast Track '!B:C,2,FALSE)</f>
        <v>#N/A</v>
      </c>
      <c r="G16" s="7" t="s">
        <v>3721</v>
      </c>
      <c r="H16" s="6" t="s">
        <v>1263</v>
      </c>
      <c r="I16" s="6" t="s">
        <v>3145</v>
      </c>
      <c r="J16" s="6" t="s">
        <v>3146</v>
      </c>
      <c r="K16" s="6" t="s">
        <v>532</v>
      </c>
      <c r="L16" s="37" t="s">
        <v>3645</v>
      </c>
      <c r="M16" t="s">
        <v>3664</v>
      </c>
    </row>
    <row r="17" spans="1:13">
      <c r="A17" s="5">
        <v>16</v>
      </c>
      <c r="B17" s="6" t="s">
        <v>1507</v>
      </c>
      <c r="C17" s="7">
        <v>2022510361</v>
      </c>
      <c r="D17" s="7">
        <v>2201010385</v>
      </c>
      <c r="E17" s="7" t="s">
        <v>1812</v>
      </c>
      <c r="F17" s="7" t="e">
        <f>VLOOKUP(C17,'Fast Track '!B:C,2,FALSE)</f>
        <v>#N/A</v>
      </c>
      <c r="G17" s="7" t="s">
        <v>3722</v>
      </c>
      <c r="H17" s="6" t="s">
        <v>1508</v>
      </c>
      <c r="I17" s="6" t="s">
        <v>3147</v>
      </c>
      <c r="J17" s="6" t="s">
        <v>3148</v>
      </c>
      <c r="K17" s="6" t="s">
        <v>532</v>
      </c>
      <c r="L17" s="37" t="s">
        <v>3645</v>
      </c>
      <c r="M17" t="s">
        <v>3664</v>
      </c>
    </row>
    <row r="18" spans="1:13">
      <c r="A18" s="5">
        <v>17</v>
      </c>
      <c r="B18" s="6" t="s">
        <v>1260</v>
      </c>
      <c r="C18" s="7">
        <v>2022449092</v>
      </c>
      <c r="D18" s="7">
        <v>2201010400</v>
      </c>
      <c r="E18" s="7" t="s">
        <v>1812</v>
      </c>
      <c r="F18" s="7" t="e">
        <f>VLOOKUP(C18,'Fast Track '!B:C,2,FALSE)</f>
        <v>#N/A</v>
      </c>
      <c r="G18" s="7" t="s">
        <v>3723</v>
      </c>
      <c r="H18" s="6" t="s">
        <v>1261</v>
      </c>
      <c r="I18" s="6" t="s">
        <v>3149</v>
      </c>
      <c r="J18" s="6" t="s">
        <v>3150</v>
      </c>
      <c r="K18" s="6" t="s">
        <v>532</v>
      </c>
      <c r="L18" s="37" t="s">
        <v>3645</v>
      </c>
      <c r="M18" t="s">
        <v>3664</v>
      </c>
    </row>
    <row r="19" spans="1:13">
      <c r="A19" s="5">
        <v>18</v>
      </c>
      <c r="B19" s="6" t="s">
        <v>1326</v>
      </c>
      <c r="C19" s="7">
        <v>2022505589</v>
      </c>
      <c r="D19" s="7">
        <v>2201010407</v>
      </c>
      <c r="E19" s="7" t="s">
        <v>1812</v>
      </c>
      <c r="F19" s="7" t="e">
        <f>VLOOKUP(C19,'Fast Track '!B:C,2,FALSE)</f>
        <v>#N/A</v>
      </c>
      <c r="G19" s="7" t="s">
        <v>3724</v>
      </c>
      <c r="H19" s="6" t="s">
        <v>1327</v>
      </c>
      <c r="I19" s="6" t="s">
        <v>3151</v>
      </c>
      <c r="J19" s="6" t="s">
        <v>3152</v>
      </c>
      <c r="K19" s="6" t="s">
        <v>532</v>
      </c>
      <c r="L19" s="37" t="s">
        <v>3645</v>
      </c>
      <c r="M19" t="s">
        <v>3664</v>
      </c>
    </row>
    <row r="20" spans="1:13">
      <c r="A20" s="5">
        <v>19</v>
      </c>
      <c r="B20" s="6" t="s">
        <v>1355</v>
      </c>
      <c r="C20" s="7">
        <v>2022574378</v>
      </c>
      <c r="D20" s="7">
        <v>2201010426</v>
      </c>
      <c r="E20" s="7" t="s">
        <v>1812</v>
      </c>
      <c r="F20" s="7" t="e">
        <f>VLOOKUP(C20,'Fast Track '!B:C,2,FALSE)</f>
        <v>#N/A</v>
      </c>
      <c r="G20" s="7" t="s">
        <v>3725</v>
      </c>
      <c r="H20" s="6" t="s">
        <v>1356</v>
      </c>
      <c r="I20" s="6" t="s">
        <v>3153</v>
      </c>
      <c r="J20" s="6" t="s">
        <v>3154</v>
      </c>
      <c r="K20" s="6" t="s">
        <v>532</v>
      </c>
      <c r="L20" s="37" t="s">
        <v>3645</v>
      </c>
      <c r="M20" t="s">
        <v>3664</v>
      </c>
    </row>
    <row r="21" spans="1:13">
      <c r="A21" s="5">
        <v>20</v>
      </c>
      <c r="B21" s="6" t="s">
        <v>1345</v>
      </c>
      <c r="C21" s="7">
        <v>2022539044</v>
      </c>
      <c r="D21" s="7">
        <v>2201010434</v>
      </c>
      <c r="E21" s="7" t="s">
        <v>1812</v>
      </c>
      <c r="F21" s="7" t="e">
        <f>VLOOKUP(C21,'Fast Track '!B:C,2,FALSE)</f>
        <v>#N/A</v>
      </c>
      <c r="G21" s="7" t="s">
        <v>3726</v>
      </c>
      <c r="H21" s="6" t="s">
        <v>1346</v>
      </c>
      <c r="I21" s="6" t="s">
        <v>3155</v>
      </c>
      <c r="J21" s="6" t="s">
        <v>3156</v>
      </c>
      <c r="K21" s="6" t="s">
        <v>532</v>
      </c>
      <c r="L21" s="37" t="s">
        <v>3645</v>
      </c>
      <c r="M21" t="s">
        <v>3664</v>
      </c>
    </row>
    <row r="22" spans="1:13">
      <c r="A22" s="5">
        <v>21</v>
      </c>
      <c r="B22" s="6" t="s">
        <v>1272</v>
      </c>
      <c r="C22" s="7">
        <v>2022001306</v>
      </c>
      <c r="D22" s="7">
        <v>2201010469</v>
      </c>
      <c r="E22" s="7" t="s">
        <v>1812</v>
      </c>
      <c r="F22" s="7" t="e">
        <f>VLOOKUP(C22,'Fast Track '!B:C,2,FALSE)</f>
        <v>#N/A</v>
      </c>
      <c r="G22" s="7" t="s">
        <v>3727</v>
      </c>
      <c r="H22" s="6" t="s">
        <v>1273</v>
      </c>
      <c r="I22" s="6" t="s">
        <v>3157</v>
      </c>
      <c r="J22" s="6" t="s">
        <v>3158</v>
      </c>
      <c r="K22" s="6" t="s">
        <v>532</v>
      </c>
      <c r="L22" s="37" t="s">
        <v>3645</v>
      </c>
      <c r="M22" t="s">
        <v>3664</v>
      </c>
    </row>
    <row r="23" spans="1:13">
      <c r="A23" s="5">
        <v>22</v>
      </c>
      <c r="B23" s="6" t="s">
        <v>1332</v>
      </c>
      <c r="C23" s="7">
        <v>2022515421</v>
      </c>
      <c r="D23" s="7">
        <v>2201010484</v>
      </c>
      <c r="E23" s="7" t="s">
        <v>1812</v>
      </c>
      <c r="F23" s="7" t="e">
        <f>VLOOKUP(C23,'Fast Track '!B:C,2,FALSE)</f>
        <v>#N/A</v>
      </c>
      <c r="G23" s="7" t="s">
        <v>3728</v>
      </c>
      <c r="H23" s="6" t="s">
        <v>1333</v>
      </c>
      <c r="I23" s="6" t="s">
        <v>3159</v>
      </c>
      <c r="J23" s="6" t="s">
        <v>3160</v>
      </c>
      <c r="K23" s="6" t="s">
        <v>532</v>
      </c>
      <c r="L23" s="37" t="s">
        <v>3645</v>
      </c>
      <c r="M23" t="s">
        <v>3664</v>
      </c>
    </row>
    <row r="24" spans="1:13">
      <c r="A24" s="5">
        <v>23</v>
      </c>
      <c r="B24" s="6" t="s">
        <v>1496</v>
      </c>
      <c r="C24" s="7">
        <v>2022483967</v>
      </c>
      <c r="D24" s="7">
        <v>2201010573</v>
      </c>
      <c r="E24" s="7" t="s">
        <v>1812</v>
      </c>
      <c r="F24" s="7" t="e">
        <f>VLOOKUP(C24,'Fast Track '!B:C,2,FALSE)</f>
        <v>#N/A</v>
      </c>
      <c r="G24" s="7" t="s">
        <v>3729</v>
      </c>
      <c r="H24" s="6" t="s">
        <v>1497</v>
      </c>
      <c r="I24" s="6" t="s">
        <v>3163</v>
      </c>
      <c r="J24" s="6" t="s">
        <v>3164</v>
      </c>
      <c r="K24" s="6" t="s">
        <v>532</v>
      </c>
      <c r="L24" s="37" t="s">
        <v>3645</v>
      </c>
      <c r="M24" t="s">
        <v>3664</v>
      </c>
    </row>
    <row r="25" spans="1:13">
      <c r="A25" s="5">
        <v>24</v>
      </c>
      <c r="B25" s="6" t="s">
        <v>1256</v>
      </c>
      <c r="C25" s="7">
        <v>2022330451</v>
      </c>
      <c r="D25" s="7">
        <v>2201010576</v>
      </c>
      <c r="E25" s="7" t="s">
        <v>1812</v>
      </c>
      <c r="F25" s="7" t="e">
        <f>VLOOKUP(C25,'Fast Track '!B:C,2,FALSE)</f>
        <v>#N/A</v>
      </c>
      <c r="G25" s="7" t="s">
        <v>3730</v>
      </c>
      <c r="H25" s="6" t="s">
        <v>1257</v>
      </c>
      <c r="I25" s="6" t="s">
        <v>3165</v>
      </c>
      <c r="J25" s="6" t="s">
        <v>3166</v>
      </c>
      <c r="K25" s="6" t="s">
        <v>532</v>
      </c>
      <c r="L25" s="37" t="s">
        <v>3644</v>
      </c>
      <c r="M25" t="s">
        <v>3665</v>
      </c>
    </row>
    <row r="26" spans="1:13">
      <c r="A26" s="5">
        <v>25</v>
      </c>
      <c r="B26" s="6" t="s">
        <v>1283</v>
      </c>
      <c r="C26" s="7">
        <v>2022006324</v>
      </c>
      <c r="D26" s="7">
        <v>2201010593</v>
      </c>
      <c r="E26" s="7" t="s">
        <v>1812</v>
      </c>
      <c r="F26" s="7" t="e">
        <f>VLOOKUP(C26,'Fast Track '!B:C,2,FALSE)</f>
        <v>#N/A</v>
      </c>
      <c r="G26" s="7" t="s">
        <v>3731</v>
      </c>
      <c r="H26" s="6" t="s">
        <v>1284</v>
      </c>
      <c r="I26" s="6" t="s">
        <v>3167</v>
      </c>
      <c r="J26" s="6" t="s">
        <v>3168</v>
      </c>
      <c r="K26" s="6" t="s">
        <v>532</v>
      </c>
      <c r="L26" s="37" t="s">
        <v>3644</v>
      </c>
      <c r="M26" t="s">
        <v>3665</v>
      </c>
    </row>
    <row r="27" spans="1:13">
      <c r="A27" s="5">
        <v>26</v>
      </c>
      <c r="B27" s="6" t="s">
        <v>1324</v>
      </c>
      <c r="C27" s="7">
        <v>2022495866</v>
      </c>
      <c r="D27" s="7">
        <v>2201010613</v>
      </c>
      <c r="E27" s="7" t="s">
        <v>1812</v>
      </c>
      <c r="F27" s="7" t="e">
        <f>VLOOKUP(C27,'Fast Track '!B:C,2,FALSE)</f>
        <v>#N/A</v>
      </c>
      <c r="G27" s="7" t="s">
        <v>3732</v>
      </c>
      <c r="H27" s="6" t="s">
        <v>1325</v>
      </c>
      <c r="I27" s="6" t="s">
        <v>3169</v>
      </c>
      <c r="J27" s="6" t="s">
        <v>3170</v>
      </c>
      <c r="K27" s="6" t="s">
        <v>532</v>
      </c>
      <c r="L27" s="37" t="s">
        <v>3644</v>
      </c>
      <c r="M27" t="s">
        <v>3665</v>
      </c>
    </row>
    <row r="28" spans="1:13">
      <c r="A28" s="5">
        <v>27</v>
      </c>
      <c r="B28" s="6" t="s">
        <v>1285</v>
      </c>
      <c r="C28" s="7">
        <v>2022006712</v>
      </c>
      <c r="D28" s="7">
        <v>2201010633</v>
      </c>
      <c r="E28" s="7" t="s">
        <v>1812</v>
      </c>
      <c r="F28" s="7" t="e">
        <f>VLOOKUP(C28,'Fast Track '!B:C,2,FALSE)</f>
        <v>#N/A</v>
      </c>
      <c r="G28" s="7" t="s">
        <v>3733</v>
      </c>
      <c r="H28" s="6" t="s">
        <v>1286</v>
      </c>
      <c r="I28" s="6" t="s">
        <v>3171</v>
      </c>
      <c r="J28" s="6" t="s">
        <v>3172</v>
      </c>
      <c r="K28" s="6" t="s">
        <v>532</v>
      </c>
      <c r="L28" s="37" t="s">
        <v>3644</v>
      </c>
      <c r="M28" t="s">
        <v>3665</v>
      </c>
    </row>
    <row r="29" spans="1:13">
      <c r="A29" s="5">
        <v>28</v>
      </c>
      <c r="B29" s="6" t="s">
        <v>1558</v>
      </c>
      <c r="C29" s="7">
        <v>2022484153</v>
      </c>
      <c r="D29" s="7">
        <v>2201010767</v>
      </c>
      <c r="E29" s="7" t="s">
        <v>1812</v>
      </c>
      <c r="F29" s="7" t="e">
        <f>VLOOKUP(C29,'Fast Track '!B:C,2,FALSE)</f>
        <v>#N/A</v>
      </c>
      <c r="G29" s="7" t="s">
        <v>3734</v>
      </c>
      <c r="H29" s="6" t="s">
        <v>1559</v>
      </c>
      <c r="I29" s="6" t="s">
        <v>3177</v>
      </c>
      <c r="J29" s="6" t="s">
        <v>3178</v>
      </c>
      <c r="K29" s="6" t="s">
        <v>532</v>
      </c>
      <c r="L29" s="37" t="s">
        <v>3644</v>
      </c>
      <c r="M29" t="s">
        <v>3665</v>
      </c>
    </row>
    <row r="30" spans="1:13">
      <c r="A30" s="5">
        <v>29</v>
      </c>
      <c r="B30" s="6" t="s">
        <v>1519</v>
      </c>
      <c r="C30" s="7">
        <v>2022003650</v>
      </c>
      <c r="D30" s="7">
        <v>2201010806</v>
      </c>
      <c r="E30" s="7" t="s">
        <v>1812</v>
      </c>
      <c r="F30" s="7" t="e">
        <f>VLOOKUP(C30,'Fast Track '!B:C,2,FALSE)</f>
        <v>#N/A</v>
      </c>
      <c r="G30" s="7" t="s">
        <v>3735</v>
      </c>
      <c r="H30" s="6" t="s">
        <v>1520</v>
      </c>
      <c r="I30" s="6" t="s">
        <v>3179</v>
      </c>
      <c r="J30" s="6" t="s">
        <v>3180</v>
      </c>
      <c r="K30" s="6" t="s">
        <v>532</v>
      </c>
      <c r="L30" s="37" t="s">
        <v>3644</v>
      </c>
      <c r="M30" t="s">
        <v>3665</v>
      </c>
    </row>
    <row r="31" spans="1:13">
      <c r="A31" s="5">
        <v>30</v>
      </c>
      <c r="B31" s="6" t="s">
        <v>1281</v>
      </c>
      <c r="C31" s="7">
        <v>2022005848</v>
      </c>
      <c r="D31" s="7">
        <v>2201010922</v>
      </c>
      <c r="E31" s="7" t="s">
        <v>1812</v>
      </c>
      <c r="F31" s="7" t="e">
        <f>VLOOKUP(C31,'Fast Track '!B:C,2,FALSE)</f>
        <v>#N/A</v>
      </c>
      <c r="G31" s="7" t="s">
        <v>3736</v>
      </c>
      <c r="H31" s="6" t="s">
        <v>1282</v>
      </c>
      <c r="I31" s="6" t="s">
        <v>3181</v>
      </c>
      <c r="J31" s="6" t="s">
        <v>3182</v>
      </c>
      <c r="K31" s="6" t="s">
        <v>532</v>
      </c>
      <c r="L31" s="37" t="s">
        <v>3644</v>
      </c>
      <c r="M31" t="s">
        <v>3665</v>
      </c>
    </row>
    <row r="32" spans="1:13">
      <c r="A32" s="5">
        <v>31</v>
      </c>
      <c r="B32" s="6" t="s">
        <v>1289</v>
      </c>
      <c r="C32" s="7">
        <v>2022007324</v>
      </c>
      <c r="D32" s="7">
        <v>2201010924</v>
      </c>
      <c r="E32" s="7" t="s">
        <v>1812</v>
      </c>
      <c r="F32" s="7" t="e">
        <f>VLOOKUP(C32,'Fast Track '!B:C,2,FALSE)</f>
        <v>#N/A</v>
      </c>
      <c r="G32" s="7" t="s">
        <v>3737</v>
      </c>
      <c r="H32" s="6" t="s">
        <v>1290</v>
      </c>
      <c r="I32" s="6" t="s">
        <v>3183</v>
      </c>
      <c r="J32" s="6" t="s">
        <v>3184</v>
      </c>
      <c r="K32" s="6" t="s">
        <v>532</v>
      </c>
      <c r="L32" s="37" t="s">
        <v>3644</v>
      </c>
      <c r="M32" t="s">
        <v>3665</v>
      </c>
    </row>
    <row r="33" spans="1:13">
      <c r="A33" s="5">
        <v>32</v>
      </c>
      <c r="B33" s="6" t="s">
        <v>1295</v>
      </c>
      <c r="C33" s="7">
        <v>2022311612</v>
      </c>
      <c r="D33" s="7">
        <v>2201010927</v>
      </c>
      <c r="E33" s="7" t="s">
        <v>1812</v>
      </c>
      <c r="F33" s="7" t="e">
        <f>VLOOKUP(C33,'Fast Track '!B:C,2,FALSE)</f>
        <v>#N/A</v>
      </c>
      <c r="G33" s="7" t="s">
        <v>3738</v>
      </c>
      <c r="H33" s="6" t="s">
        <v>1296</v>
      </c>
      <c r="I33" s="6" t="s">
        <v>3187</v>
      </c>
      <c r="J33" s="6" t="s">
        <v>3188</v>
      </c>
      <c r="K33" s="6" t="s">
        <v>532</v>
      </c>
      <c r="L33" s="37" t="s">
        <v>3644</v>
      </c>
      <c r="M33" t="s">
        <v>3665</v>
      </c>
    </row>
    <row r="34" spans="1:13">
      <c r="A34" s="5">
        <v>33</v>
      </c>
      <c r="B34" s="6" t="s">
        <v>1339</v>
      </c>
      <c r="C34" s="7">
        <v>2022530497</v>
      </c>
      <c r="D34" s="7">
        <v>2201010932</v>
      </c>
      <c r="E34" s="7" t="s">
        <v>1812</v>
      </c>
      <c r="F34" s="7" t="e">
        <f>VLOOKUP(C34,'Fast Track '!B:C,2,FALSE)</f>
        <v>#N/A</v>
      </c>
      <c r="G34" s="7" t="s">
        <v>3739</v>
      </c>
      <c r="H34" s="6" t="s">
        <v>1340</v>
      </c>
      <c r="I34" s="6" t="s">
        <v>3189</v>
      </c>
      <c r="J34" s="6" t="s">
        <v>3190</v>
      </c>
      <c r="K34" s="6" t="s">
        <v>532</v>
      </c>
      <c r="L34" s="37" t="s">
        <v>3644</v>
      </c>
      <c r="M34" t="s">
        <v>3665</v>
      </c>
    </row>
    <row r="35" spans="1:13">
      <c r="A35" s="5">
        <v>34</v>
      </c>
      <c r="B35" s="6" t="s">
        <v>1116</v>
      </c>
      <c r="C35" s="7">
        <v>2022608097</v>
      </c>
      <c r="D35" s="7">
        <v>2201010935</v>
      </c>
      <c r="E35" s="7" t="s">
        <v>1812</v>
      </c>
      <c r="F35" s="7" t="e">
        <f>VLOOKUP(C35,'Fast Track '!B:C,2,FALSE)</f>
        <v>#N/A</v>
      </c>
      <c r="G35" s="7" t="s">
        <v>3740</v>
      </c>
      <c r="H35" s="6" t="s">
        <v>1361</v>
      </c>
      <c r="I35" s="6" t="s">
        <v>3191</v>
      </c>
      <c r="J35" s="6" t="s">
        <v>3192</v>
      </c>
      <c r="K35" s="6" t="s">
        <v>532</v>
      </c>
      <c r="L35" s="37" t="s">
        <v>3644</v>
      </c>
      <c r="M35" t="s">
        <v>3665</v>
      </c>
    </row>
    <row r="36" spans="1:13">
      <c r="A36" s="5">
        <v>35</v>
      </c>
      <c r="B36" s="6" t="s">
        <v>1509</v>
      </c>
      <c r="C36" s="7">
        <v>2021380904</v>
      </c>
      <c r="D36" s="7">
        <v>210101166</v>
      </c>
      <c r="E36" s="7" t="s">
        <v>1812</v>
      </c>
      <c r="F36" s="7" t="e">
        <f>VLOOKUP(C36,'Fast Track '!B:C,2,FALSE)</f>
        <v>#N/A</v>
      </c>
      <c r="G36" s="7" t="s">
        <v>3741</v>
      </c>
      <c r="H36" s="6" t="s">
        <v>1510</v>
      </c>
      <c r="I36" s="6" t="s">
        <v>3383</v>
      </c>
      <c r="J36" s="6" t="s">
        <v>3384</v>
      </c>
      <c r="K36" s="6" t="s">
        <v>532</v>
      </c>
      <c r="L36" s="37" t="s">
        <v>3644</v>
      </c>
      <c r="M36" t="s">
        <v>3665</v>
      </c>
    </row>
    <row r="37" spans="1:13">
      <c r="A37" s="5">
        <v>36</v>
      </c>
      <c r="B37" s="6" t="s">
        <v>1570</v>
      </c>
      <c r="C37" s="7">
        <v>2022510612</v>
      </c>
      <c r="D37" s="7">
        <v>2201010068</v>
      </c>
      <c r="E37" s="7" t="s">
        <v>1812</v>
      </c>
      <c r="F37" s="7" t="e">
        <f>VLOOKUP(C37,'Fast Track '!B:C,2,FALSE)</f>
        <v>#N/A</v>
      </c>
      <c r="G37" s="7" t="s">
        <v>3742</v>
      </c>
      <c r="H37" s="6" t="s">
        <v>1571</v>
      </c>
      <c r="I37" s="6" t="s">
        <v>3387</v>
      </c>
      <c r="J37" s="6" t="s">
        <v>3388</v>
      </c>
      <c r="K37" s="6" t="s">
        <v>532</v>
      </c>
      <c r="L37" s="37" t="s">
        <v>3644</v>
      </c>
      <c r="M37" t="s">
        <v>3665</v>
      </c>
    </row>
    <row r="38" spans="1:13">
      <c r="A38" s="5">
        <v>37</v>
      </c>
      <c r="B38" s="6" t="s">
        <v>1521</v>
      </c>
      <c r="C38" s="7">
        <v>2022004729</v>
      </c>
      <c r="D38" s="7">
        <v>2201010104</v>
      </c>
      <c r="E38" s="7" t="s">
        <v>1812</v>
      </c>
      <c r="F38" s="7" t="e">
        <f>VLOOKUP(C38,'Fast Track '!B:C,2,FALSE)</f>
        <v>#N/A</v>
      </c>
      <c r="G38" s="7" t="s">
        <v>3743</v>
      </c>
      <c r="H38" s="6" t="s">
        <v>1522</v>
      </c>
      <c r="I38" s="6" t="s">
        <v>3389</v>
      </c>
      <c r="J38" s="6" t="s">
        <v>3390</v>
      </c>
      <c r="K38" s="6" t="s">
        <v>532</v>
      </c>
      <c r="L38" s="37" t="s">
        <v>3644</v>
      </c>
      <c r="M38" t="s">
        <v>3665</v>
      </c>
    </row>
    <row r="39" spans="1:13">
      <c r="A39" s="5">
        <v>38</v>
      </c>
      <c r="B39" s="6" t="s">
        <v>1456</v>
      </c>
      <c r="C39" s="7">
        <v>2022003451</v>
      </c>
      <c r="D39" s="7">
        <v>2201010147</v>
      </c>
      <c r="E39" s="7" t="s">
        <v>1812</v>
      </c>
      <c r="F39" s="7" t="e">
        <f>VLOOKUP(C39,'Fast Track '!B:C,2,FALSE)</f>
        <v>#N/A</v>
      </c>
      <c r="G39" s="7" t="s">
        <v>3744</v>
      </c>
      <c r="H39" s="6" t="s">
        <v>1518</v>
      </c>
      <c r="I39" s="6" t="s">
        <v>3391</v>
      </c>
      <c r="J39" s="6" t="s">
        <v>3392</v>
      </c>
      <c r="K39" s="6" t="s">
        <v>532</v>
      </c>
      <c r="L39" s="37" t="s">
        <v>3644</v>
      </c>
      <c r="M39" t="s">
        <v>3665</v>
      </c>
    </row>
    <row r="40" spans="1:13">
      <c r="A40" s="5">
        <v>39</v>
      </c>
      <c r="B40" s="6" t="s">
        <v>1511</v>
      </c>
      <c r="C40" s="7">
        <v>2022000299</v>
      </c>
      <c r="D40" s="7">
        <v>2201010226</v>
      </c>
      <c r="E40" s="7" t="s">
        <v>1812</v>
      </c>
      <c r="F40" s="7" t="e">
        <f>VLOOKUP(C40,'Fast Track '!B:C,2,FALSE)</f>
        <v>#N/A</v>
      </c>
      <c r="G40" s="7" t="s">
        <v>3745</v>
      </c>
      <c r="H40" s="6" t="s">
        <v>1512</v>
      </c>
      <c r="I40" s="6" t="s">
        <v>3393</v>
      </c>
      <c r="J40" s="6" t="s">
        <v>3394</v>
      </c>
      <c r="K40" s="6" t="s">
        <v>532</v>
      </c>
      <c r="L40" s="37" t="s">
        <v>3644</v>
      </c>
      <c r="M40" t="s">
        <v>3665</v>
      </c>
    </row>
    <row r="41" spans="1:13">
      <c r="A41" s="5">
        <v>40</v>
      </c>
      <c r="B41" s="6" t="s">
        <v>1568</v>
      </c>
      <c r="C41" s="7">
        <v>2022509891</v>
      </c>
      <c r="D41" s="7">
        <v>2201010242</v>
      </c>
      <c r="E41" s="7" t="s">
        <v>1812</v>
      </c>
      <c r="F41" s="7" t="e">
        <f>VLOOKUP(C41,'Fast Track '!B:C,2,FALSE)</f>
        <v>#N/A</v>
      </c>
      <c r="G41" s="7" t="s">
        <v>3746</v>
      </c>
      <c r="H41" s="6" t="s">
        <v>1569</v>
      </c>
      <c r="I41" s="6" t="s">
        <v>3395</v>
      </c>
      <c r="J41" s="6" t="s">
        <v>3396</v>
      </c>
      <c r="K41" s="6" t="s">
        <v>532</v>
      </c>
      <c r="L41" s="37" t="s">
        <v>3644</v>
      </c>
      <c r="M41" t="s">
        <v>3665</v>
      </c>
    </row>
    <row r="42" spans="1:13">
      <c r="A42" s="5">
        <v>41</v>
      </c>
      <c r="B42" s="6" t="s">
        <v>1582</v>
      </c>
      <c r="C42" s="7">
        <v>2022536194</v>
      </c>
      <c r="D42" s="7">
        <v>2201010250</v>
      </c>
      <c r="E42" s="7" t="s">
        <v>1812</v>
      </c>
      <c r="F42" s="7" t="e">
        <f>VLOOKUP(C42,'Fast Track '!B:C,2,FALSE)</f>
        <v>#N/A</v>
      </c>
      <c r="G42" s="7" t="s">
        <v>3747</v>
      </c>
      <c r="H42" s="6" t="s">
        <v>1583</v>
      </c>
      <c r="I42" s="6" t="s">
        <v>3397</v>
      </c>
      <c r="J42" s="6" t="s">
        <v>3398</v>
      </c>
      <c r="K42" s="6" t="s">
        <v>532</v>
      </c>
      <c r="L42" s="37" t="s">
        <v>3644</v>
      </c>
      <c r="M42" t="s">
        <v>3665</v>
      </c>
    </row>
    <row r="43" spans="1:13">
      <c r="A43" s="5">
        <v>42</v>
      </c>
      <c r="B43" s="6" t="s">
        <v>1525</v>
      </c>
      <c r="C43" s="7">
        <v>2022005315</v>
      </c>
      <c r="D43" s="7">
        <v>2201010255</v>
      </c>
      <c r="E43" s="7" t="s">
        <v>1812</v>
      </c>
      <c r="F43" s="7" t="e">
        <f>VLOOKUP(C43,'Fast Track '!B:C,2,FALSE)</f>
        <v>#N/A</v>
      </c>
      <c r="G43" s="7" t="s">
        <v>3748</v>
      </c>
      <c r="H43" s="6" t="s">
        <v>1526</v>
      </c>
      <c r="I43" s="6" t="s">
        <v>3399</v>
      </c>
      <c r="J43" s="6" t="s">
        <v>3400</v>
      </c>
      <c r="K43" s="6" t="s">
        <v>532</v>
      </c>
      <c r="L43" s="37" t="s">
        <v>3644</v>
      </c>
      <c r="M43" t="s">
        <v>3665</v>
      </c>
    </row>
    <row r="44" spans="1:13">
      <c r="A44" s="5">
        <v>43</v>
      </c>
      <c r="B44" s="6" t="s">
        <v>1550</v>
      </c>
      <c r="C44" s="7">
        <v>2022390387</v>
      </c>
      <c r="D44" s="7">
        <v>2201010455</v>
      </c>
      <c r="E44" s="7" t="s">
        <v>1812</v>
      </c>
      <c r="F44" s="7" t="e">
        <f>VLOOKUP(C44,'Fast Track '!B:C,2,FALSE)</f>
        <v>#N/A</v>
      </c>
      <c r="G44" s="7" t="s">
        <v>3749</v>
      </c>
      <c r="H44" s="6" t="s">
        <v>1551</v>
      </c>
      <c r="I44" s="6" t="s">
        <v>3403</v>
      </c>
      <c r="J44" s="6" t="s">
        <v>3404</v>
      </c>
      <c r="K44" s="6" t="s">
        <v>532</v>
      </c>
      <c r="L44" s="37" t="s">
        <v>3644</v>
      </c>
      <c r="M44" t="s">
        <v>3665</v>
      </c>
    </row>
    <row r="45" spans="1:13">
      <c r="A45" s="5">
        <v>44</v>
      </c>
      <c r="B45" s="6" t="s">
        <v>1562</v>
      </c>
      <c r="C45" s="7">
        <v>2022504250</v>
      </c>
      <c r="D45" s="7">
        <v>2201010508</v>
      </c>
      <c r="E45" s="7" t="s">
        <v>1812</v>
      </c>
      <c r="F45" s="7" t="e">
        <f>VLOOKUP(C45,'Fast Track '!B:C,2,FALSE)</f>
        <v>#N/A</v>
      </c>
      <c r="G45" s="7" t="s">
        <v>3750</v>
      </c>
      <c r="H45" s="6" t="s">
        <v>1563</v>
      </c>
      <c r="I45" s="6" t="s">
        <v>3407</v>
      </c>
      <c r="J45" s="6" t="s">
        <v>3408</v>
      </c>
      <c r="K45" s="6" t="s">
        <v>532</v>
      </c>
      <c r="L45" s="37" t="s">
        <v>3644</v>
      </c>
      <c r="M45" t="s">
        <v>3665</v>
      </c>
    </row>
    <row r="46" spans="1:13">
      <c r="A46" s="5">
        <v>45</v>
      </c>
      <c r="B46" s="6" t="s">
        <v>1556</v>
      </c>
      <c r="C46" s="7">
        <v>2022477888</v>
      </c>
      <c r="D46" s="7">
        <v>2201010559</v>
      </c>
      <c r="E46" s="7" t="s">
        <v>1812</v>
      </c>
      <c r="F46" s="7" t="e">
        <f>VLOOKUP(C46,'Fast Track '!B:C,2,FALSE)</f>
        <v>#N/A</v>
      </c>
      <c r="G46" s="7" t="s">
        <v>3751</v>
      </c>
      <c r="H46" s="6" t="s">
        <v>1557</v>
      </c>
      <c r="I46" s="6" t="s">
        <v>3409</v>
      </c>
      <c r="J46" s="6" t="s">
        <v>3410</v>
      </c>
      <c r="K46" s="6" t="s">
        <v>532</v>
      </c>
      <c r="L46" s="37" t="s">
        <v>3644</v>
      </c>
      <c r="M46" t="s">
        <v>3665</v>
      </c>
    </row>
    <row r="47" spans="1:13">
      <c r="A47" s="5">
        <v>46</v>
      </c>
      <c r="B47" s="6" t="s">
        <v>820</v>
      </c>
      <c r="C47" s="7">
        <v>2021407901</v>
      </c>
      <c r="D47" s="7">
        <v>210101360</v>
      </c>
      <c r="E47" s="7" t="s">
        <v>1812</v>
      </c>
      <c r="F47" s="7" t="e">
        <f>VLOOKUP(C47,'Fast Track '!B:C,2,FALSE)</f>
        <v>#N/A</v>
      </c>
      <c r="G47" s="7" t="s">
        <v>3752</v>
      </c>
      <c r="H47" s="11" t="s">
        <v>821</v>
      </c>
      <c r="I47" s="6" t="s">
        <v>3491</v>
      </c>
      <c r="J47" s="6" t="s">
        <v>3492</v>
      </c>
      <c r="K47" s="6" t="s">
        <v>532</v>
      </c>
      <c r="L47" s="37" t="s">
        <v>3644</v>
      </c>
      <c r="M47" t="s">
        <v>3665</v>
      </c>
    </row>
    <row r="48" spans="1:13">
      <c r="A48" s="5">
        <v>47</v>
      </c>
      <c r="B48" s="6" t="s">
        <v>530</v>
      </c>
      <c r="C48" s="7">
        <v>2022490456</v>
      </c>
      <c r="D48" s="7">
        <v>2201010214</v>
      </c>
      <c r="E48" s="7" t="s">
        <v>1812</v>
      </c>
      <c r="F48" s="7" t="e">
        <f>VLOOKUP(C48,'Fast Track '!B:C,2,FALSE)</f>
        <v>#N/A</v>
      </c>
      <c r="G48" s="7" t="s">
        <v>3753</v>
      </c>
      <c r="H48" s="6" t="s">
        <v>531</v>
      </c>
      <c r="I48" s="6" t="s">
        <v>3495</v>
      </c>
      <c r="J48" s="6" t="s">
        <v>3496</v>
      </c>
      <c r="K48" s="6" t="s">
        <v>532</v>
      </c>
      <c r="L48" s="37" t="s">
        <v>3644</v>
      </c>
      <c r="M48" t="s">
        <v>3665</v>
      </c>
    </row>
    <row r="49" spans="1:13">
      <c r="A49" s="5">
        <v>48</v>
      </c>
      <c r="B49" s="6" t="s">
        <v>1596</v>
      </c>
      <c r="C49" s="7">
        <v>2022003855</v>
      </c>
      <c r="D49" s="7">
        <v>2201010516</v>
      </c>
      <c r="E49" s="7" t="s">
        <v>1812</v>
      </c>
      <c r="F49" s="7" t="e">
        <f>VLOOKUP(C49,'Fast Track '!B:C,2,FALSE)</f>
        <v>#N/A</v>
      </c>
      <c r="G49" s="7" t="s">
        <v>3754</v>
      </c>
      <c r="H49" s="6" t="s">
        <v>1597</v>
      </c>
      <c r="I49" s="6" t="s">
        <v>3497</v>
      </c>
      <c r="J49" s="6" t="s">
        <v>3498</v>
      </c>
      <c r="K49" s="6" t="s">
        <v>532</v>
      </c>
      <c r="L49" s="37" t="s">
        <v>3644</v>
      </c>
      <c r="M49" t="s">
        <v>3665</v>
      </c>
    </row>
    <row r="50" spans="1:13">
      <c r="A50" s="5">
        <v>49</v>
      </c>
      <c r="B50" s="6" t="s">
        <v>832</v>
      </c>
      <c r="C50" s="7">
        <v>2022006315</v>
      </c>
      <c r="D50" s="7">
        <v>2201010791</v>
      </c>
      <c r="E50" s="7" t="s">
        <v>1812</v>
      </c>
      <c r="F50" s="7" t="e">
        <f>VLOOKUP(C50,'Fast Track '!B:C,2,FALSE)</f>
        <v>#N/A</v>
      </c>
      <c r="G50" s="7" t="s">
        <v>3755</v>
      </c>
      <c r="H50" s="6" t="s">
        <v>833</v>
      </c>
      <c r="I50" s="6" t="s">
        <v>3499</v>
      </c>
      <c r="J50" s="6" t="s">
        <v>3500</v>
      </c>
      <c r="K50" s="6" t="s">
        <v>532</v>
      </c>
      <c r="L50" s="37" t="s">
        <v>3644</v>
      </c>
      <c r="M50" t="s">
        <v>3665</v>
      </c>
    </row>
    <row r="51" spans="1:13">
      <c r="A51" s="5">
        <v>50</v>
      </c>
      <c r="B51" s="54" t="s">
        <v>1445</v>
      </c>
      <c r="C51" s="55">
        <v>2022307728</v>
      </c>
      <c r="D51" s="55">
        <v>2201010544</v>
      </c>
      <c r="E51" s="7" t="s">
        <v>1812</v>
      </c>
      <c r="F51" s="7" t="e">
        <f>VLOOKUP(C51,'Fast Track '!B:C,2,FALSE)</f>
        <v>#N/A</v>
      </c>
      <c r="G51" s="7" t="s">
        <v>3756</v>
      </c>
      <c r="H51" s="54" t="s">
        <v>1446</v>
      </c>
      <c r="I51" s="54" t="s">
        <v>3471</v>
      </c>
      <c r="J51" s="54" t="s">
        <v>3472</v>
      </c>
      <c r="K51" s="54" t="s">
        <v>1372</v>
      </c>
      <c r="L51" s="60" t="s">
        <v>3645</v>
      </c>
      <c r="M51" s="57" t="s">
        <v>3673</v>
      </c>
    </row>
    <row r="52" spans="1:13">
      <c r="A52" s="5">
        <v>51</v>
      </c>
      <c r="B52" s="54" t="s">
        <v>375</v>
      </c>
      <c r="C52" s="55">
        <v>2022005003</v>
      </c>
      <c r="D52" s="55">
        <v>2201010795</v>
      </c>
      <c r="E52" s="7" t="s">
        <v>1812</v>
      </c>
      <c r="F52" s="7" t="e">
        <f>VLOOKUP(C52,'Fast Track '!B:C,2,FALSE)</f>
        <v>#N/A</v>
      </c>
      <c r="G52" s="7" t="s">
        <v>3757</v>
      </c>
      <c r="H52" s="54" t="s">
        <v>1408</v>
      </c>
      <c r="I52" s="54" t="s">
        <v>3475</v>
      </c>
      <c r="J52" s="54" t="s">
        <v>3476</v>
      </c>
      <c r="K52" s="54" t="s">
        <v>1372</v>
      </c>
      <c r="L52" s="60" t="s">
        <v>3645</v>
      </c>
      <c r="M52" s="57" t="s">
        <v>3673</v>
      </c>
    </row>
    <row r="53" spans="1:13">
      <c r="A53" s="5">
        <v>52</v>
      </c>
      <c r="B53" s="54" t="s">
        <v>1615</v>
      </c>
      <c r="C53" s="55">
        <v>2022307102</v>
      </c>
      <c r="D53" s="55">
        <v>2201010145</v>
      </c>
      <c r="E53" s="7" t="s">
        <v>1812</v>
      </c>
      <c r="F53" s="7" t="e">
        <f>VLOOKUP(C53,'Fast Track '!B:C,2,FALSE)</f>
        <v>#N/A</v>
      </c>
      <c r="G53" s="7" t="s">
        <v>3758</v>
      </c>
      <c r="H53" s="54" t="s">
        <v>1616</v>
      </c>
      <c r="I53" s="54" t="s">
        <v>3503</v>
      </c>
      <c r="J53" s="54" t="s">
        <v>3504</v>
      </c>
      <c r="K53" s="54" t="s">
        <v>1372</v>
      </c>
      <c r="L53" s="60" t="s">
        <v>3645</v>
      </c>
      <c r="M53" s="57" t="s">
        <v>3673</v>
      </c>
    </row>
    <row r="54" spans="1:13">
      <c r="A54" s="5">
        <v>53</v>
      </c>
      <c r="B54" s="54" t="s">
        <v>1406</v>
      </c>
      <c r="C54" s="55">
        <v>2022004886</v>
      </c>
      <c r="D54" s="55">
        <v>2201010218</v>
      </c>
      <c r="E54" s="7" t="s">
        <v>1812</v>
      </c>
      <c r="F54" s="7" t="e">
        <f>VLOOKUP(C54,'Fast Track '!B:C,2,FALSE)</f>
        <v>#N/A</v>
      </c>
      <c r="G54" s="7" t="s">
        <v>3759</v>
      </c>
      <c r="H54" s="54" t="s">
        <v>1407</v>
      </c>
      <c r="I54" s="54" t="s">
        <v>3505</v>
      </c>
      <c r="J54" s="54" t="s">
        <v>3506</v>
      </c>
      <c r="K54" s="54" t="s">
        <v>1372</v>
      </c>
      <c r="L54" s="60" t="s">
        <v>3645</v>
      </c>
      <c r="M54" s="57" t="s">
        <v>3673</v>
      </c>
    </row>
    <row r="55" spans="1:13">
      <c r="A55" s="5">
        <v>54</v>
      </c>
      <c r="B55" s="54" t="s">
        <v>1474</v>
      </c>
      <c r="C55" s="55">
        <v>2022494267</v>
      </c>
      <c r="D55" s="55">
        <v>2201010473</v>
      </c>
      <c r="E55" s="7" t="s">
        <v>1812</v>
      </c>
      <c r="F55" s="7" t="e">
        <f>VLOOKUP(C55,'Fast Track '!B:C,2,FALSE)</f>
        <v>#N/A</v>
      </c>
      <c r="G55" s="7" t="s">
        <v>3760</v>
      </c>
      <c r="H55" s="54" t="s">
        <v>1475</v>
      </c>
      <c r="I55" s="54" t="s">
        <v>3507</v>
      </c>
      <c r="J55" s="54" t="s">
        <v>3508</v>
      </c>
      <c r="K55" s="54" t="s">
        <v>1372</v>
      </c>
      <c r="L55" s="60" t="s">
        <v>3645</v>
      </c>
      <c r="M55" s="57" t="s">
        <v>3673</v>
      </c>
    </row>
    <row r="56" spans="1:13">
      <c r="A56" s="5">
        <v>55</v>
      </c>
      <c r="B56" s="54" t="s">
        <v>1415</v>
      </c>
      <c r="C56" s="55">
        <v>2022006280</v>
      </c>
      <c r="D56" s="55">
        <v>2201010577</v>
      </c>
      <c r="E56" s="7" t="s">
        <v>1812</v>
      </c>
      <c r="F56" s="7" t="e">
        <f>VLOOKUP(C56,'Fast Track '!B:C,2,FALSE)</f>
        <v>#N/A</v>
      </c>
      <c r="G56" s="7" t="s">
        <v>3761</v>
      </c>
      <c r="H56" s="54" t="s">
        <v>1416</v>
      </c>
      <c r="I56" s="54" t="s">
        <v>3509</v>
      </c>
      <c r="J56" s="54" t="s">
        <v>3510</v>
      </c>
      <c r="K56" s="54" t="s">
        <v>1372</v>
      </c>
      <c r="L56" s="60" t="s">
        <v>3645</v>
      </c>
      <c r="M56" s="57" t="s">
        <v>3673</v>
      </c>
    </row>
    <row r="57" spans="1:13">
      <c r="A57" s="5">
        <v>56</v>
      </c>
      <c r="B57" s="54" t="s">
        <v>1639</v>
      </c>
      <c r="C57" s="55">
        <v>2022447868</v>
      </c>
      <c r="D57" s="55">
        <v>2201010637</v>
      </c>
      <c r="E57" s="7" t="s">
        <v>1812</v>
      </c>
      <c r="F57" s="7" t="str">
        <f>VLOOKUP(C57,'Fast Track '!B:C,2,FALSE)</f>
        <v xml:space="preserve">Fasttrack </v>
      </c>
      <c r="G57" s="7" t="s">
        <v>3762</v>
      </c>
      <c r="H57" s="54" t="s">
        <v>1640</v>
      </c>
      <c r="I57" s="54" t="s">
        <v>3511</v>
      </c>
      <c r="J57" s="54" t="s">
        <v>3512</v>
      </c>
      <c r="K57" s="54" t="s">
        <v>1372</v>
      </c>
      <c r="L57" s="60" t="s">
        <v>3645</v>
      </c>
      <c r="M57" s="57" t="s">
        <v>3673</v>
      </c>
    </row>
    <row r="58" spans="1:13">
      <c r="A58" s="5">
        <v>57</v>
      </c>
      <c r="B58" s="54" t="s">
        <v>1460</v>
      </c>
      <c r="C58" s="55">
        <v>2022400313</v>
      </c>
      <c r="D58" s="55">
        <v>2201010683</v>
      </c>
      <c r="E58" s="7" t="s">
        <v>1812</v>
      </c>
      <c r="F58" s="7" t="e">
        <f>VLOOKUP(C58,'Fast Track '!B:C,2,FALSE)</f>
        <v>#N/A</v>
      </c>
      <c r="G58" s="7" t="s">
        <v>3763</v>
      </c>
      <c r="H58" s="54" t="s">
        <v>1461</v>
      </c>
      <c r="I58" s="54" t="s">
        <v>3513</v>
      </c>
      <c r="J58" s="54" t="s">
        <v>3514</v>
      </c>
      <c r="K58" s="54" t="s">
        <v>1372</v>
      </c>
      <c r="L58" s="60" t="s">
        <v>3645</v>
      </c>
      <c r="M58" s="57" t="s">
        <v>3673</v>
      </c>
    </row>
    <row r="59" spans="1:13">
      <c r="A59" s="5">
        <v>58</v>
      </c>
      <c r="B59" s="54" t="s">
        <v>1425</v>
      </c>
      <c r="C59" s="55">
        <v>2022006905</v>
      </c>
      <c r="D59" s="55">
        <v>2201010691</v>
      </c>
      <c r="E59" s="7" t="s">
        <v>1812</v>
      </c>
      <c r="F59" s="7" t="e">
        <f>VLOOKUP(C59,'Fast Track '!B:C,2,FALSE)</f>
        <v>#N/A</v>
      </c>
      <c r="G59" s="7" t="s">
        <v>3764</v>
      </c>
      <c r="H59" s="54" t="s">
        <v>1426</v>
      </c>
      <c r="I59" s="54" t="s">
        <v>3515</v>
      </c>
      <c r="J59" s="54" t="s">
        <v>3516</v>
      </c>
      <c r="K59" s="54" t="s">
        <v>1372</v>
      </c>
      <c r="L59" s="60" t="s">
        <v>3645</v>
      </c>
      <c r="M59" s="57" t="s">
        <v>3673</v>
      </c>
    </row>
  </sheetData>
  <conditionalFormatting sqref="C10:D11">
    <cfRule type="duplicateValues" dxfId="89" priority="16"/>
    <cfRule type="duplicateValues" dxfId="88" priority="17"/>
  </conditionalFormatting>
  <conditionalFormatting sqref="C36:C50">
    <cfRule type="duplicateValues" dxfId="87" priority="451"/>
  </conditionalFormatting>
  <conditionalFormatting sqref="C36:D50">
    <cfRule type="duplicateValues" dxfId="86" priority="453"/>
    <cfRule type="duplicateValues" dxfId="85" priority="454"/>
  </conditionalFormatting>
  <conditionalFormatting sqref="C2:D9 C12:D35">
    <cfRule type="duplicateValues" dxfId="84" priority="784"/>
    <cfRule type="duplicateValues" dxfId="83" priority="785"/>
  </conditionalFormatting>
  <conditionalFormatting sqref="C1">
    <cfRule type="duplicateValues" dxfId="82" priority="870"/>
  </conditionalFormatting>
  <conditionalFormatting sqref="C1:D1">
    <cfRule type="duplicateValues" dxfId="81" priority="872"/>
    <cfRule type="duplicateValues" dxfId="80" priority="873"/>
  </conditionalFormatting>
  <conditionalFormatting sqref="C51:C59">
    <cfRule type="duplicateValues" dxfId="79" priority="878"/>
  </conditionalFormatting>
  <conditionalFormatting sqref="C51:D59">
    <cfRule type="duplicateValues" dxfId="78" priority="879"/>
    <cfRule type="duplicateValues" dxfId="77" priority="880"/>
  </conditionalFormatting>
  <conditionalFormatting sqref="C2:C35">
    <cfRule type="duplicateValues" dxfId="76" priority="893"/>
  </conditionalFormatting>
  <dataValidations count="1">
    <dataValidation type="list" allowBlank="1" showErrorMessage="1" sqref="L2:L59">
      <formula1>"G1,G2"</formula1>
    </dataValidation>
  </dataValidations>
  <hyperlinks>
    <hyperlink ref="H3" r:id="rId1"/>
    <hyperlink ref="H6" r:id="rId2"/>
    <hyperlink ref="H47" r:id="rId3"/>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M65"/>
  <sheetViews>
    <sheetView topLeftCell="I55" workbookViewId="0">
      <selection activeCell="G2" sqref="A1:M65"/>
    </sheetView>
  </sheetViews>
  <sheetFormatPr defaultRowHeight="14.5"/>
  <cols>
    <col min="1" max="1" width="5.90625" bestFit="1" customWidth="1"/>
    <col min="2" max="2" width="23.90625" bestFit="1" customWidth="1"/>
    <col min="3" max="4" width="11" bestFit="1" customWidth="1"/>
    <col min="5" max="5" width="19.08984375" bestFit="1" customWidth="1"/>
    <col min="6" max="7" width="19.08984375" customWidth="1"/>
    <col min="8" max="9" width="40.08984375" bestFit="1" customWidth="1"/>
    <col min="10" max="10" width="14.54296875" bestFit="1" customWidth="1"/>
    <col min="11" max="11" width="22.6328125" bestFit="1" customWidth="1"/>
    <col min="12" max="12" width="11.54296875" style="38" customWidth="1"/>
  </cols>
  <sheetData>
    <row r="1" spans="1:13" ht="25">
      <c r="A1" s="1" t="s">
        <v>1</v>
      </c>
      <c r="B1" s="1" t="s">
        <v>2</v>
      </c>
      <c r="C1" s="1" t="s">
        <v>3</v>
      </c>
      <c r="D1" s="1" t="s">
        <v>4</v>
      </c>
      <c r="E1" s="1" t="s">
        <v>1817</v>
      </c>
      <c r="F1" s="1"/>
      <c r="G1" s="1"/>
      <c r="H1" s="1" t="s">
        <v>6</v>
      </c>
      <c r="I1" s="1" t="s">
        <v>1819</v>
      </c>
      <c r="J1" s="1" t="s">
        <v>1820</v>
      </c>
      <c r="K1" s="1" t="s">
        <v>7</v>
      </c>
      <c r="L1" s="36" t="s">
        <v>3676</v>
      </c>
      <c r="M1" s="41" t="s">
        <v>3677</v>
      </c>
    </row>
    <row r="2" spans="1:13">
      <c r="A2" s="5">
        <v>1</v>
      </c>
      <c r="B2" s="6" t="s">
        <v>1377</v>
      </c>
      <c r="C2" s="7">
        <v>2021476666</v>
      </c>
      <c r="D2" s="7">
        <v>210101001</v>
      </c>
      <c r="E2" s="7" t="s">
        <v>1810</v>
      </c>
      <c r="F2" s="7" t="e">
        <f>VLOOKUP(C2,'Fast Track '!B:C,2,FALSE)</f>
        <v>#N/A</v>
      </c>
      <c r="G2" s="7" t="s">
        <v>3707</v>
      </c>
      <c r="H2" s="11" t="s">
        <v>1378</v>
      </c>
      <c r="I2" s="6" t="s">
        <v>3231</v>
      </c>
      <c r="J2" s="6" t="s">
        <v>3232</v>
      </c>
      <c r="K2" s="35" t="s">
        <v>532</v>
      </c>
      <c r="L2" s="37" t="s">
        <v>3645</v>
      </c>
      <c r="M2" t="s">
        <v>3666</v>
      </c>
    </row>
    <row r="3" spans="1:13">
      <c r="A3" s="5">
        <v>2</v>
      </c>
      <c r="B3" s="6" t="s">
        <v>783</v>
      </c>
      <c r="C3" s="7">
        <v>2021406215</v>
      </c>
      <c r="D3" s="7">
        <v>210101266</v>
      </c>
      <c r="E3" s="7" t="s">
        <v>1810</v>
      </c>
      <c r="F3" s="7" t="e">
        <f>VLOOKUP(C3,'Fast Track '!B:C,2,FALSE)</f>
        <v>#N/A</v>
      </c>
      <c r="G3" s="7" t="s">
        <v>3708</v>
      </c>
      <c r="H3" s="6" t="s">
        <v>784</v>
      </c>
      <c r="I3" s="6" t="s">
        <v>3233</v>
      </c>
      <c r="J3" s="6" t="s">
        <v>3234</v>
      </c>
      <c r="K3" s="35" t="s">
        <v>532</v>
      </c>
      <c r="L3" s="37" t="s">
        <v>3645</v>
      </c>
      <c r="M3" t="s">
        <v>3666</v>
      </c>
    </row>
    <row r="4" spans="1:13">
      <c r="A4" s="5">
        <v>3</v>
      </c>
      <c r="B4" s="6" t="s">
        <v>824</v>
      </c>
      <c r="C4" s="7">
        <v>2021826104</v>
      </c>
      <c r="D4" s="7">
        <v>210101272</v>
      </c>
      <c r="E4" s="7" t="s">
        <v>1810</v>
      </c>
      <c r="F4" s="7" t="e">
        <f>VLOOKUP(C4,'Fast Track '!B:C,2,FALSE)</f>
        <v>#N/A</v>
      </c>
      <c r="G4" s="7" t="s">
        <v>3709</v>
      </c>
      <c r="H4" s="6" t="s">
        <v>825</v>
      </c>
      <c r="I4" s="6" t="s">
        <v>3235</v>
      </c>
      <c r="J4" s="6" t="s">
        <v>3236</v>
      </c>
      <c r="K4" s="35" t="s">
        <v>532</v>
      </c>
      <c r="L4" s="37" t="s">
        <v>3645</v>
      </c>
      <c r="M4" t="s">
        <v>3666</v>
      </c>
    </row>
    <row r="5" spans="1:13">
      <c r="A5" s="5">
        <v>4</v>
      </c>
      <c r="B5" s="6" t="s">
        <v>822</v>
      </c>
      <c r="C5" s="7">
        <v>2021472701</v>
      </c>
      <c r="D5" s="7">
        <v>210101476</v>
      </c>
      <c r="E5" s="7" t="s">
        <v>1810</v>
      </c>
      <c r="F5" s="7" t="e">
        <f>VLOOKUP(C5,'Fast Track '!B:C,2,FALSE)</f>
        <v>#N/A</v>
      </c>
      <c r="G5" s="7" t="s">
        <v>3710</v>
      </c>
      <c r="H5" s="6" t="s">
        <v>823</v>
      </c>
      <c r="I5" s="6" t="s">
        <v>3237</v>
      </c>
      <c r="J5" s="6" t="s">
        <v>3238</v>
      </c>
      <c r="K5" s="35" t="s">
        <v>532</v>
      </c>
      <c r="L5" s="37" t="s">
        <v>3645</v>
      </c>
      <c r="M5" t="s">
        <v>3666</v>
      </c>
    </row>
    <row r="6" spans="1:13">
      <c r="A6" s="5">
        <v>5</v>
      </c>
      <c r="B6" s="6" t="s">
        <v>836</v>
      </c>
      <c r="C6" s="7">
        <v>2022006640</v>
      </c>
      <c r="D6" s="7">
        <v>2201010027</v>
      </c>
      <c r="E6" s="7" t="s">
        <v>1810</v>
      </c>
      <c r="F6" s="7" t="e">
        <f>VLOOKUP(C6,'Fast Track '!B:C,2,FALSE)</f>
        <v>#N/A</v>
      </c>
      <c r="G6" s="7" t="s">
        <v>3711</v>
      </c>
      <c r="H6" s="6" t="s">
        <v>837</v>
      </c>
      <c r="I6" s="6" t="s">
        <v>3243</v>
      </c>
      <c r="J6" s="6" t="s">
        <v>3244</v>
      </c>
      <c r="K6" s="35" t="s">
        <v>532</v>
      </c>
      <c r="L6" s="37" t="s">
        <v>3645</v>
      </c>
      <c r="M6" t="s">
        <v>3666</v>
      </c>
    </row>
    <row r="7" spans="1:13">
      <c r="A7" s="5">
        <v>6</v>
      </c>
      <c r="B7" s="6" t="s">
        <v>826</v>
      </c>
      <c r="C7" s="7">
        <v>2022004657</v>
      </c>
      <c r="D7" s="7">
        <v>2201010035</v>
      </c>
      <c r="E7" s="7" t="s">
        <v>1810</v>
      </c>
      <c r="F7" s="7" t="e">
        <f>VLOOKUP(C7,'Fast Track '!B:C,2,FALSE)</f>
        <v>#N/A</v>
      </c>
      <c r="G7" s="7" t="s">
        <v>3712</v>
      </c>
      <c r="H7" s="6" t="s">
        <v>827</v>
      </c>
      <c r="I7" s="6" t="s">
        <v>3245</v>
      </c>
      <c r="J7" s="6" t="s">
        <v>3246</v>
      </c>
      <c r="K7" s="35" t="s">
        <v>532</v>
      </c>
      <c r="L7" s="37" t="s">
        <v>3645</v>
      </c>
      <c r="M7" t="s">
        <v>3666</v>
      </c>
    </row>
    <row r="8" spans="1:13">
      <c r="A8" s="5">
        <v>7</v>
      </c>
      <c r="B8" s="6" t="s">
        <v>1383</v>
      </c>
      <c r="C8" s="7">
        <v>2022007148</v>
      </c>
      <c r="D8" s="7">
        <v>2201010114</v>
      </c>
      <c r="E8" s="7" t="s">
        <v>1810</v>
      </c>
      <c r="F8" s="7" t="e">
        <f>VLOOKUP(C8,'Fast Track '!B:C,2,FALSE)</f>
        <v>#N/A</v>
      </c>
      <c r="G8" s="7" t="s">
        <v>3713</v>
      </c>
      <c r="H8" s="6" t="s">
        <v>1384</v>
      </c>
      <c r="I8" s="6" t="s">
        <v>3247</v>
      </c>
      <c r="J8" s="6" t="s">
        <v>3248</v>
      </c>
      <c r="K8" s="35" t="s">
        <v>532</v>
      </c>
      <c r="L8" s="37" t="s">
        <v>3645</v>
      </c>
      <c r="M8" t="s">
        <v>3666</v>
      </c>
    </row>
    <row r="9" spans="1:13">
      <c r="A9" s="5">
        <v>8</v>
      </c>
      <c r="B9" s="6" t="s">
        <v>862</v>
      </c>
      <c r="C9" s="7">
        <v>2022459065</v>
      </c>
      <c r="D9" s="7">
        <v>2201010149</v>
      </c>
      <c r="E9" s="7" t="s">
        <v>1810</v>
      </c>
      <c r="F9" s="7" t="e">
        <f>VLOOKUP(C9,'Fast Track '!B:C,2,FALSE)</f>
        <v>#N/A</v>
      </c>
      <c r="G9" s="7" t="s">
        <v>3714</v>
      </c>
      <c r="H9" s="6" t="s">
        <v>863</v>
      </c>
      <c r="I9" s="6" t="s">
        <v>3249</v>
      </c>
      <c r="J9" s="6" t="s">
        <v>3250</v>
      </c>
      <c r="K9" s="35" t="s">
        <v>532</v>
      </c>
      <c r="L9" s="37" t="s">
        <v>3645</v>
      </c>
      <c r="M9" t="s">
        <v>3666</v>
      </c>
    </row>
    <row r="10" spans="1:13">
      <c r="A10" s="5">
        <v>9</v>
      </c>
      <c r="B10" s="6" t="s">
        <v>1379</v>
      </c>
      <c r="C10" s="7">
        <v>2022006161</v>
      </c>
      <c r="D10" s="7">
        <v>2201010172</v>
      </c>
      <c r="E10" s="7" t="s">
        <v>1810</v>
      </c>
      <c r="F10" s="7" t="e">
        <f>VLOOKUP(C10,'Fast Track '!B:C,2,FALSE)</f>
        <v>#N/A</v>
      </c>
      <c r="G10" s="7" t="s">
        <v>3715</v>
      </c>
      <c r="H10" s="6" t="s">
        <v>1380</v>
      </c>
      <c r="I10" s="6" t="s">
        <v>3251</v>
      </c>
      <c r="J10" s="6" t="s">
        <v>3252</v>
      </c>
      <c r="K10" s="35" t="s">
        <v>532</v>
      </c>
      <c r="L10" s="37" t="s">
        <v>3645</v>
      </c>
      <c r="M10" t="s">
        <v>3666</v>
      </c>
    </row>
    <row r="11" spans="1:13">
      <c r="A11" s="5">
        <v>10</v>
      </c>
      <c r="B11" s="6" t="s">
        <v>856</v>
      </c>
      <c r="C11" s="7">
        <v>2022421393</v>
      </c>
      <c r="D11" s="7">
        <v>2201010177</v>
      </c>
      <c r="E11" s="7" t="s">
        <v>1810</v>
      </c>
      <c r="F11" s="7" t="e">
        <f>VLOOKUP(C11,'Fast Track '!B:C,2,FALSE)</f>
        <v>#N/A</v>
      </c>
      <c r="G11" s="7" t="s">
        <v>3716</v>
      </c>
      <c r="H11" s="6" t="s">
        <v>857</v>
      </c>
      <c r="I11" s="6" t="s">
        <v>3253</v>
      </c>
      <c r="J11" s="6" t="s">
        <v>3254</v>
      </c>
      <c r="K11" s="35" t="s">
        <v>532</v>
      </c>
      <c r="L11" s="37" t="s">
        <v>3645</v>
      </c>
      <c r="M11" t="s">
        <v>3666</v>
      </c>
    </row>
    <row r="12" spans="1:13">
      <c r="A12" s="5">
        <v>11</v>
      </c>
      <c r="B12" s="6" t="s">
        <v>876</v>
      </c>
      <c r="C12" s="7">
        <v>2022509542</v>
      </c>
      <c r="D12" s="7">
        <v>2201010186</v>
      </c>
      <c r="E12" s="7" t="s">
        <v>1810</v>
      </c>
      <c r="F12" s="7" t="e">
        <f>VLOOKUP(C12,'Fast Track '!B:C,2,FALSE)</f>
        <v>#N/A</v>
      </c>
      <c r="G12" s="7" t="s">
        <v>3717</v>
      </c>
      <c r="H12" s="6" t="s">
        <v>877</v>
      </c>
      <c r="I12" s="6" t="s">
        <v>3255</v>
      </c>
      <c r="J12" s="6" t="s">
        <v>3256</v>
      </c>
      <c r="K12" s="35" t="s">
        <v>532</v>
      </c>
      <c r="L12" s="37" t="s">
        <v>3645</v>
      </c>
      <c r="M12" t="s">
        <v>3666</v>
      </c>
    </row>
    <row r="13" spans="1:13">
      <c r="A13" s="5">
        <v>12</v>
      </c>
      <c r="B13" s="6" t="s">
        <v>868</v>
      </c>
      <c r="C13" s="7">
        <v>2022472743</v>
      </c>
      <c r="D13" s="7">
        <v>2201010256</v>
      </c>
      <c r="E13" s="7" t="s">
        <v>1810</v>
      </c>
      <c r="F13" s="7" t="e">
        <f>VLOOKUP(C13,'Fast Track '!B:C,2,FALSE)</f>
        <v>#N/A</v>
      </c>
      <c r="G13" s="7" t="s">
        <v>3718</v>
      </c>
      <c r="H13" s="6" t="s">
        <v>869</v>
      </c>
      <c r="I13" s="6" t="s">
        <v>3259</v>
      </c>
      <c r="J13" s="6" t="s">
        <v>3260</v>
      </c>
      <c r="K13" s="35" t="s">
        <v>532</v>
      </c>
      <c r="L13" s="37" t="s">
        <v>3645</v>
      </c>
      <c r="M13" t="s">
        <v>3666</v>
      </c>
    </row>
    <row r="14" spans="1:13">
      <c r="A14" s="5">
        <v>13</v>
      </c>
      <c r="B14" s="6" t="s">
        <v>884</v>
      </c>
      <c r="C14" s="7">
        <v>2022554328</v>
      </c>
      <c r="D14" s="7">
        <v>2201010262</v>
      </c>
      <c r="E14" s="7" t="s">
        <v>1810</v>
      </c>
      <c r="F14" s="7" t="e">
        <f>VLOOKUP(C14,'Fast Track '!B:C,2,FALSE)</f>
        <v>#N/A</v>
      </c>
      <c r="G14" s="7" t="s">
        <v>3719</v>
      </c>
      <c r="H14" s="6" t="s">
        <v>885</v>
      </c>
      <c r="I14" s="6" t="s">
        <v>3261</v>
      </c>
      <c r="J14" s="6" t="s">
        <v>3262</v>
      </c>
      <c r="K14" s="35" t="s">
        <v>532</v>
      </c>
      <c r="L14" s="37" t="s">
        <v>3645</v>
      </c>
      <c r="M14" t="s">
        <v>3666</v>
      </c>
    </row>
    <row r="15" spans="1:13">
      <c r="A15" s="5">
        <v>14</v>
      </c>
      <c r="B15" s="6" t="s">
        <v>1387</v>
      </c>
      <c r="C15" s="7">
        <v>2022509576</v>
      </c>
      <c r="D15" s="7">
        <v>2201010264</v>
      </c>
      <c r="E15" s="7" t="s">
        <v>1810</v>
      </c>
      <c r="F15" s="7" t="e">
        <f>VLOOKUP(C15,'Fast Track '!B:C,2,FALSE)</f>
        <v>#N/A</v>
      </c>
      <c r="G15" s="7" t="s">
        <v>3720</v>
      </c>
      <c r="H15" s="6" t="s">
        <v>1388</v>
      </c>
      <c r="I15" s="6" t="s">
        <v>3263</v>
      </c>
      <c r="J15" s="6" t="s">
        <v>3264</v>
      </c>
      <c r="K15" s="35" t="s">
        <v>532</v>
      </c>
      <c r="L15" s="37" t="s">
        <v>3645</v>
      </c>
      <c r="M15" t="s">
        <v>3666</v>
      </c>
    </row>
    <row r="16" spans="1:13">
      <c r="A16" s="5">
        <v>15</v>
      </c>
      <c r="B16" s="6" t="s">
        <v>840</v>
      </c>
      <c r="C16" s="7">
        <v>2022304714</v>
      </c>
      <c r="D16" s="7">
        <v>2201010321</v>
      </c>
      <c r="E16" s="7" t="s">
        <v>1810</v>
      </c>
      <c r="F16" s="7" t="e">
        <f>VLOOKUP(C16,'Fast Track '!B:C,2,FALSE)</f>
        <v>#N/A</v>
      </c>
      <c r="G16" s="7" t="s">
        <v>3721</v>
      </c>
      <c r="H16" s="6" t="s">
        <v>841</v>
      </c>
      <c r="I16" s="6" t="s">
        <v>3265</v>
      </c>
      <c r="J16" s="6" t="s">
        <v>3266</v>
      </c>
      <c r="K16" s="35" t="s">
        <v>532</v>
      </c>
      <c r="L16" s="37" t="s">
        <v>3645</v>
      </c>
      <c r="M16" t="s">
        <v>3666</v>
      </c>
    </row>
    <row r="17" spans="1:13">
      <c r="A17" s="5">
        <v>16</v>
      </c>
      <c r="B17" s="6" t="s">
        <v>872</v>
      </c>
      <c r="C17" s="7">
        <v>2022484080</v>
      </c>
      <c r="D17" s="7">
        <v>2201010322</v>
      </c>
      <c r="E17" s="7" t="s">
        <v>1810</v>
      </c>
      <c r="F17" s="7" t="e">
        <f>VLOOKUP(C17,'Fast Track '!B:C,2,FALSE)</f>
        <v>#N/A</v>
      </c>
      <c r="G17" s="7" t="s">
        <v>3722</v>
      </c>
      <c r="H17" s="6" t="s">
        <v>873</v>
      </c>
      <c r="I17" s="6" t="s">
        <v>3267</v>
      </c>
      <c r="J17" s="6" t="s">
        <v>3268</v>
      </c>
      <c r="K17" s="35" t="s">
        <v>532</v>
      </c>
      <c r="L17" s="37" t="s">
        <v>3645</v>
      </c>
      <c r="M17" t="s">
        <v>3666</v>
      </c>
    </row>
    <row r="18" spans="1:13">
      <c r="A18" s="5">
        <v>17</v>
      </c>
      <c r="B18" s="6" t="s">
        <v>1381</v>
      </c>
      <c r="C18" s="7">
        <v>2022006647</v>
      </c>
      <c r="D18" s="7">
        <v>2201010388</v>
      </c>
      <c r="E18" s="7" t="s">
        <v>1810</v>
      </c>
      <c r="F18" s="7" t="e">
        <f>VLOOKUP(C18,'Fast Track '!B:C,2,FALSE)</f>
        <v>#N/A</v>
      </c>
      <c r="G18" s="7" t="s">
        <v>3723</v>
      </c>
      <c r="H18" s="6" t="s">
        <v>1382</v>
      </c>
      <c r="I18" s="6" t="s">
        <v>3269</v>
      </c>
      <c r="J18" s="6" t="s">
        <v>3270</v>
      </c>
      <c r="K18" s="35" t="s">
        <v>532</v>
      </c>
      <c r="L18" s="37" t="s">
        <v>3645</v>
      </c>
      <c r="M18" t="s">
        <v>3666</v>
      </c>
    </row>
    <row r="19" spans="1:13">
      <c r="A19" s="5">
        <v>18</v>
      </c>
      <c r="B19" s="6" t="s">
        <v>891</v>
      </c>
      <c r="C19" s="7">
        <v>2022811762</v>
      </c>
      <c r="D19" s="7">
        <v>2201010398</v>
      </c>
      <c r="E19" s="7" t="s">
        <v>1810</v>
      </c>
      <c r="F19" s="7" t="e">
        <f>VLOOKUP(C19,'Fast Track '!B:C,2,FALSE)</f>
        <v>#N/A</v>
      </c>
      <c r="G19" s="7" t="s">
        <v>3724</v>
      </c>
      <c r="H19" s="6" t="s">
        <v>892</v>
      </c>
      <c r="I19" s="6" t="s">
        <v>3271</v>
      </c>
      <c r="J19" s="6" t="s">
        <v>3272</v>
      </c>
      <c r="K19" s="35" t="s">
        <v>532</v>
      </c>
      <c r="L19" s="37" t="s">
        <v>3645</v>
      </c>
      <c r="M19" t="s">
        <v>3666</v>
      </c>
    </row>
    <row r="20" spans="1:13">
      <c r="A20" s="5">
        <v>19</v>
      </c>
      <c r="B20" s="6" t="s">
        <v>834</v>
      </c>
      <c r="C20" s="7">
        <v>2022006421</v>
      </c>
      <c r="D20" s="7">
        <v>2201010450</v>
      </c>
      <c r="E20" s="7" t="s">
        <v>1810</v>
      </c>
      <c r="F20" s="7" t="e">
        <f>VLOOKUP(C20,'Fast Track '!B:C,2,FALSE)</f>
        <v>#N/A</v>
      </c>
      <c r="G20" s="7" t="s">
        <v>3725</v>
      </c>
      <c r="H20" s="6" t="s">
        <v>835</v>
      </c>
      <c r="I20" s="6" t="s">
        <v>3273</v>
      </c>
      <c r="J20" s="6" t="s">
        <v>3274</v>
      </c>
      <c r="K20" s="35" t="s">
        <v>532</v>
      </c>
      <c r="L20" s="37" t="s">
        <v>3645</v>
      </c>
      <c r="M20" t="s">
        <v>3666</v>
      </c>
    </row>
    <row r="21" spans="1:13">
      <c r="A21" s="5">
        <v>20</v>
      </c>
      <c r="B21" s="6" t="s">
        <v>830</v>
      </c>
      <c r="C21" s="7">
        <v>2022005748</v>
      </c>
      <c r="D21" s="7">
        <v>2201010460</v>
      </c>
      <c r="E21" s="7" t="s">
        <v>1810</v>
      </c>
      <c r="F21" s="7" t="e">
        <f>VLOOKUP(C21,'Fast Track '!B:C,2,FALSE)</f>
        <v>#N/A</v>
      </c>
      <c r="G21" s="7" t="s">
        <v>3726</v>
      </c>
      <c r="H21" s="6" t="s">
        <v>831</v>
      </c>
      <c r="I21" s="6" t="s">
        <v>3275</v>
      </c>
      <c r="J21" s="6" t="s">
        <v>3276</v>
      </c>
      <c r="K21" s="35" t="s">
        <v>532</v>
      </c>
      <c r="L21" s="37" t="s">
        <v>3645</v>
      </c>
      <c r="M21" t="s">
        <v>3666</v>
      </c>
    </row>
    <row r="22" spans="1:13">
      <c r="A22" s="5">
        <v>21</v>
      </c>
      <c r="B22" s="6" t="s">
        <v>882</v>
      </c>
      <c r="C22" s="7">
        <v>2022549867</v>
      </c>
      <c r="D22" s="7">
        <v>2201010478</v>
      </c>
      <c r="E22" s="7" t="s">
        <v>1810</v>
      </c>
      <c r="F22" s="7" t="e">
        <f>VLOOKUP(C22,'Fast Track '!B:C,2,FALSE)</f>
        <v>#N/A</v>
      </c>
      <c r="G22" s="7" t="s">
        <v>3727</v>
      </c>
      <c r="H22" s="6" t="s">
        <v>883</v>
      </c>
      <c r="I22" s="6" t="s">
        <v>3279</v>
      </c>
      <c r="J22" s="6" t="s">
        <v>3280</v>
      </c>
      <c r="K22" s="35" t="s">
        <v>532</v>
      </c>
      <c r="L22" s="37" t="s">
        <v>3645</v>
      </c>
      <c r="M22" t="s">
        <v>3666</v>
      </c>
    </row>
    <row r="23" spans="1:13">
      <c r="A23" s="5">
        <v>22</v>
      </c>
      <c r="B23" s="6" t="s">
        <v>886</v>
      </c>
      <c r="C23" s="7">
        <v>2022561375</v>
      </c>
      <c r="D23" s="7">
        <v>2201010525</v>
      </c>
      <c r="E23" s="7" t="s">
        <v>1810</v>
      </c>
      <c r="F23" s="7" t="e">
        <f>VLOOKUP(C23,'Fast Track '!B:C,2,FALSE)</f>
        <v>#N/A</v>
      </c>
      <c r="G23" s="7" t="s">
        <v>3728</v>
      </c>
      <c r="H23" s="6" t="s">
        <v>887</v>
      </c>
      <c r="I23" s="6" t="s">
        <v>3283</v>
      </c>
      <c r="J23" s="6" t="s">
        <v>3284</v>
      </c>
      <c r="K23" s="35" t="s">
        <v>532</v>
      </c>
      <c r="L23" s="37" t="s">
        <v>3645</v>
      </c>
      <c r="M23" t="s">
        <v>3666</v>
      </c>
    </row>
    <row r="24" spans="1:13">
      <c r="A24" s="5">
        <v>23</v>
      </c>
      <c r="B24" s="6" t="s">
        <v>852</v>
      </c>
      <c r="C24" s="7">
        <v>2022409593</v>
      </c>
      <c r="D24" s="7">
        <v>2201010527</v>
      </c>
      <c r="E24" s="7" t="s">
        <v>1810</v>
      </c>
      <c r="F24" s="7" t="e">
        <f>VLOOKUP(C24,'Fast Track '!B:C,2,FALSE)</f>
        <v>#N/A</v>
      </c>
      <c r="G24" s="7" t="s">
        <v>3729</v>
      </c>
      <c r="H24" s="6" t="s">
        <v>853</v>
      </c>
      <c r="I24" s="6" t="s">
        <v>3285</v>
      </c>
      <c r="J24" s="6" t="s">
        <v>3286</v>
      </c>
      <c r="K24" s="35" t="s">
        <v>532</v>
      </c>
      <c r="L24" s="37" t="s">
        <v>3645</v>
      </c>
      <c r="M24" t="s">
        <v>3666</v>
      </c>
    </row>
    <row r="25" spans="1:13">
      <c r="A25" s="5">
        <v>24</v>
      </c>
      <c r="B25" s="6" t="s">
        <v>878</v>
      </c>
      <c r="C25" s="7">
        <v>2022512443</v>
      </c>
      <c r="D25" s="7">
        <v>2201010616</v>
      </c>
      <c r="E25" s="7" t="s">
        <v>1810</v>
      </c>
      <c r="F25" s="7" t="e">
        <f>VLOOKUP(C25,'Fast Track '!B:C,2,FALSE)</f>
        <v>#N/A</v>
      </c>
      <c r="G25" s="7" t="s">
        <v>3730</v>
      </c>
      <c r="H25" s="6" t="s">
        <v>879</v>
      </c>
      <c r="I25" s="6" t="s">
        <v>3289</v>
      </c>
      <c r="J25" s="6" t="s">
        <v>3290</v>
      </c>
      <c r="K25" s="35" t="s">
        <v>532</v>
      </c>
      <c r="L25" s="37" t="s">
        <v>3645</v>
      </c>
      <c r="M25" t="s">
        <v>3666</v>
      </c>
    </row>
    <row r="26" spans="1:13">
      <c r="A26" s="5">
        <v>25</v>
      </c>
      <c r="B26" s="6" t="s">
        <v>816</v>
      </c>
      <c r="C26" s="7">
        <v>2022354910</v>
      </c>
      <c r="D26" s="7">
        <v>2201010644</v>
      </c>
      <c r="E26" s="7" t="s">
        <v>1810</v>
      </c>
      <c r="F26" s="7" t="e">
        <f>VLOOKUP(C26,'Fast Track '!B:C,2,FALSE)</f>
        <v>#N/A</v>
      </c>
      <c r="G26" s="7" t="s">
        <v>3731</v>
      </c>
      <c r="H26" s="6" t="s">
        <v>817</v>
      </c>
      <c r="I26" s="6" t="s">
        <v>3291</v>
      </c>
      <c r="J26" s="6" t="s">
        <v>3292</v>
      </c>
      <c r="K26" s="35" t="s">
        <v>532</v>
      </c>
      <c r="L26" s="37" t="s">
        <v>3644</v>
      </c>
      <c r="M26" t="s">
        <v>3675</v>
      </c>
    </row>
    <row r="27" spans="1:13">
      <c r="A27" s="5">
        <v>26</v>
      </c>
      <c r="B27" s="6" t="s">
        <v>828</v>
      </c>
      <c r="C27" s="7">
        <v>2022005080</v>
      </c>
      <c r="D27" s="7">
        <v>2201010653</v>
      </c>
      <c r="E27" s="7" t="s">
        <v>1810</v>
      </c>
      <c r="F27" s="7" t="e">
        <f>VLOOKUP(C27,'Fast Track '!B:C,2,FALSE)</f>
        <v>#N/A</v>
      </c>
      <c r="G27" s="7" t="s">
        <v>3732</v>
      </c>
      <c r="H27" s="6" t="s">
        <v>829</v>
      </c>
      <c r="I27" s="6" t="s">
        <v>3293</v>
      </c>
      <c r="J27" s="6" t="s">
        <v>3294</v>
      </c>
      <c r="K27" s="35" t="s">
        <v>532</v>
      </c>
      <c r="L27" s="37" t="s">
        <v>3644</v>
      </c>
      <c r="M27" t="s">
        <v>3675</v>
      </c>
    </row>
    <row r="28" spans="1:13">
      <c r="A28" s="5">
        <v>27</v>
      </c>
      <c r="B28" s="6" t="s">
        <v>848</v>
      </c>
      <c r="C28" s="7">
        <v>2022387850</v>
      </c>
      <c r="D28" s="7">
        <v>2201010658</v>
      </c>
      <c r="E28" s="7" t="s">
        <v>1810</v>
      </c>
      <c r="F28" s="7" t="e">
        <f>VLOOKUP(C28,'Fast Track '!B:C,2,FALSE)</f>
        <v>#N/A</v>
      </c>
      <c r="G28" s="7" t="s">
        <v>3733</v>
      </c>
      <c r="H28" s="6" t="s">
        <v>849</v>
      </c>
      <c r="I28" s="6" t="s">
        <v>3295</v>
      </c>
      <c r="J28" s="6" t="s">
        <v>3296</v>
      </c>
      <c r="K28" s="35" t="s">
        <v>532</v>
      </c>
      <c r="L28" s="37" t="s">
        <v>3644</v>
      </c>
      <c r="M28" t="s">
        <v>3675</v>
      </c>
    </row>
    <row r="29" spans="1:13">
      <c r="A29" s="5">
        <v>28</v>
      </c>
      <c r="B29" s="6" t="s">
        <v>842</v>
      </c>
      <c r="C29" s="7">
        <v>2022309446</v>
      </c>
      <c r="D29" s="7">
        <v>2201010663</v>
      </c>
      <c r="E29" s="7" t="s">
        <v>1810</v>
      </c>
      <c r="F29" s="7" t="e">
        <f>VLOOKUP(C29,'Fast Track '!B:C,2,FALSE)</f>
        <v>#N/A</v>
      </c>
      <c r="G29" s="7" t="s">
        <v>3734</v>
      </c>
      <c r="H29" s="6" t="s">
        <v>843</v>
      </c>
      <c r="I29" s="6" t="s">
        <v>3297</v>
      </c>
      <c r="J29" s="6" t="s">
        <v>3298</v>
      </c>
      <c r="K29" s="35" t="s">
        <v>532</v>
      </c>
      <c r="L29" s="37" t="s">
        <v>3644</v>
      </c>
      <c r="M29" t="s">
        <v>3675</v>
      </c>
    </row>
    <row r="30" spans="1:13">
      <c r="A30" s="5">
        <v>29</v>
      </c>
      <c r="B30" s="6" t="s">
        <v>874</v>
      </c>
      <c r="C30" s="7">
        <v>2022499440</v>
      </c>
      <c r="D30" s="7">
        <v>2201010666</v>
      </c>
      <c r="E30" s="7" t="s">
        <v>1810</v>
      </c>
      <c r="F30" s="7" t="e">
        <f>VLOOKUP(C30,'Fast Track '!B:C,2,FALSE)</f>
        <v>#N/A</v>
      </c>
      <c r="G30" s="7" t="s">
        <v>3735</v>
      </c>
      <c r="H30" s="6" t="s">
        <v>875</v>
      </c>
      <c r="I30" s="6" t="s">
        <v>3299</v>
      </c>
      <c r="J30" s="6" t="s">
        <v>3300</v>
      </c>
      <c r="K30" s="35" t="s">
        <v>532</v>
      </c>
      <c r="L30" s="37" t="s">
        <v>3644</v>
      </c>
      <c r="M30" t="s">
        <v>3675</v>
      </c>
    </row>
    <row r="31" spans="1:13">
      <c r="A31" s="5">
        <v>30</v>
      </c>
      <c r="B31" s="6" t="s">
        <v>864</v>
      </c>
      <c r="C31" s="7">
        <v>2022466983</v>
      </c>
      <c r="D31" s="7">
        <v>2201010677</v>
      </c>
      <c r="E31" s="7" t="s">
        <v>1810</v>
      </c>
      <c r="F31" s="7" t="e">
        <f>VLOOKUP(C31,'Fast Track '!B:C,2,FALSE)</f>
        <v>#N/A</v>
      </c>
      <c r="G31" s="7" t="s">
        <v>3736</v>
      </c>
      <c r="H31" s="6" t="s">
        <v>865</v>
      </c>
      <c r="I31" s="6" t="s">
        <v>3301</v>
      </c>
      <c r="J31" s="6" t="s">
        <v>3302</v>
      </c>
      <c r="K31" s="35" t="s">
        <v>532</v>
      </c>
      <c r="L31" s="37" t="s">
        <v>3644</v>
      </c>
      <c r="M31" t="s">
        <v>3675</v>
      </c>
    </row>
    <row r="32" spans="1:13">
      <c r="A32" s="5">
        <v>31</v>
      </c>
      <c r="B32" s="6" t="s">
        <v>893</v>
      </c>
      <c r="C32" s="7">
        <v>2022816972</v>
      </c>
      <c r="D32" s="7">
        <v>2201010707</v>
      </c>
      <c r="E32" s="7" t="s">
        <v>1810</v>
      </c>
      <c r="F32" s="7" t="e">
        <f>VLOOKUP(C32,'Fast Track '!B:C,2,FALSE)</f>
        <v>#N/A</v>
      </c>
      <c r="G32" s="7" t="s">
        <v>3737</v>
      </c>
      <c r="H32" s="6" t="s">
        <v>894</v>
      </c>
      <c r="I32" s="6" t="s">
        <v>3305</v>
      </c>
      <c r="J32" s="6" t="s">
        <v>3306</v>
      </c>
      <c r="K32" s="35" t="s">
        <v>532</v>
      </c>
      <c r="L32" s="37" t="s">
        <v>3644</v>
      </c>
      <c r="M32" t="s">
        <v>3675</v>
      </c>
    </row>
    <row r="33" spans="1:13">
      <c r="A33" s="5">
        <v>32</v>
      </c>
      <c r="B33" s="6" t="s">
        <v>866</v>
      </c>
      <c r="C33" s="7">
        <v>2022471296</v>
      </c>
      <c r="D33" s="7">
        <v>2201010717</v>
      </c>
      <c r="E33" s="7" t="s">
        <v>1810</v>
      </c>
      <c r="F33" s="7" t="e">
        <f>VLOOKUP(C33,'Fast Track '!B:C,2,FALSE)</f>
        <v>#N/A</v>
      </c>
      <c r="G33" s="7" t="s">
        <v>3738</v>
      </c>
      <c r="H33" s="6" t="s">
        <v>867</v>
      </c>
      <c r="I33" s="6" t="s">
        <v>3307</v>
      </c>
      <c r="J33" s="6" t="s">
        <v>3308</v>
      </c>
      <c r="K33" s="35" t="s">
        <v>532</v>
      </c>
      <c r="L33" s="37" t="s">
        <v>3644</v>
      </c>
      <c r="M33" t="s">
        <v>3675</v>
      </c>
    </row>
    <row r="34" spans="1:13">
      <c r="A34" s="5">
        <v>33</v>
      </c>
      <c r="B34" s="6" t="s">
        <v>870</v>
      </c>
      <c r="C34" s="7">
        <v>2022482202</v>
      </c>
      <c r="D34" s="7">
        <v>2201010805</v>
      </c>
      <c r="E34" s="7" t="s">
        <v>1810</v>
      </c>
      <c r="F34" s="7" t="e">
        <f>VLOOKUP(C34,'Fast Track '!B:C,2,FALSE)</f>
        <v>#N/A</v>
      </c>
      <c r="G34" s="7" t="s">
        <v>3739</v>
      </c>
      <c r="H34" s="6" t="s">
        <v>871</v>
      </c>
      <c r="I34" s="6" t="s">
        <v>3309</v>
      </c>
      <c r="J34" s="6" t="s">
        <v>3310</v>
      </c>
      <c r="K34" s="35" t="s">
        <v>532</v>
      </c>
      <c r="L34" s="37" t="s">
        <v>3644</v>
      </c>
      <c r="M34" t="s">
        <v>3675</v>
      </c>
    </row>
    <row r="35" spans="1:13">
      <c r="A35" s="5">
        <v>34</v>
      </c>
      <c r="B35" s="6" t="s">
        <v>838</v>
      </c>
      <c r="C35" s="7">
        <v>2022007193</v>
      </c>
      <c r="D35" s="7">
        <v>2201010923</v>
      </c>
      <c r="E35" s="7" t="s">
        <v>1810</v>
      </c>
      <c r="F35" s="7" t="e">
        <f>VLOOKUP(C35,'Fast Track '!B:C,2,FALSE)</f>
        <v>#N/A</v>
      </c>
      <c r="G35" s="7" t="s">
        <v>3740</v>
      </c>
      <c r="H35" s="6" t="s">
        <v>839</v>
      </c>
      <c r="I35" s="6" t="s">
        <v>3313</v>
      </c>
      <c r="J35" s="6" t="s">
        <v>3314</v>
      </c>
      <c r="K35" s="35" t="s">
        <v>532</v>
      </c>
      <c r="L35" s="37" t="s">
        <v>3644</v>
      </c>
      <c r="M35" t="s">
        <v>3675</v>
      </c>
    </row>
    <row r="36" spans="1:13">
      <c r="A36" s="5">
        <v>35</v>
      </c>
      <c r="B36" s="6" t="s">
        <v>377</v>
      </c>
      <c r="C36" s="7">
        <v>2022618129</v>
      </c>
      <c r="D36" s="7">
        <v>2201010938</v>
      </c>
      <c r="E36" s="7" t="s">
        <v>1810</v>
      </c>
      <c r="F36" s="7" t="e">
        <f>VLOOKUP(C36,'Fast Track '!B:C,2,FALSE)</f>
        <v>#N/A</v>
      </c>
      <c r="G36" s="7" t="s">
        <v>3741</v>
      </c>
      <c r="H36" s="6" t="s">
        <v>888</v>
      </c>
      <c r="I36" s="6" t="s">
        <v>3315</v>
      </c>
      <c r="J36" s="6" t="s">
        <v>3316</v>
      </c>
      <c r="K36" s="35" t="s">
        <v>532</v>
      </c>
      <c r="L36" s="37" t="s">
        <v>3644</v>
      </c>
      <c r="M36" t="s">
        <v>3675</v>
      </c>
    </row>
    <row r="37" spans="1:13">
      <c r="A37" s="5">
        <v>36</v>
      </c>
      <c r="B37" s="6" t="s">
        <v>889</v>
      </c>
      <c r="C37" s="7">
        <v>2022623875</v>
      </c>
      <c r="D37" s="7">
        <v>2201010940</v>
      </c>
      <c r="E37" s="7" t="s">
        <v>1810</v>
      </c>
      <c r="F37" s="7" t="e">
        <f>VLOOKUP(C37,'Fast Track '!B:C,2,FALSE)</f>
        <v>#N/A</v>
      </c>
      <c r="G37" s="7" t="s">
        <v>3742</v>
      </c>
      <c r="H37" s="6" t="s">
        <v>890</v>
      </c>
      <c r="I37" s="6" t="s">
        <v>3317</v>
      </c>
      <c r="J37" s="6" t="s">
        <v>3318</v>
      </c>
      <c r="K37" s="35" t="s">
        <v>532</v>
      </c>
      <c r="L37" s="37" t="s">
        <v>3644</v>
      </c>
      <c r="M37" t="s">
        <v>3675</v>
      </c>
    </row>
    <row r="38" spans="1:13">
      <c r="A38" s="5">
        <v>37</v>
      </c>
      <c r="B38" s="6" t="s">
        <v>1389</v>
      </c>
      <c r="C38" s="7">
        <v>2023253225</v>
      </c>
      <c r="D38" s="7">
        <v>2301017016</v>
      </c>
      <c r="E38" s="7" t="s">
        <v>1810</v>
      </c>
      <c r="F38" s="7" t="e">
        <f>VLOOKUP(C38,'Fast Track '!B:C,2,FALSE)</f>
        <v>#N/A</v>
      </c>
      <c r="G38" s="7" t="s">
        <v>3743</v>
      </c>
      <c r="H38" s="6" t="s">
        <v>1390</v>
      </c>
      <c r="I38" s="6" t="s">
        <v>3319</v>
      </c>
      <c r="J38" s="6" t="s">
        <v>3320</v>
      </c>
      <c r="K38" s="35" t="s">
        <v>532</v>
      </c>
      <c r="L38" s="37" t="s">
        <v>3644</v>
      </c>
      <c r="M38" t="s">
        <v>3675</v>
      </c>
    </row>
    <row r="39" spans="1:13">
      <c r="A39" s="5">
        <v>38</v>
      </c>
      <c r="B39" s="6" t="s">
        <v>1554</v>
      </c>
      <c r="C39" s="7">
        <v>2022463885</v>
      </c>
      <c r="D39" s="7">
        <v>2201010725</v>
      </c>
      <c r="E39" s="7" t="s">
        <v>1810</v>
      </c>
      <c r="F39" s="7" t="e">
        <f>VLOOKUP(C39,'Fast Track '!B:C,2,FALSE)</f>
        <v>#N/A</v>
      </c>
      <c r="G39" s="7" t="s">
        <v>3744</v>
      </c>
      <c r="H39" s="6" t="s">
        <v>1555</v>
      </c>
      <c r="I39" s="6" t="s">
        <v>3411</v>
      </c>
      <c r="J39" s="6" t="s">
        <v>3412</v>
      </c>
      <c r="K39" s="35" t="s">
        <v>532</v>
      </c>
      <c r="L39" s="37" t="s">
        <v>3644</v>
      </c>
      <c r="M39" t="s">
        <v>3675</v>
      </c>
    </row>
    <row r="40" spans="1:13">
      <c r="A40" s="5">
        <v>39</v>
      </c>
      <c r="B40" s="6" t="s">
        <v>1552</v>
      </c>
      <c r="C40" s="7">
        <v>2022401760</v>
      </c>
      <c r="D40" s="7">
        <v>2201010746</v>
      </c>
      <c r="E40" s="7" t="s">
        <v>1810</v>
      </c>
      <c r="F40" s="7" t="e">
        <f>VLOOKUP(C40,'Fast Track '!B:C,2,FALSE)</f>
        <v>#N/A</v>
      </c>
      <c r="G40" s="7" t="s">
        <v>3745</v>
      </c>
      <c r="H40" s="6" t="s">
        <v>1553</v>
      </c>
      <c r="I40" s="6" t="s">
        <v>3413</v>
      </c>
      <c r="J40" s="6" t="s">
        <v>3414</v>
      </c>
      <c r="K40" s="35" t="s">
        <v>532</v>
      </c>
      <c r="L40" s="37" t="s">
        <v>3644</v>
      </c>
      <c r="M40" t="s">
        <v>3675</v>
      </c>
    </row>
    <row r="41" spans="1:13">
      <c r="A41" s="5">
        <v>40</v>
      </c>
      <c r="B41" s="6" t="s">
        <v>1576</v>
      </c>
      <c r="C41" s="7">
        <v>2022519978</v>
      </c>
      <c r="D41" s="7">
        <v>2201010793</v>
      </c>
      <c r="E41" s="7" t="s">
        <v>1810</v>
      </c>
      <c r="F41" s="7" t="e">
        <f>VLOOKUP(C41,'Fast Track '!B:C,2,FALSE)</f>
        <v>#N/A</v>
      </c>
      <c r="G41" s="7" t="s">
        <v>3746</v>
      </c>
      <c r="H41" s="6" t="s">
        <v>1577</v>
      </c>
      <c r="I41" s="6" t="s">
        <v>3417</v>
      </c>
      <c r="J41" s="6" t="s">
        <v>3418</v>
      </c>
      <c r="K41" s="35" t="s">
        <v>532</v>
      </c>
      <c r="L41" s="37" t="s">
        <v>3644</v>
      </c>
      <c r="M41" t="s">
        <v>3675</v>
      </c>
    </row>
    <row r="42" spans="1:13">
      <c r="A42" s="5">
        <v>41</v>
      </c>
      <c r="B42" s="6" t="s">
        <v>1564</v>
      </c>
      <c r="C42" s="7">
        <v>2022506228</v>
      </c>
      <c r="D42" s="7">
        <v>2201010930</v>
      </c>
      <c r="E42" s="7" t="s">
        <v>1810</v>
      </c>
      <c r="F42" s="7" t="e">
        <f>VLOOKUP(C42,'Fast Track '!B:C,2,FALSE)</f>
        <v>#N/A</v>
      </c>
      <c r="G42" s="7" t="s">
        <v>3747</v>
      </c>
      <c r="H42" s="6" t="s">
        <v>1565</v>
      </c>
      <c r="I42" s="6" t="s">
        <v>3419</v>
      </c>
      <c r="J42" s="6" t="s">
        <v>3420</v>
      </c>
      <c r="K42" s="35" t="s">
        <v>532</v>
      </c>
      <c r="L42" s="37" t="s">
        <v>3644</v>
      </c>
      <c r="M42" t="s">
        <v>3675</v>
      </c>
    </row>
    <row r="43" spans="1:13">
      <c r="A43" s="5">
        <v>42</v>
      </c>
      <c r="B43" s="6" t="s">
        <v>1205</v>
      </c>
      <c r="C43" s="7">
        <v>2022486764</v>
      </c>
      <c r="D43" s="7">
        <v>2201010004</v>
      </c>
      <c r="E43" s="7" t="s">
        <v>1810</v>
      </c>
      <c r="F43" s="7" t="e">
        <f>VLOOKUP(C43,'Fast Track '!B:C,2,FALSE)</f>
        <v>#N/A</v>
      </c>
      <c r="G43" s="7" t="s">
        <v>3748</v>
      </c>
      <c r="H43" s="6" t="s">
        <v>1206</v>
      </c>
      <c r="I43" s="6" t="s">
        <v>2847</v>
      </c>
      <c r="J43" s="6" t="s">
        <v>2848</v>
      </c>
      <c r="K43" s="35" t="s">
        <v>532</v>
      </c>
      <c r="L43" s="37" t="s">
        <v>3644</v>
      </c>
      <c r="M43" t="s">
        <v>3675</v>
      </c>
    </row>
    <row r="44" spans="1:13">
      <c r="A44" s="5">
        <v>43</v>
      </c>
      <c r="B44" s="6" t="s">
        <v>1245</v>
      </c>
      <c r="C44" s="7">
        <v>2022380686</v>
      </c>
      <c r="D44" s="7">
        <v>2201010011</v>
      </c>
      <c r="E44" s="7" t="s">
        <v>1810</v>
      </c>
      <c r="F44" s="7" t="e">
        <f>VLOOKUP(C44,'Fast Track '!B:C,2,FALSE)</f>
        <v>#N/A</v>
      </c>
      <c r="G44" s="7" t="s">
        <v>3749</v>
      </c>
      <c r="H44" s="6" t="s">
        <v>1246</v>
      </c>
      <c r="I44" s="6" t="s">
        <v>2849</v>
      </c>
      <c r="J44" s="6" t="s">
        <v>2850</v>
      </c>
      <c r="K44" s="35" t="s">
        <v>532</v>
      </c>
      <c r="L44" s="37" t="s">
        <v>3644</v>
      </c>
      <c r="M44" t="s">
        <v>3675</v>
      </c>
    </row>
    <row r="45" spans="1:13">
      <c r="A45" s="5">
        <v>44</v>
      </c>
      <c r="B45" s="6" t="s">
        <v>1221</v>
      </c>
      <c r="C45" s="7">
        <v>2022516040</v>
      </c>
      <c r="D45" s="7">
        <v>2201010020</v>
      </c>
      <c r="E45" s="7" t="s">
        <v>1810</v>
      </c>
      <c r="F45" s="7" t="e">
        <f>VLOOKUP(C45,'Fast Track '!B:C,2,FALSE)</f>
        <v>#N/A</v>
      </c>
      <c r="G45" s="7" t="s">
        <v>3750</v>
      </c>
      <c r="H45" s="6" t="s">
        <v>1222</v>
      </c>
      <c r="I45" s="6" t="s">
        <v>2851</v>
      </c>
      <c r="J45" s="6" t="s">
        <v>2852</v>
      </c>
      <c r="K45" s="35" t="s">
        <v>532</v>
      </c>
      <c r="L45" s="37" t="s">
        <v>3644</v>
      </c>
      <c r="M45" t="s">
        <v>3675</v>
      </c>
    </row>
    <row r="46" spans="1:13">
      <c r="A46" s="5">
        <v>45</v>
      </c>
      <c r="B46" s="6" t="s">
        <v>1167</v>
      </c>
      <c r="C46" s="7">
        <v>2022354445</v>
      </c>
      <c r="D46" s="7">
        <v>2201010021</v>
      </c>
      <c r="E46" s="7" t="s">
        <v>1810</v>
      </c>
      <c r="F46" s="7" t="e">
        <f>VLOOKUP(C46,'Fast Track '!B:C,2,FALSE)</f>
        <v>#N/A</v>
      </c>
      <c r="G46" s="7" t="s">
        <v>3751</v>
      </c>
      <c r="H46" s="6" t="s">
        <v>1168</v>
      </c>
      <c r="I46" s="6" t="s">
        <v>2853</v>
      </c>
      <c r="J46" s="6" t="s">
        <v>2854</v>
      </c>
      <c r="K46" s="35" t="s">
        <v>532</v>
      </c>
      <c r="L46" s="37" t="s">
        <v>3644</v>
      </c>
      <c r="M46" t="s">
        <v>3675</v>
      </c>
    </row>
    <row r="47" spans="1:13">
      <c r="A47" s="5">
        <v>46</v>
      </c>
      <c r="B47" s="6" t="s">
        <v>1197</v>
      </c>
      <c r="C47" s="7">
        <v>2022460612</v>
      </c>
      <c r="D47" s="7">
        <v>2201010026</v>
      </c>
      <c r="E47" s="7" t="s">
        <v>1810</v>
      </c>
      <c r="F47" s="7" t="e">
        <f>VLOOKUP(C47,'Fast Track '!B:C,2,FALSE)</f>
        <v>#N/A</v>
      </c>
      <c r="G47" s="7" t="s">
        <v>3752</v>
      </c>
      <c r="H47" s="6" t="s">
        <v>1198</v>
      </c>
      <c r="I47" s="6" t="s">
        <v>2855</v>
      </c>
      <c r="J47" s="6" t="s">
        <v>2856</v>
      </c>
      <c r="K47" s="35" t="s">
        <v>532</v>
      </c>
      <c r="L47" s="37" t="s">
        <v>3644</v>
      </c>
      <c r="M47" t="s">
        <v>3675</v>
      </c>
    </row>
    <row r="48" spans="1:13">
      <c r="A48" s="5">
        <v>47</v>
      </c>
      <c r="B48" s="6" t="s">
        <v>911</v>
      </c>
      <c r="C48" s="7">
        <v>2022001992</v>
      </c>
      <c r="D48" s="7">
        <v>2201010371</v>
      </c>
      <c r="E48" s="7" t="s">
        <v>1810</v>
      </c>
      <c r="F48" s="7" t="e">
        <f>VLOOKUP(C48,'Fast Track '!B:C,2,FALSE)</f>
        <v>#N/A</v>
      </c>
      <c r="G48" s="7" t="s">
        <v>3753</v>
      </c>
      <c r="H48" s="6" t="s">
        <v>1129</v>
      </c>
      <c r="I48" s="6" t="s">
        <v>2907</v>
      </c>
      <c r="J48" s="6" t="s">
        <v>2908</v>
      </c>
      <c r="K48" s="35" t="s">
        <v>532</v>
      </c>
      <c r="L48" s="37" t="s">
        <v>3644</v>
      </c>
      <c r="M48" t="s">
        <v>3675</v>
      </c>
    </row>
    <row r="49" spans="1:13">
      <c r="A49" s="5">
        <v>48</v>
      </c>
      <c r="B49" s="6" t="s">
        <v>1249</v>
      </c>
      <c r="C49" s="7">
        <v>2022508637</v>
      </c>
      <c r="D49" s="7">
        <v>2201010060</v>
      </c>
      <c r="E49" s="7" t="s">
        <v>1810</v>
      </c>
      <c r="F49" s="7" t="e">
        <f>VLOOKUP(C49,'Fast Track '!B:C,2,FALSE)</f>
        <v>#N/A</v>
      </c>
      <c r="G49" s="7" t="s">
        <v>3754</v>
      </c>
      <c r="H49" s="6" t="s">
        <v>1250</v>
      </c>
      <c r="I49" s="6" t="s">
        <v>2861</v>
      </c>
      <c r="J49" s="6" t="s">
        <v>2862</v>
      </c>
      <c r="K49" s="35" t="s">
        <v>532</v>
      </c>
      <c r="L49" s="37" t="s">
        <v>3644</v>
      </c>
      <c r="M49" t="s">
        <v>3675</v>
      </c>
    </row>
    <row r="50" spans="1:13">
      <c r="A50" s="5">
        <v>49</v>
      </c>
      <c r="B50" s="6" t="s">
        <v>1162</v>
      </c>
      <c r="C50" s="7">
        <v>2022338152</v>
      </c>
      <c r="D50" s="7">
        <v>2201010773</v>
      </c>
      <c r="E50" s="7" t="s">
        <v>1810</v>
      </c>
      <c r="F50" s="7" t="e">
        <f>VLOOKUP(C50,'Fast Track '!B:C,2,FALSE)</f>
        <v>#N/A</v>
      </c>
      <c r="G50" s="7" t="s">
        <v>3755</v>
      </c>
      <c r="H50" s="6" t="s">
        <v>1163</v>
      </c>
      <c r="I50" s="6" t="s">
        <v>2949</v>
      </c>
      <c r="J50" s="6" t="s">
        <v>2950</v>
      </c>
      <c r="K50" s="35" t="s">
        <v>532</v>
      </c>
      <c r="L50" s="37" t="s">
        <v>3644</v>
      </c>
      <c r="M50" t="s">
        <v>3675</v>
      </c>
    </row>
    <row r="51" spans="1:13">
      <c r="A51" s="5">
        <v>50</v>
      </c>
      <c r="B51" s="6" t="s">
        <v>1586</v>
      </c>
      <c r="C51" s="7">
        <v>2021424420</v>
      </c>
      <c r="D51" s="7">
        <v>210101151</v>
      </c>
      <c r="E51" s="7" t="s">
        <v>1810</v>
      </c>
      <c r="F51" s="7" t="e">
        <f>VLOOKUP(C51,'Fast Track '!B:C,2,FALSE)</f>
        <v>#N/A</v>
      </c>
      <c r="G51" s="7" t="s">
        <v>3756</v>
      </c>
      <c r="H51" s="6" t="s">
        <v>1587</v>
      </c>
      <c r="I51" s="6" t="s">
        <v>3195</v>
      </c>
      <c r="J51" s="6" t="s">
        <v>3196</v>
      </c>
      <c r="K51" s="6" t="s">
        <v>1276</v>
      </c>
      <c r="L51" s="37" t="s">
        <v>3645</v>
      </c>
      <c r="M51" t="s">
        <v>3669</v>
      </c>
    </row>
    <row r="52" spans="1:13">
      <c r="A52" s="5">
        <v>51</v>
      </c>
      <c r="B52" s="6" t="s">
        <v>1694</v>
      </c>
      <c r="C52" s="7">
        <v>2021373851</v>
      </c>
      <c r="D52" s="7">
        <v>210101339</v>
      </c>
      <c r="E52" s="7" t="s">
        <v>1810</v>
      </c>
      <c r="F52" s="7" t="e">
        <f>VLOOKUP(C52,'Fast Track '!B:C,2,FALSE)</f>
        <v>#N/A</v>
      </c>
      <c r="G52" s="7" t="s">
        <v>3757</v>
      </c>
      <c r="H52" s="6" t="s">
        <v>1695</v>
      </c>
      <c r="I52" s="6" t="s">
        <v>3197</v>
      </c>
      <c r="J52" s="6" t="s">
        <v>3198</v>
      </c>
      <c r="K52" s="6" t="s">
        <v>1276</v>
      </c>
      <c r="L52" s="37" t="s">
        <v>3645</v>
      </c>
      <c r="M52" t="s">
        <v>3669</v>
      </c>
    </row>
    <row r="53" spans="1:13">
      <c r="A53" s="5">
        <v>52</v>
      </c>
      <c r="B53" s="6" t="s">
        <v>1744</v>
      </c>
      <c r="C53" s="7">
        <v>2022404832</v>
      </c>
      <c r="D53" s="7">
        <v>2201010494</v>
      </c>
      <c r="E53" s="7" t="s">
        <v>1810</v>
      </c>
      <c r="F53" s="7" t="e">
        <f>VLOOKUP(C53,'Fast Track '!B:C,2,FALSE)</f>
        <v>#N/A</v>
      </c>
      <c r="G53" s="7" t="s">
        <v>3758</v>
      </c>
      <c r="H53" s="6" t="s">
        <v>1745</v>
      </c>
      <c r="I53" s="6" t="s">
        <v>3201</v>
      </c>
      <c r="J53" s="6" t="s">
        <v>3202</v>
      </c>
      <c r="K53" s="6" t="s">
        <v>1276</v>
      </c>
      <c r="L53" s="37" t="s">
        <v>3645</v>
      </c>
      <c r="M53" t="s">
        <v>3669</v>
      </c>
    </row>
    <row r="54" spans="1:13">
      <c r="A54" s="5">
        <v>53</v>
      </c>
      <c r="B54" s="6" t="s">
        <v>1734</v>
      </c>
      <c r="C54" s="7">
        <v>2022312671</v>
      </c>
      <c r="D54" s="7">
        <v>2201010549</v>
      </c>
      <c r="E54" s="7" t="s">
        <v>1810</v>
      </c>
      <c r="F54" s="7" t="e">
        <f>VLOOKUP(C54,'Fast Track '!B:C,2,FALSE)</f>
        <v>#N/A</v>
      </c>
      <c r="G54" s="7" t="s">
        <v>3759</v>
      </c>
      <c r="H54" s="6" t="s">
        <v>1735</v>
      </c>
      <c r="I54" s="6" t="s">
        <v>3203</v>
      </c>
      <c r="J54" s="6" t="s">
        <v>3204</v>
      </c>
      <c r="K54" s="6" t="s">
        <v>1276</v>
      </c>
      <c r="L54" s="37" t="s">
        <v>3645</v>
      </c>
      <c r="M54" t="s">
        <v>3669</v>
      </c>
    </row>
    <row r="55" spans="1:13">
      <c r="A55" s="5">
        <v>54</v>
      </c>
      <c r="B55" s="6" t="s">
        <v>1689</v>
      </c>
      <c r="C55" s="7">
        <v>2022003992</v>
      </c>
      <c r="D55" s="7">
        <v>2201010712</v>
      </c>
      <c r="E55" s="7" t="s">
        <v>1810</v>
      </c>
      <c r="F55" s="7" t="e">
        <f>VLOOKUP(C55,'Fast Track '!B:C,2,FALSE)</f>
        <v>#N/A</v>
      </c>
      <c r="G55" s="7" t="s">
        <v>3760</v>
      </c>
      <c r="H55" s="6" t="s">
        <v>1690</v>
      </c>
      <c r="I55" s="6" t="s">
        <v>3205</v>
      </c>
      <c r="J55" s="6" t="s">
        <v>3206</v>
      </c>
      <c r="K55" s="6" t="s">
        <v>1276</v>
      </c>
      <c r="L55" s="37" t="s">
        <v>3645</v>
      </c>
      <c r="M55" t="s">
        <v>3669</v>
      </c>
    </row>
    <row r="56" spans="1:13">
      <c r="A56" s="5">
        <v>55</v>
      </c>
      <c r="B56" s="6" t="s">
        <v>1749</v>
      </c>
      <c r="C56" s="7">
        <v>2022432344</v>
      </c>
      <c r="D56" s="7">
        <v>2201010946</v>
      </c>
      <c r="E56" s="7" t="s">
        <v>1810</v>
      </c>
      <c r="F56" s="7" t="e">
        <f>VLOOKUP(C56,'Fast Track '!B:C,2,FALSE)</f>
        <v>#N/A</v>
      </c>
      <c r="G56" s="7" t="s">
        <v>3761</v>
      </c>
      <c r="H56" s="6" t="s">
        <v>1750</v>
      </c>
      <c r="I56" s="6" t="s">
        <v>3207</v>
      </c>
      <c r="J56" s="6" t="s">
        <v>3208</v>
      </c>
      <c r="K56" s="6" t="s">
        <v>1276</v>
      </c>
      <c r="L56" s="37" t="s">
        <v>3645</v>
      </c>
      <c r="M56" t="s">
        <v>3669</v>
      </c>
    </row>
    <row r="57" spans="1:13">
      <c r="A57" s="5">
        <v>56</v>
      </c>
      <c r="B57" s="6" t="s">
        <v>1466</v>
      </c>
      <c r="C57" s="7">
        <v>2022460800</v>
      </c>
      <c r="D57" s="7">
        <v>2201010164</v>
      </c>
      <c r="E57" s="7" t="s">
        <v>1810</v>
      </c>
      <c r="F57" s="7" t="e">
        <f>VLOOKUP(C57,'Fast Track '!B:C,2,FALSE)</f>
        <v>#N/A</v>
      </c>
      <c r="G57" s="7" t="s">
        <v>3762</v>
      </c>
      <c r="H57" s="6" t="s">
        <v>1467</v>
      </c>
      <c r="I57" s="6" t="s">
        <v>3321</v>
      </c>
      <c r="J57" s="6" t="s">
        <v>3322</v>
      </c>
      <c r="K57" s="6" t="s">
        <v>1276</v>
      </c>
      <c r="L57" s="37" t="s">
        <v>3645</v>
      </c>
      <c r="M57" t="s">
        <v>3669</v>
      </c>
    </row>
    <row r="58" spans="1:13">
      <c r="A58" s="5">
        <v>57</v>
      </c>
      <c r="B58" s="6" t="s">
        <v>1447</v>
      </c>
      <c r="C58" s="7">
        <v>2022320806</v>
      </c>
      <c r="D58" s="7">
        <v>2201010303</v>
      </c>
      <c r="E58" s="7" t="s">
        <v>1810</v>
      </c>
      <c r="F58" s="7" t="e">
        <f>VLOOKUP(C58,'Fast Track '!B:C,2,FALSE)</f>
        <v>#N/A</v>
      </c>
      <c r="G58" s="7" t="s">
        <v>3763</v>
      </c>
      <c r="H58" s="6" t="s">
        <v>1448</v>
      </c>
      <c r="I58" s="6" t="s">
        <v>3323</v>
      </c>
      <c r="J58" s="6" t="s">
        <v>3324</v>
      </c>
      <c r="K58" s="6" t="s">
        <v>1276</v>
      </c>
      <c r="L58" s="37" t="s">
        <v>3645</v>
      </c>
      <c r="M58" t="s">
        <v>3669</v>
      </c>
    </row>
    <row r="59" spans="1:13">
      <c r="A59" s="5">
        <v>58</v>
      </c>
      <c r="B59" s="6" t="s">
        <v>1462</v>
      </c>
      <c r="C59" s="7">
        <v>2022405621</v>
      </c>
      <c r="D59" s="7">
        <v>2201010396</v>
      </c>
      <c r="E59" s="7" t="s">
        <v>1810</v>
      </c>
      <c r="F59" s="7" t="e">
        <f>VLOOKUP(C59,'Fast Track '!B:C,2,FALSE)</f>
        <v>#N/A</v>
      </c>
      <c r="G59" s="7" t="s">
        <v>3764</v>
      </c>
      <c r="H59" s="6" t="s">
        <v>1463</v>
      </c>
      <c r="I59" s="6" t="s">
        <v>3325</v>
      </c>
      <c r="J59" s="6" t="s">
        <v>3326</v>
      </c>
      <c r="K59" s="6" t="s">
        <v>1276</v>
      </c>
      <c r="L59" s="37" t="s">
        <v>3645</v>
      </c>
      <c r="M59" t="s">
        <v>3669</v>
      </c>
    </row>
    <row r="60" spans="1:13">
      <c r="A60" s="5">
        <v>59</v>
      </c>
      <c r="B60" s="6" t="s">
        <v>1458</v>
      </c>
      <c r="C60" s="7">
        <v>2022396862</v>
      </c>
      <c r="D60" s="7">
        <v>2201010626</v>
      </c>
      <c r="E60" s="7" t="s">
        <v>1810</v>
      </c>
      <c r="F60" s="7" t="e">
        <f>VLOOKUP(C60,'Fast Track '!B:C,2,FALSE)</f>
        <v>#N/A</v>
      </c>
      <c r="G60" s="7" t="s">
        <v>3765</v>
      </c>
      <c r="H60" s="6" t="s">
        <v>1459</v>
      </c>
      <c r="I60" s="6" t="s">
        <v>3327</v>
      </c>
      <c r="J60" s="6" t="s">
        <v>3328</v>
      </c>
      <c r="K60" s="6" t="s">
        <v>1276</v>
      </c>
      <c r="L60" s="37" t="s">
        <v>3645</v>
      </c>
      <c r="M60" t="s">
        <v>3669</v>
      </c>
    </row>
    <row r="61" spans="1:13">
      <c r="A61" s="5">
        <v>60</v>
      </c>
      <c r="B61" s="6" t="s">
        <v>1470</v>
      </c>
      <c r="C61" s="7">
        <v>2022487134</v>
      </c>
      <c r="D61" s="7">
        <v>2201010638</v>
      </c>
      <c r="E61" s="7" t="s">
        <v>1810</v>
      </c>
      <c r="F61" s="7" t="e">
        <f>VLOOKUP(C61,'Fast Track '!B:C,2,FALSE)</f>
        <v>#N/A</v>
      </c>
      <c r="G61" s="7" t="s">
        <v>3766</v>
      </c>
      <c r="H61" s="6" t="s">
        <v>1471</v>
      </c>
      <c r="I61" s="6" t="s">
        <v>3329</v>
      </c>
      <c r="J61" s="6" t="s">
        <v>3330</v>
      </c>
      <c r="K61" s="6" t="s">
        <v>1276</v>
      </c>
      <c r="L61" s="37" t="s">
        <v>3645</v>
      </c>
      <c r="M61" t="s">
        <v>3669</v>
      </c>
    </row>
    <row r="62" spans="1:13">
      <c r="A62" s="5">
        <v>61</v>
      </c>
      <c r="B62" s="6" t="s">
        <v>1476</v>
      </c>
      <c r="C62" s="7">
        <v>2022542651</v>
      </c>
      <c r="D62" s="7">
        <v>2201010947</v>
      </c>
      <c r="E62" s="7" t="s">
        <v>1810</v>
      </c>
      <c r="F62" s="7" t="e">
        <f>VLOOKUP(C62,'Fast Track '!B:C,2,FALSE)</f>
        <v>#N/A</v>
      </c>
      <c r="G62" s="7" t="s">
        <v>3767</v>
      </c>
      <c r="H62" s="6" t="s">
        <v>1477</v>
      </c>
      <c r="I62" s="6" t="s">
        <v>3331</v>
      </c>
      <c r="J62" s="6" t="s">
        <v>3332</v>
      </c>
      <c r="K62" s="6" t="s">
        <v>1276</v>
      </c>
      <c r="L62" s="37" t="s">
        <v>3645</v>
      </c>
      <c r="M62" t="s">
        <v>3669</v>
      </c>
    </row>
    <row r="63" spans="1:13">
      <c r="A63" s="5">
        <v>62</v>
      </c>
      <c r="B63" s="6" t="s">
        <v>705</v>
      </c>
      <c r="C63" s="7">
        <v>2022387999</v>
      </c>
      <c r="D63" s="7">
        <v>2201010046</v>
      </c>
      <c r="E63" s="7" t="s">
        <v>1810</v>
      </c>
      <c r="F63" s="7" t="e">
        <f>VLOOKUP(C63,'Fast Track '!B:C,2,FALSE)</f>
        <v>#N/A</v>
      </c>
      <c r="G63" s="7" t="s">
        <v>3768</v>
      </c>
      <c r="H63" s="6" t="s">
        <v>1549</v>
      </c>
      <c r="I63" s="6" t="s">
        <v>3421</v>
      </c>
      <c r="J63" s="6" t="s">
        <v>3422</v>
      </c>
      <c r="K63" s="6" t="s">
        <v>1276</v>
      </c>
      <c r="L63" s="37" t="s">
        <v>3645</v>
      </c>
      <c r="M63" t="s">
        <v>3669</v>
      </c>
    </row>
    <row r="64" spans="1:13">
      <c r="A64" s="5">
        <v>63</v>
      </c>
      <c r="B64" s="6" t="s">
        <v>1578</v>
      </c>
      <c r="C64" s="7">
        <v>2022522914</v>
      </c>
      <c r="D64" s="7">
        <v>2201010776</v>
      </c>
      <c r="E64" s="7" t="s">
        <v>1810</v>
      </c>
      <c r="F64" s="7" t="e">
        <f>VLOOKUP(C64,'Fast Track '!B:C,2,FALSE)</f>
        <v>#N/A</v>
      </c>
      <c r="G64" s="7" t="s">
        <v>3769</v>
      </c>
      <c r="H64" s="6" t="s">
        <v>1579</v>
      </c>
      <c r="I64" s="6" t="s">
        <v>3423</v>
      </c>
      <c r="J64" s="6" t="s">
        <v>3424</v>
      </c>
      <c r="K64" s="6" t="s">
        <v>1276</v>
      </c>
      <c r="L64" s="37" t="s">
        <v>3645</v>
      </c>
      <c r="M64" t="s">
        <v>3669</v>
      </c>
    </row>
    <row r="65" spans="1:13">
      <c r="A65" s="5">
        <v>64</v>
      </c>
      <c r="B65" s="6" t="s">
        <v>1590</v>
      </c>
      <c r="C65" s="7">
        <v>2022505539</v>
      </c>
      <c r="D65" s="7">
        <v>2201010124</v>
      </c>
      <c r="E65" s="7" t="s">
        <v>1810</v>
      </c>
      <c r="F65" s="7" t="e">
        <f>VLOOKUP(C65,'Fast Track '!B:C,2,FALSE)</f>
        <v>#N/A</v>
      </c>
      <c r="G65" s="7" t="s">
        <v>3770</v>
      </c>
      <c r="H65" s="6" t="s">
        <v>1591</v>
      </c>
      <c r="I65" s="6" t="s">
        <v>3501</v>
      </c>
      <c r="J65" s="6" t="s">
        <v>3502</v>
      </c>
      <c r="K65" s="6" t="s">
        <v>1276</v>
      </c>
      <c r="L65" s="37" t="s">
        <v>3645</v>
      </c>
      <c r="M65" t="s">
        <v>3669</v>
      </c>
    </row>
  </sheetData>
  <conditionalFormatting sqref="C43:C47">
    <cfRule type="duplicateValues" dxfId="75" priority="18"/>
  </conditionalFormatting>
  <conditionalFormatting sqref="C43:C47">
    <cfRule type="duplicateValues" dxfId="74" priority="15"/>
  </conditionalFormatting>
  <conditionalFormatting sqref="C43:D47">
    <cfRule type="duplicateValues" dxfId="73" priority="16"/>
    <cfRule type="duplicateValues" dxfId="72" priority="17"/>
  </conditionalFormatting>
  <conditionalFormatting sqref="C48">
    <cfRule type="duplicateValues" dxfId="71" priority="14"/>
  </conditionalFormatting>
  <conditionalFormatting sqref="C48">
    <cfRule type="duplicateValues" dxfId="70" priority="11"/>
  </conditionalFormatting>
  <conditionalFormatting sqref="C48:D48">
    <cfRule type="duplicateValues" dxfId="69" priority="12"/>
    <cfRule type="duplicateValues" dxfId="68" priority="13"/>
  </conditionalFormatting>
  <conditionalFormatting sqref="C49">
    <cfRule type="duplicateValues" dxfId="67" priority="10"/>
  </conditionalFormatting>
  <conditionalFormatting sqref="C49">
    <cfRule type="duplicateValues" dxfId="66" priority="7"/>
  </conditionalFormatting>
  <conditionalFormatting sqref="C49:D49">
    <cfRule type="duplicateValues" dxfId="65" priority="8"/>
    <cfRule type="duplicateValues" dxfId="64" priority="9"/>
  </conditionalFormatting>
  <conditionalFormatting sqref="C50">
    <cfRule type="duplicateValues" dxfId="63" priority="4"/>
  </conditionalFormatting>
  <conditionalFormatting sqref="C50:D50">
    <cfRule type="duplicateValues" dxfId="62" priority="5"/>
    <cfRule type="duplicateValues" dxfId="61" priority="6"/>
  </conditionalFormatting>
  <conditionalFormatting sqref="C39:C42">
    <cfRule type="duplicateValues" dxfId="60" priority="576"/>
  </conditionalFormatting>
  <conditionalFormatting sqref="C39:D42">
    <cfRule type="duplicateValues" dxfId="59" priority="580"/>
    <cfRule type="duplicateValues" dxfId="58" priority="581"/>
  </conditionalFormatting>
  <conditionalFormatting sqref="C1:D38">
    <cfRule type="duplicateValues" dxfId="57" priority="685"/>
    <cfRule type="duplicateValues" dxfId="56" priority="686"/>
  </conditionalFormatting>
  <conditionalFormatting sqref="C1:C38">
    <cfRule type="duplicateValues" dxfId="55" priority="904"/>
  </conditionalFormatting>
  <conditionalFormatting sqref="C51:C65">
    <cfRule type="duplicateValues" dxfId="54" priority="912"/>
  </conditionalFormatting>
  <conditionalFormatting sqref="C51:D65">
    <cfRule type="duplicateValues" dxfId="53" priority="913"/>
    <cfRule type="duplicateValues" dxfId="52" priority="914"/>
  </conditionalFormatting>
  <dataValidations count="1">
    <dataValidation type="list" allowBlank="1" showErrorMessage="1" sqref="L2:L65">
      <formula1>"G1,G2"</formula1>
    </dataValidation>
  </dataValidations>
  <hyperlinks>
    <hyperlink ref="H2" r:id="rId1"/>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M60"/>
  <sheetViews>
    <sheetView topLeftCell="H1" workbookViewId="0">
      <selection activeCell="G2" sqref="A1:M60"/>
    </sheetView>
  </sheetViews>
  <sheetFormatPr defaultRowHeight="14.5"/>
  <cols>
    <col min="1" max="1" width="5.90625" bestFit="1" customWidth="1"/>
    <col min="2" max="2" width="25" bestFit="1" customWidth="1"/>
    <col min="3" max="4" width="11" bestFit="1" customWidth="1"/>
    <col min="5" max="5" width="19.6328125" bestFit="1" customWidth="1"/>
    <col min="6" max="7" width="19.6328125" customWidth="1"/>
    <col min="8" max="8" width="34.6328125" bestFit="1" customWidth="1"/>
    <col min="9" max="9" width="38.6328125" bestFit="1" customWidth="1"/>
    <col min="10" max="10" width="11" bestFit="1" customWidth="1"/>
    <col min="11" max="11" width="15.453125" bestFit="1" customWidth="1"/>
    <col min="12" max="12" width="11.54296875" style="38" customWidth="1"/>
  </cols>
  <sheetData>
    <row r="1" spans="1:13" ht="25">
      <c r="A1" s="1" t="s">
        <v>1</v>
      </c>
      <c r="B1" s="1" t="s">
        <v>2</v>
      </c>
      <c r="C1" s="1" t="s">
        <v>3</v>
      </c>
      <c r="D1" s="1" t="s">
        <v>4</v>
      </c>
      <c r="E1" s="1" t="s">
        <v>1817</v>
      </c>
      <c r="F1" s="1"/>
      <c r="G1" s="1"/>
      <c r="H1" s="1" t="s">
        <v>6</v>
      </c>
      <c r="I1" s="1" t="s">
        <v>1819</v>
      </c>
      <c r="J1" s="1" t="s">
        <v>1820</v>
      </c>
      <c r="K1" s="1" t="s">
        <v>7</v>
      </c>
      <c r="L1" s="36" t="s">
        <v>3676</v>
      </c>
      <c r="M1" s="41" t="s">
        <v>3677</v>
      </c>
    </row>
    <row r="2" spans="1:13">
      <c r="A2" s="5">
        <v>1</v>
      </c>
      <c r="B2" s="6" t="s">
        <v>1264</v>
      </c>
      <c r="C2" s="7">
        <v>2022004361</v>
      </c>
      <c r="D2" s="7">
        <v>2201010024</v>
      </c>
      <c r="E2" s="7" t="s">
        <v>1802</v>
      </c>
      <c r="F2" s="7" t="e">
        <f>VLOOKUP(C2,'Fast Track '!B:C,2,FALSE)</f>
        <v>#N/A</v>
      </c>
      <c r="G2" s="7" t="s">
        <v>3707</v>
      </c>
      <c r="H2" s="6" t="s">
        <v>1275</v>
      </c>
      <c r="I2" s="6" t="s">
        <v>2975</v>
      </c>
      <c r="J2" s="6" t="s">
        <v>2976</v>
      </c>
      <c r="K2" s="6" t="s">
        <v>1276</v>
      </c>
      <c r="L2" s="37" t="s">
        <v>3645</v>
      </c>
      <c r="M2" t="s">
        <v>3667</v>
      </c>
    </row>
    <row r="3" spans="1:13">
      <c r="A3" s="5">
        <v>2</v>
      </c>
      <c r="B3" s="6" t="s">
        <v>1772</v>
      </c>
      <c r="C3" s="7">
        <v>2022506579</v>
      </c>
      <c r="D3" s="7">
        <v>2201010061</v>
      </c>
      <c r="E3" s="7" t="s">
        <v>1802</v>
      </c>
      <c r="F3" s="7" t="e">
        <f>VLOOKUP(C3,'Fast Track '!B:C,2,FALSE)</f>
        <v>#N/A</v>
      </c>
      <c r="G3" s="7" t="s">
        <v>3708</v>
      </c>
      <c r="H3" s="6" t="s">
        <v>1773</v>
      </c>
      <c r="I3" s="6" t="s">
        <v>2977</v>
      </c>
      <c r="J3" s="6" t="s">
        <v>2978</v>
      </c>
      <c r="K3" s="6" t="s">
        <v>1276</v>
      </c>
      <c r="L3" s="37" t="s">
        <v>3645</v>
      </c>
      <c r="M3" t="s">
        <v>3667</v>
      </c>
    </row>
    <row r="4" spans="1:13">
      <c r="A4" s="5">
        <v>3</v>
      </c>
      <c r="B4" s="6" t="s">
        <v>1297</v>
      </c>
      <c r="C4" s="7">
        <v>2022334026</v>
      </c>
      <c r="D4" s="7">
        <v>2201010063</v>
      </c>
      <c r="E4" s="7" t="s">
        <v>1802</v>
      </c>
      <c r="F4" s="7" t="e">
        <f>VLOOKUP(C4,'Fast Track '!B:C,2,FALSE)</f>
        <v>#N/A</v>
      </c>
      <c r="G4" s="7" t="s">
        <v>3709</v>
      </c>
      <c r="H4" s="6" t="s">
        <v>1298</v>
      </c>
      <c r="I4" s="6" t="s">
        <v>2979</v>
      </c>
      <c r="J4" s="6" t="s">
        <v>2980</v>
      </c>
      <c r="K4" s="6" t="s">
        <v>1276</v>
      </c>
      <c r="L4" s="37" t="s">
        <v>3645</v>
      </c>
      <c r="M4" t="s">
        <v>3667</v>
      </c>
    </row>
    <row r="5" spans="1:13">
      <c r="A5" s="5">
        <v>4</v>
      </c>
      <c r="B5" s="6" t="s">
        <v>1746</v>
      </c>
      <c r="C5" s="7">
        <v>2022426354</v>
      </c>
      <c r="D5" s="7">
        <v>2201010067</v>
      </c>
      <c r="E5" s="7" t="s">
        <v>1802</v>
      </c>
      <c r="F5" s="7" t="e">
        <f>VLOOKUP(C5,'Fast Track '!B:C,2,FALSE)</f>
        <v>#N/A</v>
      </c>
      <c r="G5" s="7" t="s">
        <v>3710</v>
      </c>
      <c r="H5" s="6" t="s">
        <v>1747</v>
      </c>
      <c r="I5" s="6" t="s">
        <v>2981</v>
      </c>
      <c r="J5" s="6" t="s">
        <v>2982</v>
      </c>
      <c r="K5" s="6" t="s">
        <v>1276</v>
      </c>
      <c r="L5" s="37" t="s">
        <v>3645</v>
      </c>
      <c r="M5" t="s">
        <v>3667</v>
      </c>
    </row>
    <row r="6" spans="1:13">
      <c r="A6" s="5">
        <v>5</v>
      </c>
      <c r="B6" s="6" t="s">
        <v>1704</v>
      </c>
      <c r="C6" s="7">
        <v>2022005817</v>
      </c>
      <c r="D6" s="7">
        <v>2201010087</v>
      </c>
      <c r="E6" s="7" t="s">
        <v>1802</v>
      </c>
      <c r="F6" s="7" t="e">
        <f>VLOOKUP(C6,'Fast Track '!B:C,2,FALSE)</f>
        <v>#N/A</v>
      </c>
      <c r="G6" s="7" t="s">
        <v>3711</v>
      </c>
      <c r="H6" s="6" t="s">
        <v>1705</v>
      </c>
      <c r="I6" s="6" t="s">
        <v>2983</v>
      </c>
      <c r="J6" s="6" t="s">
        <v>2984</v>
      </c>
      <c r="K6" s="6" t="s">
        <v>1276</v>
      </c>
      <c r="L6" s="37" t="s">
        <v>3645</v>
      </c>
      <c r="M6" t="s">
        <v>3667</v>
      </c>
    </row>
    <row r="7" spans="1:13">
      <c r="A7" s="5">
        <v>6</v>
      </c>
      <c r="B7" s="6" t="s">
        <v>175</v>
      </c>
      <c r="C7" s="7">
        <v>2022409017</v>
      </c>
      <c r="D7" s="7">
        <v>2201010094</v>
      </c>
      <c r="E7" s="7" t="s">
        <v>1802</v>
      </c>
      <c r="F7" s="7" t="e">
        <f>VLOOKUP(C7,'Fast Track '!B:C,2,FALSE)</f>
        <v>#N/A</v>
      </c>
      <c r="G7" s="7" t="s">
        <v>3712</v>
      </c>
      <c r="H7" s="6" t="s">
        <v>1307</v>
      </c>
      <c r="I7" s="6" t="s">
        <v>2985</v>
      </c>
      <c r="J7" s="6" t="s">
        <v>2986</v>
      </c>
      <c r="K7" s="6" t="s">
        <v>1276</v>
      </c>
      <c r="L7" s="37" t="s">
        <v>3645</v>
      </c>
      <c r="M7" t="s">
        <v>3667</v>
      </c>
    </row>
    <row r="8" spans="1:13">
      <c r="A8" s="5">
        <v>7</v>
      </c>
      <c r="B8" s="6" t="s">
        <v>1343</v>
      </c>
      <c r="C8" s="7">
        <v>2022535335</v>
      </c>
      <c r="D8" s="7">
        <v>2201010100</v>
      </c>
      <c r="E8" s="7" t="s">
        <v>1802</v>
      </c>
      <c r="F8" s="7" t="e">
        <f>VLOOKUP(C8,'Fast Track '!B:C,2,FALSE)</f>
        <v>#N/A</v>
      </c>
      <c r="G8" s="7" t="s">
        <v>3713</v>
      </c>
      <c r="H8" s="6" t="s">
        <v>1344</v>
      </c>
      <c r="I8" s="6" t="s">
        <v>2987</v>
      </c>
      <c r="J8" s="6" t="s">
        <v>2988</v>
      </c>
      <c r="K8" s="6" t="s">
        <v>1276</v>
      </c>
      <c r="L8" s="37" t="s">
        <v>3645</v>
      </c>
      <c r="M8" t="s">
        <v>3667</v>
      </c>
    </row>
    <row r="9" spans="1:13">
      <c r="A9" s="5">
        <v>8</v>
      </c>
      <c r="B9" s="6" t="s">
        <v>1742</v>
      </c>
      <c r="C9" s="7">
        <v>2022369167</v>
      </c>
      <c r="D9" s="7">
        <v>2201010113</v>
      </c>
      <c r="E9" s="7" t="s">
        <v>1802</v>
      </c>
      <c r="F9" s="7" t="e">
        <f>VLOOKUP(C9,'Fast Track '!B:C,2,FALSE)</f>
        <v>#N/A</v>
      </c>
      <c r="G9" s="7" t="s">
        <v>3714</v>
      </c>
      <c r="H9" s="6" t="s">
        <v>1743</v>
      </c>
      <c r="I9" s="6" t="s">
        <v>2989</v>
      </c>
      <c r="J9" s="6" t="s">
        <v>2990</v>
      </c>
      <c r="K9" s="6" t="s">
        <v>1276</v>
      </c>
      <c r="L9" s="37" t="s">
        <v>3645</v>
      </c>
      <c r="M9" t="s">
        <v>3667</v>
      </c>
    </row>
    <row r="10" spans="1:13">
      <c r="A10" s="5">
        <v>9</v>
      </c>
      <c r="B10" s="6" t="s">
        <v>1759</v>
      </c>
      <c r="C10" s="7">
        <v>2022456042</v>
      </c>
      <c r="D10" s="7">
        <v>2201010120</v>
      </c>
      <c r="E10" s="7" t="s">
        <v>1802</v>
      </c>
      <c r="F10" s="7" t="e">
        <f>VLOOKUP(C10,'Fast Track '!B:C,2,FALSE)</f>
        <v>#N/A</v>
      </c>
      <c r="G10" s="7" t="s">
        <v>3715</v>
      </c>
      <c r="H10" s="6" t="s">
        <v>1760</v>
      </c>
      <c r="I10" s="6" t="s">
        <v>2991</v>
      </c>
      <c r="J10" s="6" t="s">
        <v>2992</v>
      </c>
      <c r="K10" s="6" t="s">
        <v>1276</v>
      </c>
      <c r="L10" s="37" t="s">
        <v>3645</v>
      </c>
      <c r="M10" t="s">
        <v>3667</v>
      </c>
    </row>
    <row r="11" spans="1:13">
      <c r="A11" s="5">
        <v>10</v>
      </c>
      <c r="B11" s="6" t="s">
        <v>1778</v>
      </c>
      <c r="C11" s="7">
        <v>2022539806</v>
      </c>
      <c r="D11" s="7">
        <v>2201010133</v>
      </c>
      <c r="E11" s="7" t="s">
        <v>1802</v>
      </c>
      <c r="F11" s="7" t="e">
        <f>VLOOKUP(C11,'Fast Track '!B:C,2,FALSE)</f>
        <v>#N/A</v>
      </c>
      <c r="G11" s="7" t="s">
        <v>3716</v>
      </c>
      <c r="H11" s="6" t="s">
        <v>1779</v>
      </c>
      <c r="I11" s="6" t="s">
        <v>2993</v>
      </c>
      <c r="J11" s="6" t="s">
        <v>2994</v>
      </c>
      <c r="K11" s="6" t="s">
        <v>1276</v>
      </c>
      <c r="L11" s="37" t="s">
        <v>3645</v>
      </c>
      <c r="M11" t="s">
        <v>3667</v>
      </c>
    </row>
    <row r="12" spans="1:13">
      <c r="A12" s="5">
        <v>11</v>
      </c>
      <c r="B12" s="6" t="s">
        <v>917</v>
      </c>
      <c r="C12" s="7">
        <v>2022504700</v>
      </c>
      <c r="D12" s="7">
        <v>2201010144</v>
      </c>
      <c r="E12" s="7" t="s">
        <v>1802</v>
      </c>
      <c r="F12" s="7" t="e">
        <f>VLOOKUP(C12,'Fast Track '!B:C,2,FALSE)</f>
        <v>#N/A</v>
      </c>
      <c r="G12" s="7" t="s">
        <v>3717</v>
      </c>
      <c r="H12" s="6" t="s">
        <v>1771</v>
      </c>
      <c r="I12" s="6" t="s">
        <v>2995</v>
      </c>
      <c r="J12" s="6" t="s">
        <v>2996</v>
      </c>
      <c r="K12" s="6" t="s">
        <v>1276</v>
      </c>
      <c r="L12" s="37" t="s">
        <v>3645</v>
      </c>
      <c r="M12" t="s">
        <v>3667</v>
      </c>
    </row>
    <row r="13" spans="1:13">
      <c r="A13" s="5">
        <v>12</v>
      </c>
      <c r="B13" s="6" t="s">
        <v>1738</v>
      </c>
      <c r="C13" s="7">
        <v>2022360832</v>
      </c>
      <c r="D13" s="7">
        <v>2201010151</v>
      </c>
      <c r="E13" s="7" t="s">
        <v>1802</v>
      </c>
      <c r="F13" s="7" t="e">
        <f>VLOOKUP(C13,'Fast Track '!B:C,2,FALSE)</f>
        <v>#N/A</v>
      </c>
      <c r="G13" s="7" t="s">
        <v>3718</v>
      </c>
      <c r="H13" s="6" t="s">
        <v>1739</v>
      </c>
      <c r="I13" s="6" t="s">
        <v>2997</v>
      </c>
      <c r="J13" s="6" t="s">
        <v>2998</v>
      </c>
      <c r="K13" s="6" t="s">
        <v>1276</v>
      </c>
      <c r="L13" s="37" t="s">
        <v>3645</v>
      </c>
      <c r="M13" t="s">
        <v>3667</v>
      </c>
    </row>
    <row r="14" spans="1:13">
      <c r="A14" s="5">
        <v>13</v>
      </c>
      <c r="B14" s="6" t="s">
        <v>1347</v>
      </c>
      <c r="C14" s="7">
        <v>2022542429</v>
      </c>
      <c r="D14" s="7">
        <v>2201010174</v>
      </c>
      <c r="E14" s="7" t="s">
        <v>1802</v>
      </c>
      <c r="F14" s="7" t="e">
        <f>VLOOKUP(C14,'Fast Track '!B:C,2,FALSE)</f>
        <v>#N/A</v>
      </c>
      <c r="G14" s="7" t="s">
        <v>3719</v>
      </c>
      <c r="H14" s="6" t="s">
        <v>1348</v>
      </c>
      <c r="I14" s="6" t="s">
        <v>2999</v>
      </c>
      <c r="J14" s="6" t="s">
        <v>3000</v>
      </c>
      <c r="K14" s="6" t="s">
        <v>1276</v>
      </c>
      <c r="L14" s="37" t="s">
        <v>3645</v>
      </c>
      <c r="M14" t="s">
        <v>3667</v>
      </c>
    </row>
    <row r="15" spans="1:13">
      <c r="A15" s="5">
        <v>14</v>
      </c>
      <c r="B15" s="6" t="s">
        <v>1362</v>
      </c>
      <c r="C15" s="7">
        <v>2022825759</v>
      </c>
      <c r="D15" s="7">
        <v>2201010202</v>
      </c>
      <c r="E15" s="7" t="s">
        <v>1802</v>
      </c>
      <c r="F15" s="7" t="e">
        <f>VLOOKUP(C15,'Fast Track '!B:C,2,FALSE)</f>
        <v>#N/A</v>
      </c>
      <c r="G15" s="7" t="s">
        <v>3720</v>
      </c>
      <c r="H15" s="6" t="s">
        <v>1363</v>
      </c>
      <c r="I15" s="6" t="s">
        <v>3001</v>
      </c>
      <c r="J15" s="6" t="s">
        <v>3002</v>
      </c>
      <c r="K15" s="6" t="s">
        <v>1276</v>
      </c>
      <c r="L15" s="37" t="s">
        <v>3645</v>
      </c>
      <c r="M15" t="s">
        <v>3667</v>
      </c>
    </row>
    <row r="16" spans="1:13">
      <c r="A16" s="5">
        <v>15</v>
      </c>
      <c r="B16" s="6" t="s">
        <v>1702</v>
      </c>
      <c r="C16" s="7">
        <v>2022005712</v>
      </c>
      <c r="D16" s="7">
        <v>2201010210</v>
      </c>
      <c r="E16" s="7" t="s">
        <v>1802</v>
      </c>
      <c r="F16" s="7" t="e">
        <f>VLOOKUP(C16,'Fast Track '!B:C,2,FALSE)</f>
        <v>#N/A</v>
      </c>
      <c r="G16" s="7" t="s">
        <v>3721</v>
      </c>
      <c r="H16" s="6" t="s">
        <v>1703</v>
      </c>
      <c r="I16" s="6" t="s">
        <v>3003</v>
      </c>
      <c r="J16" s="6" t="s">
        <v>3004</v>
      </c>
      <c r="K16" s="6" t="s">
        <v>1276</v>
      </c>
      <c r="L16" s="37" t="s">
        <v>3645</v>
      </c>
      <c r="M16" t="s">
        <v>3667</v>
      </c>
    </row>
    <row r="17" spans="1:13">
      <c r="A17" s="5">
        <v>16</v>
      </c>
      <c r="B17" s="6" t="s">
        <v>1736</v>
      </c>
      <c r="C17" s="7">
        <v>2022325712</v>
      </c>
      <c r="D17" s="7">
        <v>2201010280</v>
      </c>
      <c r="E17" s="7" t="s">
        <v>1802</v>
      </c>
      <c r="F17" s="7" t="e">
        <f>VLOOKUP(C17,'Fast Track '!B:C,2,FALSE)</f>
        <v>#N/A</v>
      </c>
      <c r="G17" s="7" t="s">
        <v>3722</v>
      </c>
      <c r="H17" s="6" t="s">
        <v>1737</v>
      </c>
      <c r="I17" s="6" t="s">
        <v>3005</v>
      </c>
      <c r="J17" s="6" t="s">
        <v>3006</v>
      </c>
      <c r="K17" s="6" t="s">
        <v>1276</v>
      </c>
      <c r="L17" s="37" t="s">
        <v>3645</v>
      </c>
      <c r="M17" t="s">
        <v>3667</v>
      </c>
    </row>
    <row r="18" spans="1:13">
      <c r="A18" s="5">
        <v>17</v>
      </c>
      <c r="B18" s="6" t="s">
        <v>1279</v>
      </c>
      <c r="C18" s="7">
        <v>2022005046</v>
      </c>
      <c r="D18" s="7">
        <v>2201010302</v>
      </c>
      <c r="E18" s="7" t="s">
        <v>1802</v>
      </c>
      <c r="F18" s="7" t="e">
        <f>VLOOKUP(C18,'Fast Track '!B:C,2,FALSE)</f>
        <v>#N/A</v>
      </c>
      <c r="G18" s="7" t="s">
        <v>3723</v>
      </c>
      <c r="H18" s="6" t="s">
        <v>1280</v>
      </c>
      <c r="I18" s="6" t="s">
        <v>3007</v>
      </c>
      <c r="J18" s="6" t="s">
        <v>3008</v>
      </c>
      <c r="K18" s="6" t="s">
        <v>1276</v>
      </c>
      <c r="L18" s="37" t="s">
        <v>3645</v>
      </c>
      <c r="M18" t="s">
        <v>3667</v>
      </c>
    </row>
    <row r="19" spans="1:13">
      <c r="A19" s="5">
        <v>18</v>
      </c>
      <c r="B19" s="6" t="s">
        <v>1318</v>
      </c>
      <c r="C19" s="7">
        <v>2022480883</v>
      </c>
      <c r="D19" s="7">
        <v>2201010305</v>
      </c>
      <c r="E19" s="7" t="s">
        <v>1802</v>
      </c>
      <c r="F19" s="7" t="e">
        <f>VLOOKUP(C19,'Fast Track '!B:C,2,FALSE)</f>
        <v>#N/A</v>
      </c>
      <c r="G19" s="7" t="s">
        <v>3724</v>
      </c>
      <c r="H19" s="6" t="s">
        <v>1319</v>
      </c>
      <c r="I19" s="6" t="s">
        <v>3009</v>
      </c>
      <c r="J19" s="6" t="s">
        <v>3010</v>
      </c>
      <c r="K19" s="6" t="s">
        <v>1276</v>
      </c>
      <c r="L19" s="37" t="s">
        <v>3645</v>
      </c>
      <c r="M19" t="s">
        <v>3667</v>
      </c>
    </row>
    <row r="20" spans="1:13">
      <c r="A20" s="5">
        <v>19</v>
      </c>
      <c r="B20" s="6" t="s">
        <v>1765</v>
      </c>
      <c r="C20" s="7">
        <v>2022469633</v>
      </c>
      <c r="D20" s="7">
        <v>2201010328</v>
      </c>
      <c r="E20" s="7" t="s">
        <v>1802</v>
      </c>
      <c r="F20" s="7" t="e">
        <f>VLOOKUP(C20,'Fast Track '!B:C,2,FALSE)</f>
        <v>#N/A</v>
      </c>
      <c r="G20" s="7" t="s">
        <v>3725</v>
      </c>
      <c r="H20" s="6" t="s">
        <v>1766</v>
      </c>
      <c r="I20" s="6" t="s">
        <v>3011</v>
      </c>
      <c r="J20" s="6" t="s">
        <v>3012</v>
      </c>
      <c r="K20" s="6" t="s">
        <v>1276</v>
      </c>
      <c r="L20" s="37" t="s">
        <v>3645</v>
      </c>
      <c r="M20" t="s">
        <v>3667</v>
      </c>
    </row>
    <row r="21" spans="1:13">
      <c r="A21" s="5">
        <v>20</v>
      </c>
      <c r="B21" s="6" t="s">
        <v>1740</v>
      </c>
      <c r="C21" s="7">
        <v>2022366544</v>
      </c>
      <c r="D21" s="7">
        <v>2201010363</v>
      </c>
      <c r="E21" s="7" t="s">
        <v>1802</v>
      </c>
      <c r="F21" s="7" t="e">
        <f>VLOOKUP(C21,'Fast Track '!B:C,2,FALSE)</f>
        <v>#N/A</v>
      </c>
      <c r="G21" s="7" t="s">
        <v>3726</v>
      </c>
      <c r="H21" s="6" t="s">
        <v>1741</v>
      </c>
      <c r="I21" s="6" t="s">
        <v>3013</v>
      </c>
      <c r="J21" s="6" t="s">
        <v>3014</v>
      </c>
      <c r="K21" s="6" t="s">
        <v>1276</v>
      </c>
      <c r="L21" s="37" t="s">
        <v>3645</v>
      </c>
      <c r="M21" t="s">
        <v>3667</v>
      </c>
    </row>
    <row r="22" spans="1:13">
      <c r="A22" s="5">
        <v>21</v>
      </c>
      <c r="B22" s="6" t="s">
        <v>1310</v>
      </c>
      <c r="C22" s="7">
        <v>2022414035</v>
      </c>
      <c r="D22" s="7">
        <v>2201010375</v>
      </c>
      <c r="E22" s="7" t="s">
        <v>1802</v>
      </c>
      <c r="F22" s="7" t="e">
        <f>VLOOKUP(C22,'Fast Track '!B:C,2,FALSE)</f>
        <v>#N/A</v>
      </c>
      <c r="G22" s="7" t="s">
        <v>3727</v>
      </c>
      <c r="H22" s="6" t="s">
        <v>1311</v>
      </c>
      <c r="I22" s="6" t="s">
        <v>3015</v>
      </c>
      <c r="J22" s="6" t="s">
        <v>3016</v>
      </c>
      <c r="K22" s="6" t="s">
        <v>1276</v>
      </c>
      <c r="L22" s="37" t="s">
        <v>3645</v>
      </c>
      <c r="M22" t="s">
        <v>3667</v>
      </c>
    </row>
    <row r="23" spans="1:13">
      <c r="A23" s="5">
        <v>22</v>
      </c>
      <c r="B23" s="6" t="s">
        <v>1761</v>
      </c>
      <c r="C23" s="7">
        <v>2022456058</v>
      </c>
      <c r="D23" s="7">
        <v>2201010381</v>
      </c>
      <c r="E23" s="7" t="s">
        <v>1802</v>
      </c>
      <c r="F23" s="7" t="e">
        <f>VLOOKUP(C23,'Fast Track '!B:C,2,FALSE)</f>
        <v>#N/A</v>
      </c>
      <c r="G23" s="7" t="s">
        <v>3728</v>
      </c>
      <c r="H23" s="6" t="s">
        <v>1762</v>
      </c>
      <c r="I23" s="6" t="s">
        <v>3017</v>
      </c>
      <c r="J23" s="6" t="s">
        <v>3018</v>
      </c>
      <c r="K23" s="6" t="s">
        <v>1276</v>
      </c>
      <c r="L23" s="37" t="s">
        <v>3645</v>
      </c>
      <c r="M23" t="s">
        <v>3667</v>
      </c>
    </row>
    <row r="24" spans="1:13">
      <c r="A24" s="5">
        <v>23</v>
      </c>
      <c r="B24" s="6" t="s">
        <v>1341</v>
      </c>
      <c r="C24" s="7">
        <v>2022533506</v>
      </c>
      <c r="D24" s="7">
        <v>2201010386</v>
      </c>
      <c r="E24" s="7" t="s">
        <v>1802</v>
      </c>
      <c r="F24" s="7" t="e">
        <f>VLOOKUP(C24,'Fast Track '!B:C,2,FALSE)</f>
        <v>#N/A</v>
      </c>
      <c r="G24" s="7" t="s">
        <v>3729</v>
      </c>
      <c r="H24" s="6" t="s">
        <v>1342</v>
      </c>
      <c r="I24" s="6" t="s">
        <v>3019</v>
      </c>
      <c r="J24" s="6" t="s">
        <v>3020</v>
      </c>
      <c r="K24" s="6" t="s">
        <v>1276</v>
      </c>
      <c r="L24" s="37" t="s">
        <v>3645</v>
      </c>
      <c r="M24" t="s">
        <v>3667</v>
      </c>
    </row>
    <row r="25" spans="1:13">
      <c r="A25" s="5">
        <v>24</v>
      </c>
      <c r="B25" s="6" t="s">
        <v>1301</v>
      </c>
      <c r="C25" s="7">
        <v>2022338119</v>
      </c>
      <c r="D25" s="7">
        <v>2201010402</v>
      </c>
      <c r="E25" s="7" t="s">
        <v>1802</v>
      </c>
      <c r="F25" s="7" t="e">
        <f>VLOOKUP(C25,'Fast Track '!B:C,2,FALSE)</f>
        <v>#N/A</v>
      </c>
      <c r="G25" s="7" t="s">
        <v>3730</v>
      </c>
      <c r="H25" s="6" t="s">
        <v>1302</v>
      </c>
      <c r="I25" s="6" t="s">
        <v>3021</v>
      </c>
      <c r="J25" s="6" t="s">
        <v>3022</v>
      </c>
      <c r="K25" s="6" t="s">
        <v>1276</v>
      </c>
      <c r="L25" s="37" t="s">
        <v>3645</v>
      </c>
      <c r="M25" t="s">
        <v>3667</v>
      </c>
    </row>
    <row r="26" spans="1:13">
      <c r="A26" s="5">
        <v>25</v>
      </c>
      <c r="B26" s="6" t="s">
        <v>1755</v>
      </c>
      <c r="C26" s="7">
        <v>2022438436</v>
      </c>
      <c r="D26" s="7">
        <v>2201010408</v>
      </c>
      <c r="E26" s="7" t="s">
        <v>1802</v>
      </c>
      <c r="F26" s="7" t="e">
        <f>VLOOKUP(C26,'Fast Track '!B:C,2,FALSE)</f>
        <v>#N/A</v>
      </c>
      <c r="G26" s="7" t="s">
        <v>3731</v>
      </c>
      <c r="H26" s="6" t="s">
        <v>1756</v>
      </c>
      <c r="I26" s="6" t="s">
        <v>3023</v>
      </c>
      <c r="J26" s="6" t="s">
        <v>3024</v>
      </c>
      <c r="K26" s="6" t="s">
        <v>1276</v>
      </c>
      <c r="L26" s="37" t="s">
        <v>3645</v>
      </c>
      <c r="M26" t="s">
        <v>3667</v>
      </c>
    </row>
    <row r="27" spans="1:13">
      <c r="A27" s="5">
        <v>26</v>
      </c>
      <c r="B27" s="6" t="s">
        <v>1305</v>
      </c>
      <c r="C27" s="7">
        <v>2022403267</v>
      </c>
      <c r="D27" s="7">
        <v>2201010410</v>
      </c>
      <c r="E27" s="7" t="s">
        <v>1802</v>
      </c>
      <c r="F27" s="7" t="e">
        <f>VLOOKUP(C27,'Fast Track '!B:C,2,FALSE)</f>
        <v>#N/A</v>
      </c>
      <c r="G27" s="7" t="s">
        <v>3732</v>
      </c>
      <c r="H27" s="6" t="s">
        <v>1306</v>
      </c>
      <c r="I27" s="6" t="s">
        <v>3025</v>
      </c>
      <c r="J27" s="6" t="s">
        <v>3026</v>
      </c>
      <c r="K27" s="6" t="s">
        <v>1276</v>
      </c>
      <c r="L27" s="37" t="s">
        <v>3645</v>
      </c>
      <c r="M27" t="s">
        <v>3667</v>
      </c>
    </row>
    <row r="28" spans="1:13">
      <c r="A28" s="5">
        <v>27</v>
      </c>
      <c r="B28" s="6" t="s">
        <v>1716</v>
      </c>
      <c r="C28" s="7">
        <v>2022007037</v>
      </c>
      <c r="D28" s="7">
        <v>2201010447</v>
      </c>
      <c r="E28" s="7" t="s">
        <v>1802</v>
      </c>
      <c r="F28" s="7" t="e">
        <f>VLOOKUP(C28,'Fast Track '!B:C,2,FALSE)</f>
        <v>#N/A</v>
      </c>
      <c r="G28" s="7" t="s">
        <v>3733</v>
      </c>
      <c r="H28" s="6" t="s">
        <v>1717</v>
      </c>
      <c r="I28" s="6" t="s">
        <v>3027</v>
      </c>
      <c r="J28" s="6" t="s">
        <v>3028</v>
      </c>
      <c r="K28" s="6" t="s">
        <v>1276</v>
      </c>
      <c r="L28" s="37" t="s">
        <v>3645</v>
      </c>
      <c r="M28" t="s">
        <v>3667</v>
      </c>
    </row>
    <row r="29" spans="1:13">
      <c r="A29" s="5">
        <v>28</v>
      </c>
      <c r="B29" s="6" t="s">
        <v>1316</v>
      </c>
      <c r="C29" s="7">
        <v>2022428888</v>
      </c>
      <c r="D29" s="7">
        <v>2201010463</v>
      </c>
      <c r="E29" s="7" t="s">
        <v>1802</v>
      </c>
      <c r="F29" s="7" t="e">
        <f>VLOOKUP(C29,'Fast Track '!B:C,2,FALSE)</f>
        <v>#N/A</v>
      </c>
      <c r="G29" s="7" t="s">
        <v>3734</v>
      </c>
      <c r="H29" s="6" t="s">
        <v>1317</v>
      </c>
      <c r="I29" s="6" t="s">
        <v>3029</v>
      </c>
      <c r="J29" s="6" t="s">
        <v>3030</v>
      </c>
      <c r="K29" s="6" t="s">
        <v>1276</v>
      </c>
      <c r="L29" s="37" t="s">
        <v>3645</v>
      </c>
      <c r="M29" t="s">
        <v>3667</v>
      </c>
    </row>
    <row r="30" spans="1:13">
      <c r="A30" s="5">
        <v>29</v>
      </c>
      <c r="B30" s="6" t="s">
        <v>1769</v>
      </c>
      <c r="C30" s="7">
        <v>2022496362</v>
      </c>
      <c r="D30" s="7">
        <v>2201010504</v>
      </c>
      <c r="E30" s="7" t="s">
        <v>1802</v>
      </c>
      <c r="F30" s="7" t="e">
        <f>VLOOKUP(C30,'Fast Track '!B:C,2,FALSE)</f>
        <v>#N/A</v>
      </c>
      <c r="G30" s="7" t="s">
        <v>3735</v>
      </c>
      <c r="H30" s="6" t="s">
        <v>1770</v>
      </c>
      <c r="I30" s="6" t="s">
        <v>3031</v>
      </c>
      <c r="J30" s="6" t="s">
        <v>3032</v>
      </c>
      <c r="K30" s="6" t="s">
        <v>1276</v>
      </c>
      <c r="L30" s="37" t="s">
        <v>3645</v>
      </c>
      <c r="M30" t="s">
        <v>3667</v>
      </c>
    </row>
    <row r="31" spans="1:13">
      <c r="A31" s="5">
        <v>30</v>
      </c>
      <c r="B31" s="6" t="s">
        <v>1700</v>
      </c>
      <c r="C31" s="7">
        <v>2022005278</v>
      </c>
      <c r="D31" s="7">
        <v>2201010524</v>
      </c>
      <c r="E31" s="7" t="s">
        <v>1802</v>
      </c>
      <c r="F31" s="7" t="e">
        <f>VLOOKUP(C31,'Fast Track '!B:C,2,FALSE)</f>
        <v>#N/A</v>
      </c>
      <c r="G31" s="7" t="s">
        <v>3736</v>
      </c>
      <c r="H31" s="6" t="s">
        <v>1701</v>
      </c>
      <c r="I31" s="6" t="s">
        <v>3033</v>
      </c>
      <c r="J31" s="6" t="s">
        <v>3034</v>
      </c>
      <c r="K31" s="6" t="s">
        <v>1276</v>
      </c>
      <c r="L31" s="37" t="s">
        <v>3645</v>
      </c>
      <c r="M31" t="s">
        <v>3667</v>
      </c>
    </row>
    <row r="32" spans="1:13">
      <c r="A32" s="5">
        <v>31</v>
      </c>
      <c r="B32" s="6" t="s">
        <v>1776</v>
      </c>
      <c r="C32" s="7">
        <v>2022529691</v>
      </c>
      <c r="D32" s="7">
        <v>2201010528</v>
      </c>
      <c r="E32" s="7" t="s">
        <v>1802</v>
      </c>
      <c r="F32" s="7" t="e">
        <f>VLOOKUP(C32,'Fast Track '!B:C,2,FALSE)</f>
        <v>#N/A</v>
      </c>
      <c r="G32" s="7" t="s">
        <v>3737</v>
      </c>
      <c r="H32" s="6" t="s">
        <v>1777</v>
      </c>
      <c r="I32" s="6" t="s">
        <v>3035</v>
      </c>
      <c r="J32" s="6" t="s">
        <v>3036</v>
      </c>
      <c r="K32" s="6" t="s">
        <v>1276</v>
      </c>
      <c r="L32" s="37" t="s">
        <v>3645</v>
      </c>
      <c r="M32" t="s">
        <v>3667</v>
      </c>
    </row>
    <row r="33" spans="1:13">
      <c r="A33" s="5">
        <v>32</v>
      </c>
      <c r="B33" s="6" t="s">
        <v>1757</v>
      </c>
      <c r="C33" s="7">
        <v>2022439234</v>
      </c>
      <c r="D33" s="7">
        <v>2201010533</v>
      </c>
      <c r="E33" s="7" t="s">
        <v>1802</v>
      </c>
      <c r="F33" s="7" t="e">
        <f>VLOOKUP(C33,'Fast Track '!B:C,2,FALSE)</f>
        <v>#N/A</v>
      </c>
      <c r="G33" s="7" t="s">
        <v>3738</v>
      </c>
      <c r="H33" s="6" t="s">
        <v>1758</v>
      </c>
      <c r="I33" s="6" t="s">
        <v>3037</v>
      </c>
      <c r="J33" s="6" t="s">
        <v>3038</v>
      </c>
      <c r="K33" s="6" t="s">
        <v>1276</v>
      </c>
      <c r="L33" s="37" t="s">
        <v>3644</v>
      </c>
      <c r="M33" t="s">
        <v>3668</v>
      </c>
    </row>
    <row r="34" spans="1:13">
      <c r="A34" s="5">
        <v>33</v>
      </c>
      <c r="B34" s="6" t="s">
        <v>1712</v>
      </c>
      <c r="C34" s="7">
        <v>2022006709</v>
      </c>
      <c r="D34" s="7">
        <v>2201010548</v>
      </c>
      <c r="E34" s="7" t="s">
        <v>1802</v>
      </c>
      <c r="F34" s="7" t="e">
        <f>VLOOKUP(C34,'Fast Track '!B:C,2,FALSE)</f>
        <v>#N/A</v>
      </c>
      <c r="G34" s="7" t="s">
        <v>3739</v>
      </c>
      <c r="H34" s="6" t="s">
        <v>1713</v>
      </c>
      <c r="I34" s="6" t="s">
        <v>3039</v>
      </c>
      <c r="J34" s="6" t="s">
        <v>3040</v>
      </c>
      <c r="K34" s="6" t="s">
        <v>1276</v>
      </c>
      <c r="L34" s="37" t="s">
        <v>3644</v>
      </c>
      <c r="M34" t="s">
        <v>3668</v>
      </c>
    </row>
    <row r="35" spans="1:13">
      <c r="A35" s="5">
        <v>34</v>
      </c>
      <c r="B35" s="6" t="s">
        <v>1708</v>
      </c>
      <c r="C35" s="7">
        <v>2022006115</v>
      </c>
      <c r="D35" s="7">
        <v>2201010560</v>
      </c>
      <c r="E35" s="7" t="s">
        <v>1802</v>
      </c>
      <c r="F35" s="7" t="e">
        <f>VLOOKUP(C35,'Fast Track '!B:C,2,FALSE)</f>
        <v>#N/A</v>
      </c>
      <c r="G35" s="7" t="s">
        <v>3740</v>
      </c>
      <c r="H35" s="6" t="s">
        <v>1709</v>
      </c>
      <c r="I35" s="6" t="s">
        <v>3041</v>
      </c>
      <c r="J35" s="6" t="s">
        <v>3042</v>
      </c>
      <c r="K35" s="6" t="s">
        <v>1276</v>
      </c>
      <c r="L35" s="37" t="s">
        <v>3644</v>
      </c>
      <c r="M35" t="s">
        <v>3668</v>
      </c>
    </row>
    <row r="36" spans="1:13">
      <c r="A36" s="5">
        <v>35</v>
      </c>
      <c r="B36" s="6" t="s">
        <v>1308</v>
      </c>
      <c r="C36" s="7">
        <v>2022410984</v>
      </c>
      <c r="D36" s="7">
        <v>2201010566</v>
      </c>
      <c r="E36" s="7" t="s">
        <v>1802</v>
      </c>
      <c r="F36" s="7" t="e">
        <f>VLOOKUP(C36,'Fast Track '!B:C,2,FALSE)</f>
        <v>#N/A</v>
      </c>
      <c r="G36" s="7" t="s">
        <v>3741</v>
      </c>
      <c r="H36" s="6" t="s">
        <v>1309</v>
      </c>
      <c r="I36" s="6" t="s">
        <v>3043</v>
      </c>
      <c r="J36" s="6" t="s">
        <v>3044</v>
      </c>
      <c r="K36" s="6" t="s">
        <v>1276</v>
      </c>
      <c r="L36" s="37" t="s">
        <v>3644</v>
      </c>
      <c r="M36" t="s">
        <v>3668</v>
      </c>
    </row>
    <row r="37" spans="1:13">
      <c r="A37" s="5">
        <v>36</v>
      </c>
      <c r="B37" s="6" t="s">
        <v>1732</v>
      </c>
      <c r="C37" s="7">
        <v>2022307000</v>
      </c>
      <c r="D37" s="7">
        <v>2201010589</v>
      </c>
      <c r="E37" s="7" t="s">
        <v>1802</v>
      </c>
      <c r="F37" s="7" t="e">
        <f>VLOOKUP(C37,'Fast Track '!B:C,2,FALSE)</f>
        <v>#N/A</v>
      </c>
      <c r="G37" s="7" t="s">
        <v>3742</v>
      </c>
      <c r="H37" s="6" t="s">
        <v>1733</v>
      </c>
      <c r="I37" s="6" t="s">
        <v>3045</v>
      </c>
      <c r="J37" s="6" t="s">
        <v>3046</v>
      </c>
      <c r="K37" s="6" t="s">
        <v>1276</v>
      </c>
      <c r="L37" s="37" t="s">
        <v>3644</v>
      </c>
      <c r="M37" t="s">
        <v>3668</v>
      </c>
    </row>
    <row r="38" spans="1:13">
      <c r="A38" s="5">
        <v>37</v>
      </c>
      <c r="B38" s="6" t="s">
        <v>1349</v>
      </c>
      <c r="C38" s="7">
        <v>2022553875</v>
      </c>
      <c r="D38" s="7">
        <v>2201010609</v>
      </c>
      <c r="E38" s="7" t="s">
        <v>1802</v>
      </c>
      <c r="F38" s="7" t="e">
        <f>VLOOKUP(C38,'Fast Track '!B:C,2,FALSE)</f>
        <v>#N/A</v>
      </c>
      <c r="G38" s="7" t="s">
        <v>3743</v>
      </c>
      <c r="H38" s="6" t="s">
        <v>1350</v>
      </c>
      <c r="I38" s="6" t="s">
        <v>3047</v>
      </c>
      <c r="J38" s="6" t="s">
        <v>3048</v>
      </c>
      <c r="K38" s="6" t="s">
        <v>1276</v>
      </c>
      <c r="L38" s="37" t="s">
        <v>3644</v>
      </c>
      <c r="M38" t="s">
        <v>3668</v>
      </c>
    </row>
    <row r="39" spans="1:13">
      <c r="A39" s="5">
        <v>38</v>
      </c>
      <c r="B39" s="6" t="s">
        <v>1763</v>
      </c>
      <c r="C39" s="7">
        <v>2022459247</v>
      </c>
      <c r="D39" s="7">
        <v>2201010618</v>
      </c>
      <c r="E39" s="7" t="s">
        <v>1802</v>
      </c>
      <c r="F39" s="7" t="e">
        <f>VLOOKUP(C39,'Fast Track '!B:C,2,FALSE)</f>
        <v>#N/A</v>
      </c>
      <c r="G39" s="7" t="s">
        <v>3744</v>
      </c>
      <c r="H39" s="6" t="s">
        <v>1764</v>
      </c>
      <c r="I39" s="6" t="s">
        <v>3049</v>
      </c>
      <c r="J39" s="6" t="s">
        <v>3050</v>
      </c>
      <c r="K39" s="6" t="s">
        <v>1276</v>
      </c>
      <c r="L39" s="37" t="s">
        <v>3644</v>
      </c>
      <c r="M39" t="s">
        <v>3668</v>
      </c>
    </row>
    <row r="40" spans="1:13">
      <c r="A40" s="5">
        <v>39</v>
      </c>
      <c r="B40" s="6" t="s">
        <v>1368</v>
      </c>
      <c r="C40" s="7">
        <v>2022465132</v>
      </c>
      <c r="D40" s="7">
        <v>2201010649</v>
      </c>
      <c r="E40" s="7" t="s">
        <v>1802</v>
      </c>
      <c r="F40" s="7" t="e">
        <f>VLOOKUP(C40,'Fast Track '!B:C,2,FALSE)</f>
        <v>#N/A</v>
      </c>
      <c r="G40" s="7" t="s">
        <v>3745</v>
      </c>
      <c r="H40" s="6" t="s">
        <v>1369</v>
      </c>
      <c r="I40" s="6" t="s">
        <v>3051</v>
      </c>
      <c r="J40" s="6" t="s">
        <v>3052</v>
      </c>
      <c r="K40" s="6" t="s">
        <v>1276</v>
      </c>
      <c r="L40" s="37" t="s">
        <v>3644</v>
      </c>
      <c r="M40" t="s">
        <v>3668</v>
      </c>
    </row>
    <row r="41" spans="1:13">
      <c r="A41" s="5">
        <v>40</v>
      </c>
      <c r="B41" s="6" t="s">
        <v>1330</v>
      </c>
      <c r="C41" s="7">
        <v>2022513718</v>
      </c>
      <c r="D41" s="7">
        <v>2201010696</v>
      </c>
      <c r="E41" s="7" t="s">
        <v>1802</v>
      </c>
      <c r="F41" s="7" t="e">
        <f>VLOOKUP(C41,'Fast Track '!B:C,2,FALSE)</f>
        <v>#N/A</v>
      </c>
      <c r="G41" s="7" t="s">
        <v>3746</v>
      </c>
      <c r="H41" s="6" t="s">
        <v>1331</v>
      </c>
      <c r="I41" s="6" t="s">
        <v>3053</v>
      </c>
      <c r="J41" s="6" t="s">
        <v>3054</v>
      </c>
      <c r="K41" s="6" t="s">
        <v>1276</v>
      </c>
      <c r="L41" s="37" t="s">
        <v>3644</v>
      </c>
      <c r="M41" t="s">
        <v>3668</v>
      </c>
    </row>
    <row r="42" spans="1:13">
      <c r="A42" s="5">
        <v>41</v>
      </c>
      <c r="B42" s="6" t="s">
        <v>1334</v>
      </c>
      <c r="C42" s="7">
        <v>2022518889</v>
      </c>
      <c r="D42" s="7">
        <v>2201010697</v>
      </c>
      <c r="E42" s="7" t="s">
        <v>1802</v>
      </c>
      <c r="F42" s="7" t="e">
        <f>VLOOKUP(C42,'Fast Track '!B:C,2,FALSE)</f>
        <v>#N/A</v>
      </c>
      <c r="G42" s="7" t="s">
        <v>3747</v>
      </c>
      <c r="H42" s="6" t="s">
        <v>1335</v>
      </c>
      <c r="I42" s="6" t="s">
        <v>3055</v>
      </c>
      <c r="J42" s="6" t="s">
        <v>3056</v>
      </c>
      <c r="K42" s="6" t="s">
        <v>1276</v>
      </c>
      <c r="L42" s="37" t="s">
        <v>3644</v>
      </c>
      <c r="M42" t="s">
        <v>3668</v>
      </c>
    </row>
    <row r="43" spans="1:13">
      <c r="A43" s="5">
        <v>42</v>
      </c>
      <c r="B43" s="6" t="s">
        <v>1696</v>
      </c>
      <c r="C43" s="7">
        <v>2022003733</v>
      </c>
      <c r="D43" s="7">
        <v>2201010708</v>
      </c>
      <c r="E43" s="7" t="s">
        <v>1802</v>
      </c>
      <c r="F43" s="7" t="e">
        <f>VLOOKUP(C43,'Fast Track '!B:C,2,FALSE)</f>
        <v>#N/A</v>
      </c>
      <c r="G43" s="7" t="s">
        <v>3748</v>
      </c>
      <c r="H43" s="6" t="s">
        <v>1697</v>
      </c>
      <c r="I43" s="6" t="s">
        <v>3057</v>
      </c>
      <c r="J43" s="6" t="s">
        <v>3058</v>
      </c>
      <c r="K43" s="6" t="s">
        <v>1276</v>
      </c>
      <c r="L43" s="37" t="s">
        <v>3644</v>
      </c>
      <c r="M43" t="s">
        <v>3668</v>
      </c>
    </row>
    <row r="44" spans="1:13">
      <c r="A44" s="5">
        <v>43</v>
      </c>
      <c r="B44" s="6" t="s">
        <v>1299</v>
      </c>
      <c r="C44" s="7">
        <v>2022335852</v>
      </c>
      <c r="D44" s="7">
        <v>2201010739</v>
      </c>
      <c r="E44" s="7" t="s">
        <v>1802</v>
      </c>
      <c r="F44" s="7" t="e">
        <f>VLOOKUP(C44,'Fast Track '!B:C,2,FALSE)</f>
        <v>#N/A</v>
      </c>
      <c r="G44" s="7" t="s">
        <v>3749</v>
      </c>
      <c r="H44" s="6" t="s">
        <v>1300</v>
      </c>
      <c r="I44" s="6" t="s">
        <v>3059</v>
      </c>
      <c r="J44" s="6" t="s">
        <v>3060</v>
      </c>
      <c r="K44" s="6" t="s">
        <v>1276</v>
      </c>
      <c r="L44" s="37" t="s">
        <v>3644</v>
      </c>
      <c r="M44" t="s">
        <v>3668</v>
      </c>
    </row>
    <row r="45" spans="1:13">
      <c r="A45" s="5">
        <v>44</v>
      </c>
      <c r="B45" s="6" t="s">
        <v>1698</v>
      </c>
      <c r="C45" s="7">
        <v>2022005013</v>
      </c>
      <c r="D45" s="7">
        <v>2201010742</v>
      </c>
      <c r="E45" s="7" t="s">
        <v>1802</v>
      </c>
      <c r="F45" s="7" t="e">
        <f>VLOOKUP(C45,'Fast Track '!B:C,2,FALSE)</f>
        <v>#N/A</v>
      </c>
      <c r="G45" s="7" t="s">
        <v>3750</v>
      </c>
      <c r="H45" s="6" t="s">
        <v>1699</v>
      </c>
      <c r="I45" s="6" t="s">
        <v>3061</v>
      </c>
      <c r="J45" s="6" t="s">
        <v>3062</v>
      </c>
      <c r="K45" s="6" t="s">
        <v>1276</v>
      </c>
      <c r="L45" s="37" t="s">
        <v>3644</v>
      </c>
      <c r="M45" t="s">
        <v>3668</v>
      </c>
    </row>
    <row r="46" spans="1:13">
      <c r="A46" s="5">
        <v>45</v>
      </c>
      <c r="B46" s="6" t="s">
        <v>1336</v>
      </c>
      <c r="C46" s="7">
        <v>2022520199</v>
      </c>
      <c r="D46" s="7">
        <v>2201010744</v>
      </c>
      <c r="E46" s="7" t="s">
        <v>1802</v>
      </c>
      <c r="F46" s="7" t="e">
        <f>VLOOKUP(C46,'Fast Track '!B:C,2,FALSE)</f>
        <v>#N/A</v>
      </c>
      <c r="G46" s="7" t="s">
        <v>3751</v>
      </c>
      <c r="H46" s="6" t="s">
        <v>1337</v>
      </c>
      <c r="I46" s="6" t="s">
        <v>3063</v>
      </c>
      <c r="J46" s="6" t="s">
        <v>3064</v>
      </c>
      <c r="K46" s="6" t="s">
        <v>1276</v>
      </c>
      <c r="L46" s="37" t="s">
        <v>3644</v>
      </c>
      <c r="M46" t="s">
        <v>3668</v>
      </c>
    </row>
    <row r="47" spans="1:13">
      <c r="A47" s="5">
        <v>46</v>
      </c>
      <c r="B47" s="6" t="s">
        <v>1314</v>
      </c>
      <c r="C47" s="7">
        <v>2022421811</v>
      </c>
      <c r="D47" s="7">
        <v>2201010758</v>
      </c>
      <c r="E47" s="7" t="s">
        <v>1802</v>
      </c>
      <c r="F47" s="7" t="e">
        <f>VLOOKUP(C47,'Fast Track '!B:C,2,FALSE)</f>
        <v>#N/A</v>
      </c>
      <c r="G47" s="7" t="s">
        <v>3752</v>
      </c>
      <c r="H47" s="6" t="s">
        <v>1315</v>
      </c>
      <c r="I47" s="6" t="s">
        <v>3067</v>
      </c>
      <c r="J47" s="6" t="s">
        <v>3068</v>
      </c>
      <c r="K47" s="6" t="s">
        <v>1276</v>
      </c>
      <c r="L47" s="37" t="s">
        <v>3644</v>
      </c>
      <c r="M47" t="s">
        <v>3668</v>
      </c>
    </row>
    <row r="48" spans="1:13">
      <c r="A48" s="5">
        <v>47</v>
      </c>
      <c r="B48" s="6" t="s">
        <v>1303</v>
      </c>
      <c r="C48" s="7">
        <v>2022374380</v>
      </c>
      <c r="D48" s="7">
        <v>2201010768</v>
      </c>
      <c r="E48" s="7" t="s">
        <v>1802</v>
      </c>
      <c r="F48" s="7" t="e">
        <f>VLOOKUP(C48,'Fast Track '!B:C,2,FALSE)</f>
        <v>#N/A</v>
      </c>
      <c r="G48" s="7" t="s">
        <v>3753</v>
      </c>
      <c r="H48" s="6" t="s">
        <v>1304</v>
      </c>
      <c r="I48" s="6" t="s">
        <v>3071</v>
      </c>
      <c r="J48" s="6" t="s">
        <v>3072</v>
      </c>
      <c r="K48" s="6" t="s">
        <v>1276</v>
      </c>
      <c r="L48" s="37" t="s">
        <v>3644</v>
      </c>
      <c r="M48" t="s">
        <v>3668</v>
      </c>
    </row>
    <row r="49" spans="1:13">
      <c r="A49" s="5">
        <v>48</v>
      </c>
      <c r="B49" s="6" t="s">
        <v>1322</v>
      </c>
      <c r="C49" s="7">
        <v>2022495156</v>
      </c>
      <c r="D49" s="7">
        <v>2201010775</v>
      </c>
      <c r="E49" s="7" t="s">
        <v>1802</v>
      </c>
      <c r="F49" s="7" t="e">
        <f>VLOOKUP(C49,'Fast Track '!B:C,2,FALSE)</f>
        <v>#N/A</v>
      </c>
      <c r="G49" s="7" t="s">
        <v>3754</v>
      </c>
      <c r="H49" s="6" t="s">
        <v>1323</v>
      </c>
      <c r="I49" s="6" t="s">
        <v>3073</v>
      </c>
      <c r="J49" s="6" t="s">
        <v>3074</v>
      </c>
      <c r="K49" s="6" t="s">
        <v>1276</v>
      </c>
      <c r="L49" s="37" t="s">
        <v>3644</v>
      </c>
      <c r="M49" t="s">
        <v>3668</v>
      </c>
    </row>
    <row r="50" spans="1:13">
      <c r="A50" s="5">
        <v>49</v>
      </c>
      <c r="B50" s="6" t="s">
        <v>1795</v>
      </c>
      <c r="C50" s="7">
        <v>2022006597</v>
      </c>
      <c r="D50" s="7">
        <v>2201010802</v>
      </c>
      <c r="E50" s="7" t="s">
        <v>1802</v>
      </c>
      <c r="F50" s="7" t="e">
        <f>VLOOKUP(C50,'Fast Track '!B:C,2,FALSE)</f>
        <v>#N/A</v>
      </c>
      <c r="G50" s="7" t="s">
        <v>3755</v>
      </c>
      <c r="H50" s="6" t="s">
        <v>1796</v>
      </c>
      <c r="I50" s="6" t="s">
        <v>3075</v>
      </c>
      <c r="J50" s="6" t="s">
        <v>3076</v>
      </c>
      <c r="K50" s="6" t="s">
        <v>1276</v>
      </c>
      <c r="L50" s="37" t="s">
        <v>3644</v>
      </c>
      <c r="M50" t="s">
        <v>3668</v>
      </c>
    </row>
    <row r="51" spans="1:13">
      <c r="A51" s="5">
        <v>50</v>
      </c>
      <c r="B51" s="6" t="s">
        <v>1774</v>
      </c>
      <c r="C51" s="7">
        <v>2022518973</v>
      </c>
      <c r="D51" s="7">
        <v>2201010814</v>
      </c>
      <c r="E51" s="7" t="s">
        <v>1802</v>
      </c>
      <c r="F51" s="7" t="e">
        <f>VLOOKUP(C51,'Fast Track '!B:C,2,FALSE)</f>
        <v>#N/A</v>
      </c>
      <c r="G51" s="7" t="s">
        <v>3756</v>
      </c>
      <c r="H51" s="6" t="s">
        <v>1775</v>
      </c>
      <c r="I51" s="6" t="s">
        <v>3077</v>
      </c>
      <c r="J51" s="6" t="s">
        <v>3078</v>
      </c>
      <c r="K51" s="6" t="s">
        <v>1276</v>
      </c>
      <c r="L51" s="37" t="s">
        <v>3644</v>
      </c>
      <c r="M51" t="s">
        <v>3668</v>
      </c>
    </row>
    <row r="52" spans="1:13">
      <c r="A52" s="5">
        <v>51</v>
      </c>
      <c r="B52" s="6" t="s">
        <v>1320</v>
      </c>
      <c r="C52" s="7">
        <v>2022490281</v>
      </c>
      <c r="D52" s="7">
        <v>2201010824</v>
      </c>
      <c r="E52" s="7" t="s">
        <v>1802</v>
      </c>
      <c r="F52" s="7" t="e">
        <f>VLOOKUP(C52,'Fast Track '!B:C,2,FALSE)</f>
        <v>#N/A</v>
      </c>
      <c r="G52" s="7" t="s">
        <v>3757</v>
      </c>
      <c r="H52" s="6" t="s">
        <v>1321</v>
      </c>
      <c r="I52" s="6" t="s">
        <v>3079</v>
      </c>
      <c r="J52" s="6" t="s">
        <v>3080</v>
      </c>
      <c r="K52" s="6" t="s">
        <v>1276</v>
      </c>
      <c r="L52" s="37" t="s">
        <v>3644</v>
      </c>
      <c r="M52" t="s">
        <v>3668</v>
      </c>
    </row>
    <row r="53" spans="1:13">
      <c r="A53" s="5">
        <v>52</v>
      </c>
      <c r="B53" s="6" t="s">
        <v>1710</v>
      </c>
      <c r="C53" s="7">
        <v>2022006563</v>
      </c>
      <c r="D53" s="7">
        <v>2201010942</v>
      </c>
      <c r="E53" s="7" t="s">
        <v>1802</v>
      </c>
      <c r="F53" s="7" t="e">
        <f>VLOOKUP(C53,'Fast Track '!B:C,2,FALSE)</f>
        <v>#N/A</v>
      </c>
      <c r="G53" s="7" t="s">
        <v>3758</v>
      </c>
      <c r="H53" s="6" t="s">
        <v>1711</v>
      </c>
      <c r="I53" s="6" t="s">
        <v>3081</v>
      </c>
      <c r="J53" s="6" t="s">
        <v>3082</v>
      </c>
      <c r="K53" s="6" t="s">
        <v>1276</v>
      </c>
      <c r="L53" s="37" t="s">
        <v>3644</v>
      </c>
      <c r="M53" t="s">
        <v>3668</v>
      </c>
    </row>
    <row r="54" spans="1:13">
      <c r="A54" s="5">
        <v>53</v>
      </c>
      <c r="B54" s="6" t="s">
        <v>1714</v>
      </c>
      <c r="C54" s="7">
        <v>2022006893</v>
      </c>
      <c r="D54" s="7">
        <v>2201010943</v>
      </c>
      <c r="E54" s="7" t="s">
        <v>1802</v>
      </c>
      <c r="F54" s="7" t="e">
        <f>VLOOKUP(C54,'Fast Track '!B:C,2,FALSE)</f>
        <v>#N/A</v>
      </c>
      <c r="G54" s="7" t="s">
        <v>3759</v>
      </c>
      <c r="H54" s="6" t="s">
        <v>1715</v>
      </c>
      <c r="I54" s="6" t="s">
        <v>3083</v>
      </c>
      <c r="J54" s="6" t="s">
        <v>3084</v>
      </c>
      <c r="K54" s="6" t="s">
        <v>1276</v>
      </c>
      <c r="L54" s="37" t="s">
        <v>3644</v>
      </c>
      <c r="M54" t="s">
        <v>3668</v>
      </c>
    </row>
    <row r="55" spans="1:13">
      <c r="A55" s="5">
        <v>54</v>
      </c>
      <c r="B55" s="6" t="s">
        <v>1720</v>
      </c>
      <c r="C55" s="7">
        <v>2022007789</v>
      </c>
      <c r="D55" s="7">
        <v>2201010945</v>
      </c>
      <c r="E55" s="7" t="s">
        <v>1802</v>
      </c>
      <c r="F55" s="7" t="str">
        <f>VLOOKUP(C55,'Fast Track '!B:C,2,FALSE)</f>
        <v xml:space="preserve">Fasttrack </v>
      </c>
      <c r="G55" s="7" t="s">
        <v>3760</v>
      </c>
      <c r="H55" s="6" t="s">
        <v>1721</v>
      </c>
      <c r="I55" s="6" t="s">
        <v>3085</v>
      </c>
      <c r="J55" s="6" t="s">
        <v>3086</v>
      </c>
      <c r="K55" s="6" t="s">
        <v>1276</v>
      </c>
      <c r="L55" s="37" t="s">
        <v>3644</v>
      </c>
      <c r="M55" t="s">
        <v>3668</v>
      </c>
    </row>
    <row r="56" spans="1:13">
      <c r="A56" s="5">
        <v>55</v>
      </c>
      <c r="B56" s="6" t="s">
        <v>1780</v>
      </c>
      <c r="C56" s="7">
        <v>2022565521</v>
      </c>
      <c r="D56" s="7">
        <v>2201010948</v>
      </c>
      <c r="E56" s="7" t="s">
        <v>1802</v>
      </c>
      <c r="F56" s="7" t="e">
        <f>VLOOKUP(C56,'Fast Track '!B:C,2,FALSE)</f>
        <v>#N/A</v>
      </c>
      <c r="G56" s="7" t="s">
        <v>3761</v>
      </c>
      <c r="H56" s="6" t="s">
        <v>1781</v>
      </c>
      <c r="I56" s="6" t="s">
        <v>3087</v>
      </c>
      <c r="J56" s="6" t="s">
        <v>3088</v>
      </c>
      <c r="K56" s="6" t="s">
        <v>1276</v>
      </c>
      <c r="L56" s="37" t="s">
        <v>3644</v>
      </c>
      <c r="M56" t="s">
        <v>3668</v>
      </c>
    </row>
    <row r="57" spans="1:13">
      <c r="A57" s="5">
        <v>56</v>
      </c>
      <c r="B57" s="6" t="s">
        <v>1782</v>
      </c>
      <c r="C57" s="7">
        <v>2022573142</v>
      </c>
      <c r="D57" s="7">
        <v>2201010949</v>
      </c>
      <c r="E57" s="7" t="s">
        <v>1802</v>
      </c>
      <c r="F57" s="7" t="e">
        <f>VLOOKUP(C57,'Fast Track '!B:C,2,FALSE)</f>
        <v>#N/A</v>
      </c>
      <c r="G57" s="7" t="s">
        <v>3762</v>
      </c>
      <c r="H57" s="6" t="s">
        <v>1783</v>
      </c>
      <c r="I57" s="6" t="s">
        <v>3089</v>
      </c>
      <c r="J57" s="6" t="s">
        <v>3090</v>
      </c>
      <c r="K57" s="6" t="s">
        <v>1276</v>
      </c>
      <c r="L57" s="37" t="s">
        <v>3644</v>
      </c>
      <c r="M57" t="s">
        <v>3668</v>
      </c>
    </row>
    <row r="58" spans="1:13">
      <c r="A58" s="5">
        <v>57</v>
      </c>
      <c r="B58" s="6" t="s">
        <v>1784</v>
      </c>
      <c r="C58" s="7">
        <v>2022586591</v>
      </c>
      <c r="D58" s="7">
        <v>2201010950</v>
      </c>
      <c r="E58" s="7" t="s">
        <v>1802</v>
      </c>
      <c r="F58" s="7" t="e">
        <f>VLOOKUP(C58,'Fast Track '!B:C,2,FALSE)</f>
        <v>#N/A</v>
      </c>
      <c r="G58" s="7" t="s">
        <v>3763</v>
      </c>
      <c r="H58" s="6" t="s">
        <v>1785</v>
      </c>
      <c r="I58" s="6" t="s">
        <v>3091</v>
      </c>
      <c r="J58" s="6" t="s">
        <v>3092</v>
      </c>
      <c r="K58" s="6" t="s">
        <v>1276</v>
      </c>
      <c r="L58" s="37" t="s">
        <v>3644</v>
      </c>
      <c r="M58" t="s">
        <v>3668</v>
      </c>
    </row>
    <row r="59" spans="1:13">
      <c r="A59" s="5">
        <v>58</v>
      </c>
      <c r="B59" s="6" t="s">
        <v>1359</v>
      </c>
      <c r="C59" s="7">
        <v>2022599098</v>
      </c>
      <c r="D59" s="7">
        <v>2201010951</v>
      </c>
      <c r="E59" s="7" t="s">
        <v>1802</v>
      </c>
      <c r="F59" s="7" t="e">
        <f>VLOOKUP(C59,'Fast Track '!B:C,2,FALSE)</f>
        <v>#N/A</v>
      </c>
      <c r="G59" s="7" t="s">
        <v>3764</v>
      </c>
      <c r="H59" s="6" t="s">
        <v>1360</v>
      </c>
      <c r="I59" s="6" t="s">
        <v>3093</v>
      </c>
      <c r="J59" s="6" t="s">
        <v>3094</v>
      </c>
      <c r="K59" s="6" t="s">
        <v>1276</v>
      </c>
      <c r="L59" s="37" t="s">
        <v>3644</v>
      </c>
      <c r="M59" t="s">
        <v>3668</v>
      </c>
    </row>
    <row r="60" spans="1:13">
      <c r="A60" s="5">
        <v>59</v>
      </c>
      <c r="B60" s="6" t="s">
        <v>1787</v>
      </c>
      <c r="C60" s="7">
        <v>2022618106</v>
      </c>
      <c r="D60" s="7">
        <v>2201010955</v>
      </c>
      <c r="E60" s="7" t="s">
        <v>1802</v>
      </c>
      <c r="F60" s="7" t="e">
        <f>VLOOKUP(C60,'Fast Track '!B:C,2,FALSE)</f>
        <v>#N/A</v>
      </c>
      <c r="G60" s="7" t="s">
        <v>3765</v>
      </c>
      <c r="H60" s="6" t="s">
        <v>1788</v>
      </c>
      <c r="I60" s="6" t="s">
        <v>3099</v>
      </c>
      <c r="J60" s="6" t="s">
        <v>3100</v>
      </c>
      <c r="K60" s="6" t="s">
        <v>1276</v>
      </c>
      <c r="L60" s="37" t="s">
        <v>3644</v>
      </c>
      <c r="M60" t="s">
        <v>3668</v>
      </c>
    </row>
  </sheetData>
  <conditionalFormatting sqref="C1:C60">
    <cfRule type="duplicateValues" dxfId="51" priority="915"/>
  </conditionalFormatting>
  <conditionalFormatting sqref="C1:D60">
    <cfRule type="duplicateValues" dxfId="50" priority="916"/>
    <cfRule type="duplicateValues" dxfId="49" priority="917"/>
  </conditionalFormatting>
  <dataValidations count="1">
    <dataValidation type="list" allowBlank="1" showErrorMessage="1" sqref="L2:L60">
      <formula1>"G1,G2"</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M48"/>
  <sheetViews>
    <sheetView topLeftCell="G1" workbookViewId="0">
      <selection activeCell="G2" sqref="A1:M48"/>
    </sheetView>
  </sheetViews>
  <sheetFormatPr defaultRowHeight="14.5"/>
  <cols>
    <col min="1" max="1" width="5.90625" bestFit="1" customWidth="1"/>
    <col min="2" max="2" width="32.54296875" bestFit="1" customWidth="1"/>
    <col min="3" max="3" width="12.36328125" customWidth="1"/>
    <col min="4" max="4" width="11" bestFit="1" customWidth="1"/>
    <col min="5" max="5" width="19.36328125" bestFit="1" customWidth="1"/>
    <col min="6" max="7" width="19.36328125" customWidth="1"/>
    <col min="8" max="8" width="46.36328125" bestFit="1" customWidth="1"/>
    <col min="9" max="9" width="44.453125" bestFit="1" customWidth="1"/>
    <col min="10" max="10" width="14.54296875" bestFit="1" customWidth="1"/>
    <col min="11" max="11" width="27.6328125" bestFit="1" customWidth="1"/>
    <col min="12" max="12" width="11.54296875" style="38" customWidth="1"/>
  </cols>
  <sheetData>
    <row r="1" spans="1:13" ht="25">
      <c r="A1" s="1" t="s">
        <v>1</v>
      </c>
      <c r="B1" s="1" t="s">
        <v>2</v>
      </c>
      <c r="C1" s="1" t="s">
        <v>3</v>
      </c>
      <c r="D1" s="1" t="s">
        <v>4</v>
      </c>
      <c r="E1" s="1" t="s">
        <v>1817</v>
      </c>
      <c r="F1" s="1"/>
      <c r="G1" s="1"/>
      <c r="H1" s="1" t="s">
        <v>6</v>
      </c>
      <c r="I1" s="1" t="s">
        <v>1819</v>
      </c>
      <c r="J1" s="1" t="s">
        <v>1820</v>
      </c>
      <c r="K1" s="1" t="s">
        <v>7</v>
      </c>
      <c r="L1" s="36" t="s">
        <v>3676</v>
      </c>
      <c r="M1" s="41" t="s">
        <v>3679</v>
      </c>
    </row>
    <row r="2" spans="1:13">
      <c r="A2" s="5">
        <v>1</v>
      </c>
      <c r="B2" s="6" t="s">
        <v>1607</v>
      </c>
      <c r="C2" s="7">
        <v>2022006231</v>
      </c>
      <c r="D2" s="7">
        <v>2201010016</v>
      </c>
      <c r="E2" s="7" t="s">
        <v>1814</v>
      </c>
      <c r="F2" s="7" t="e">
        <f>VLOOKUP(C2,'Fast Track '!B:C,2,FALSE)</f>
        <v>#N/A</v>
      </c>
      <c r="G2" s="7" t="s">
        <v>3707</v>
      </c>
      <c r="H2" s="6" t="s">
        <v>1608</v>
      </c>
      <c r="I2" s="6" t="s">
        <v>3521</v>
      </c>
      <c r="J2" s="6" t="s">
        <v>3522</v>
      </c>
      <c r="K2" s="35" t="s">
        <v>131</v>
      </c>
      <c r="L2" s="37" t="s">
        <v>3645</v>
      </c>
      <c r="M2" t="s">
        <v>3671</v>
      </c>
    </row>
    <row r="3" spans="1:13">
      <c r="A3" s="5">
        <v>2</v>
      </c>
      <c r="B3" s="6" t="s">
        <v>1629</v>
      </c>
      <c r="C3" s="7">
        <v>2022405514</v>
      </c>
      <c r="D3" s="7">
        <v>2201010031</v>
      </c>
      <c r="E3" s="7" t="s">
        <v>1814</v>
      </c>
      <c r="F3" s="7" t="e">
        <f>VLOOKUP(C3,'Fast Track '!B:C,2,FALSE)</f>
        <v>#N/A</v>
      </c>
      <c r="G3" s="7" t="s">
        <v>3708</v>
      </c>
      <c r="H3" s="6" t="s">
        <v>1630</v>
      </c>
      <c r="I3" s="6" t="s">
        <v>3525</v>
      </c>
      <c r="J3" s="6" t="s">
        <v>3526</v>
      </c>
      <c r="K3" s="35" t="s">
        <v>131</v>
      </c>
      <c r="L3" s="37" t="s">
        <v>3645</v>
      </c>
      <c r="M3" t="s">
        <v>3671</v>
      </c>
    </row>
    <row r="4" spans="1:13">
      <c r="A4" s="5">
        <v>3</v>
      </c>
      <c r="B4" s="6" t="s">
        <v>1617</v>
      </c>
      <c r="C4" s="7">
        <v>2022310618</v>
      </c>
      <c r="D4" s="7">
        <v>2201010037</v>
      </c>
      <c r="E4" s="7" t="s">
        <v>1814</v>
      </c>
      <c r="F4" s="7" t="e">
        <f>VLOOKUP(C4,'Fast Track '!B:C,2,FALSE)</f>
        <v>#N/A</v>
      </c>
      <c r="G4" s="7" t="s">
        <v>3709</v>
      </c>
      <c r="H4" s="6" t="s">
        <v>1618</v>
      </c>
      <c r="I4" s="6" t="s">
        <v>3527</v>
      </c>
      <c r="J4" s="6" t="s">
        <v>3528</v>
      </c>
      <c r="K4" s="35" t="s">
        <v>131</v>
      </c>
      <c r="L4" s="37" t="s">
        <v>3645</v>
      </c>
      <c r="M4" t="s">
        <v>3671</v>
      </c>
    </row>
    <row r="5" spans="1:13">
      <c r="A5" s="5">
        <v>4</v>
      </c>
      <c r="B5" s="6" t="s">
        <v>1651</v>
      </c>
      <c r="C5" s="7">
        <v>2022484226</v>
      </c>
      <c r="D5" s="7">
        <v>2201010040</v>
      </c>
      <c r="E5" s="7" t="s">
        <v>1814</v>
      </c>
      <c r="F5" s="7" t="e">
        <f>VLOOKUP(C5,'Fast Track '!B:C,2,FALSE)</f>
        <v>#N/A</v>
      </c>
      <c r="G5" s="7" t="s">
        <v>3710</v>
      </c>
      <c r="H5" s="6" t="s">
        <v>1652</v>
      </c>
      <c r="I5" s="6" t="s">
        <v>3529</v>
      </c>
      <c r="J5" s="6" t="s">
        <v>3530</v>
      </c>
      <c r="K5" s="35" t="s">
        <v>131</v>
      </c>
      <c r="L5" s="37" t="s">
        <v>3645</v>
      </c>
      <c r="M5" t="s">
        <v>3671</v>
      </c>
    </row>
    <row r="6" spans="1:13">
      <c r="A6" s="5">
        <v>5</v>
      </c>
      <c r="B6" s="6" t="s">
        <v>1645</v>
      </c>
      <c r="C6" s="7">
        <v>2022474671</v>
      </c>
      <c r="D6" s="7">
        <v>2201010057</v>
      </c>
      <c r="E6" s="7" t="s">
        <v>1814</v>
      </c>
      <c r="F6" s="7" t="e">
        <f>VLOOKUP(C6,'Fast Track '!B:C,2,FALSE)</f>
        <v>#N/A</v>
      </c>
      <c r="G6" s="7" t="s">
        <v>3711</v>
      </c>
      <c r="H6" s="6" t="s">
        <v>1646</v>
      </c>
      <c r="I6" s="6" t="s">
        <v>3531</v>
      </c>
      <c r="J6" s="6" t="s">
        <v>3532</v>
      </c>
      <c r="K6" s="35" t="s">
        <v>131</v>
      </c>
      <c r="L6" s="37" t="s">
        <v>3645</v>
      </c>
      <c r="M6" t="s">
        <v>3671</v>
      </c>
    </row>
    <row r="7" spans="1:13">
      <c r="A7" s="5">
        <v>6</v>
      </c>
      <c r="B7" s="6" t="s">
        <v>1637</v>
      </c>
      <c r="C7" s="7">
        <v>2022447404</v>
      </c>
      <c r="D7" s="7">
        <v>2201010072</v>
      </c>
      <c r="E7" s="7" t="s">
        <v>1814</v>
      </c>
      <c r="F7" s="7" t="e">
        <f>VLOOKUP(C7,'Fast Track '!B:C,2,FALSE)</f>
        <v>#N/A</v>
      </c>
      <c r="G7" s="7" t="s">
        <v>3712</v>
      </c>
      <c r="H7" s="6" t="s">
        <v>1638</v>
      </c>
      <c r="I7" s="6" t="s">
        <v>3533</v>
      </c>
      <c r="J7" s="6" t="s">
        <v>3534</v>
      </c>
      <c r="K7" s="35" t="s">
        <v>131</v>
      </c>
      <c r="L7" s="37" t="s">
        <v>3645</v>
      </c>
      <c r="M7" t="s">
        <v>3671</v>
      </c>
    </row>
    <row r="8" spans="1:13">
      <c r="A8" s="5">
        <v>7</v>
      </c>
      <c r="B8" s="6" t="s">
        <v>1641</v>
      </c>
      <c r="C8" s="7">
        <v>2022466374</v>
      </c>
      <c r="D8" s="7">
        <v>2201010142</v>
      </c>
      <c r="E8" s="7" t="s">
        <v>1814</v>
      </c>
      <c r="F8" s="7" t="e">
        <f>VLOOKUP(C8,'Fast Track '!B:C,2,FALSE)</f>
        <v>#N/A</v>
      </c>
      <c r="G8" s="7" t="s">
        <v>3713</v>
      </c>
      <c r="H8" s="6" t="s">
        <v>1642</v>
      </c>
      <c r="I8" s="6" t="s">
        <v>3535</v>
      </c>
      <c r="J8" s="6" t="s">
        <v>3536</v>
      </c>
      <c r="K8" s="35" t="s">
        <v>131</v>
      </c>
      <c r="L8" s="37" t="s">
        <v>3645</v>
      </c>
      <c r="M8" t="s">
        <v>3671</v>
      </c>
    </row>
    <row r="9" spans="1:13">
      <c r="A9" s="5">
        <v>8</v>
      </c>
      <c r="B9" s="6" t="s">
        <v>1635</v>
      </c>
      <c r="C9" s="7">
        <v>2022440656</v>
      </c>
      <c r="D9" s="7">
        <v>2201010143</v>
      </c>
      <c r="E9" s="7" t="s">
        <v>1814</v>
      </c>
      <c r="F9" s="7" t="e">
        <f>VLOOKUP(C9,'Fast Track '!B:C,2,FALSE)</f>
        <v>#N/A</v>
      </c>
      <c r="G9" s="7" t="s">
        <v>3714</v>
      </c>
      <c r="H9" s="6" t="s">
        <v>1636</v>
      </c>
      <c r="I9" s="6" t="s">
        <v>3537</v>
      </c>
      <c r="J9" s="6" t="s">
        <v>3538</v>
      </c>
      <c r="K9" s="35" t="s">
        <v>131</v>
      </c>
      <c r="L9" s="37" t="s">
        <v>3645</v>
      </c>
      <c r="M9" t="s">
        <v>3671</v>
      </c>
    </row>
    <row r="10" spans="1:13">
      <c r="A10" s="5">
        <v>9</v>
      </c>
      <c r="B10" s="6" t="s">
        <v>1379</v>
      </c>
      <c r="C10" s="7">
        <v>2022005319</v>
      </c>
      <c r="D10" s="7">
        <v>2201010173</v>
      </c>
      <c r="E10" s="7" t="s">
        <v>1814</v>
      </c>
      <c r="F10" s="7" t="e">
        <f>VLOOKUP(C10,'Fast Track '!B:C,2,FALSE)</f>
        <v>#N/A</v>
      </c>
      <c r="G10" s="7" t="s">
        <v>3715</v>
      </c>
      <c r="H10" s="6" t="s">
        <v>1602</v>
      </c>
      <c r="I10" s="6" t="s">
        <v>3539</v>
      </c>
      <c r="J10" s="6" t="s">
        <v>3540</v>
      </c>
      <c r="K10" s="35" t="s">
        <v>131</v>
      </c>
      <c r="L10" s="37" t="s">
        <v>3645</v>
      </c>
      <c r="M10" t="s">
        <v>3671</v>
      </c>
    </row>
    <row r="11" spans="1:13">
      <c r="A11" s="5">
        <v>10</v>
      </c>
      <c r="B11" s="6" t="s">
        <v>1598</v>
      </c>
      <c r="C11" s="7">
        <v>2022003898</v>
      </c>
      <c r="D11" s="7">
        <v>2201010198</v>
      </c>
      <c r="E11" s="7" t="s">
        <v>1814</v>
      </c>
      <c r="F11" s="7" t="e">
        <f>VLOOKUP(C11,'Fast Track '!B:C,2,FALSE)</f>
        <v>#N/A</v>
      </c>
      <c r="G11" s="7" t="s">
        <v>3716</v>
      </c>
      <c r="H11" s="6" t="s">
        <v>1599</v>
      </c>
      <c r="I11" s="6" t="s">
        <v>3541</v>
      </c>
      <c r="J11" s="6" t="s">
        <v>3542</v>
      </c>
      <c r="K11" s="35" t="s">
        <v>131</v>
      </c>
      <c r="L11" s="37" t="s">
        <v>3645</v>
      </c>
      <c r="M11" t="s">
        <v>3671</v>
      </c>
    </row>
    <row r="12" spans="1:13">
      <c r="A12" s="5">
        <v>11</v>
      </c>
      <c r="B12" s="6" t="s">
        <v>1663</v>
      </c>
      <c r="C12" s="7">
        <v>2022512685</v>
      </c>
      <c r="D12" s="7">
        <v>2201010230</v>
      </c>
      <c r="E12" s="7" t="s">
        <v>1814</v>
      </c>
      <c r="F12" s="7" t="e">
        <f>VLOOKUP(C12,'Fast Track '!B:C,2,FALSE)</f>
        <v>#N/A</v>
      </c>
      <c r="G12" s="7" t="s">
        <v>3717</v>
      </c>
      <c r="H12" s="6" t="s">
        <v>1664</v>
      </c>
      <c r="I12" s="6" t="s">
        <v>3543</v>
      </c>
      <c r="J12" s="6" t="s">
        <v>3544</v>
      </c>
      <c r="K12" s="35" t="s">
        <v>131</v>
      </c>
      <c r="L12" s="37" t="s">
        <v>3645</v>
      </c>
      <c r="M12" t="s">
        <v>3671</v>
      </c>
    </row>
    <row r="13" spans="1:13">
      <c r="A13" s="5">
        <v>12</v>
      </c>
      <c r="B13" s="6" t="s">
        <v>1631</v>
      </c>
      <c r="C13" s="7">
        <v>2022407190</v>
      </c>
      <c r="D13" s="7">
        <v>2201010232</v>
      </c>
      <c r="E13" s="7" t="s">
        <v>1814</v>
      </c>
      <c r="F13" s="7" t="e">
        <f>VLOOKUP(C13,'Fast Track '!B:C,2,FALSE)</f>
        <v>#N/A</v>
      </c>
      <c r="G13" s="7" t="s">
        <v>3718</v>
      </c>
      <c r="H13" s="6" t="s">
        <v>1632</v>
      </c>
      <c r="I13" s="6" t="s">
        <v>3545</v>
      </c>
      <c r="J13" s="6" t="s">
        <v>3546</v>
      </c>
      <c r="K13" s="35" t="s">
        <v>131</v>
      </c>
      <c r="L13" s="37" t="s">
        <v>3645</v>
      </c>
      <c r="M13" t="s">
        <v>3671</v>
      </c>
    </row>
    <row r="14" spans="1:13">
      <c r="A14" s="5">
        <v>13</v>
      </c>
      <c r="B14" s="6" t="s">
        <v>129</v>
      </c>
      <c r="C14" s="7">
        <v>2022498160</v>
      </c>
      <c r="D14" s="7">
        <v>2201010240</v>
      </c>
      <c r="E14" s="7" t="s">
        <v>1814</v>
      </c>
      <c r="F14" s="7" t="e">
        <f>VLOOKUP(C14,'Fast Track '!B:C,2,FALSE)</f>
        <v>#N/A</v>
      </c>
      <c r="G14" s="7" t="s">
        <v>3719</v>
      </c>
      <c r="H14" s="6" t="s">
        <v>130</v>
      </c>
      <c r="I14" s="6" t="s">
        <v>3547</v>
      </c>
      <c r="J14" s="6" t="s">
        <v>3548</v>
      </c>
      <c r="K14" s="35" t="s">
        <v>131</v>
      </c>
      <c r="L14" s="37" t="s">
        <v>3645</v>
      </c>
      <c r="M14" t="s">
        <v>3671</v>
      </c>
    </row>
    <row r="15" spans="1:13">
      <c r="A15" s="5">
        <v>14</v>
      </c>
      <c r="B15" s="6" t="s">
        <v>895</v>
      </c>
      <c r="C15" s="7">
        <v>2022319788</v>
      </c>
      <c r="D15" s="7">
        <v>2201010248</v>
      </c>
      <c r="E15" s="7" t="s">
        <v>1814</v>
      </c>
      <c r="F15" s="7" t="e">
        <f>VLOOKUP(C15,'Fast Track '!B:C,2,FALSE)</f>
        <v>#N/A</v>
      </c>
      <c r="G15" s="7" t="s">
        <v>3720</v>
      </c>
      <c r="H15" s="6" t="s">
        <v>896</v>
      </c>
      <c r="I15" s="6" t="s">
        <v>3549</v>
      </c>
      <c r="J15" s="6" t="s">
        <v>3550</v>
      </c>
      <c r="K15" s="35" t="s">
        <v>131</v>
      </c>
      <c r="L15" s="37" t="s">
        <v>3645</v>
      </c>
      <c r="M15" t="s">
        <v>3671</v>
      </c>
    </row>
    <row r="16" spans="1:13">
      <c r="A16" s="5">
        <v>15</v>
      </c>
      <c r="B16" s="6" t="s">
        <v>1627</v>
      </c>
      <c r="C16" s="7">
        <v>2022395985</v>
      </c>
      <c r="D16" s="7">
        <v>2201010258</v>
      </c>
      <c r="E16" s="7" t="s">
        <v>1814</v>
      </c>
      <c r="F16" s="7" t="e">
        <f>VLOOKUP(C16,'Fast Track '!B:C,2,FALSE)</f>
        <v>#N/A</v>
      </c>
      <c r="G16" s="7" t="s">
        <v>3721</v>
      </c>
      <c r="H16" s="6" t="s">
        <v>1628</v>
      </c>
      <c r="I16" s="6" t="s">
        <v>3551</v>
      </c>
      <c r="J16" s="6" t="s">
        <v>3552</v>
      </c>
      <c r="K16" s="35" t="s">
        <v>131</v>
      </c>
      <c r="L16" s="37" t="s">
        <v>3645</v>
      </c>
      <c r="M16" t="s">
        <v>3671</v>
      </c>
    </row>
    <row r="17" spans="1:13">
      <c r="A17" s="5">
        <v>16</v>
      </c>
      <c r="B17" s="6" t="s">
        <v>1667</v>
      </c>
      <c r="C17" s="7">
        <v>2022552126</v>
      </c>
      <c r="D17" s="7">
        <v>2201010260</v>
      </c>
      <c r="E17" s="7" t="s">
        <v>1814</v>
      </c>
      <c r="F17" s="7" t="e">
        <f>VLOOKUP(C17,'Fast Track '!B:C,2,FALSE)</f>
        <v>#N/A</v>
      </c>
      <c r="G17" s="7" t="s">
        <v>3722</v>
      </c>
      <c r="H17" s="6" t="s">
        <v>1668</v>
      </c>
      <c r="I17" s="6" t="s">
        <v>3553</v>
      </c>
      <c r="J17" s="6" t="s">
        <v>3554</v>
      </c>
      <c r="K17" s="35" t="s">
        <v>131</v>
      </c>
      <c r="L17" s="37" t="s">
        <v>3645</v>
      </c>
      <c r="M17" t="s">
        <v>3671</v>
      </c>
    </row>
    <row r="18" spans="1:13">
      <c r="A18" s="5">
        <v>17</v>
      </c>
      <c r="B18" s="6" t="s">
        <v>1657</v>
      </c>
      <c r="C18" s="7">
        <v>2022508051</v>
      </c>
      <c r="D18" s="7">
        <v>2201010301</v>
      </c>
      <c r="E18" s="7" t="s">
        <v>1814</v>
      </c>
      <c r="F18" s="7" t="e">
        <f>VLOOKUP(C18,'Fast Track '!B:C,2,FALSE)</f>
        <v>#N/A</v>
      </c>
      <c r="G18" s="7" t="s">
        <v>3723</v>
      </c>
      <c r="H18" s="6" t="s">
        <v>1658</v>
      </c>
      <c r="I18" s="6" t="s">
        <v>3555</v>
      </c>
      <c r="J18" s="6" t="s">
        <v>3556</v>
      </c>
      <c r="K18" s="35" t="s">
        <v>131</v>
      </c>
      <c r="L18" s="37" t="s">
        <v>3645</v>
      </c>
      <c r="M18" t="s">
        <v>3671</v>
      </c>
    </row>
    <row r="19" spans="1:13">
      <c r="A19" s="5">
        <v>18</v>
      </c>
      <c r="B19" s="6" t="s">
        <v>1621</v>
      </c>
      <c r="C19" s="7">
        <v>2022346529</v>
      </c>
      <c r="D19" s="7">
        <v>2201010324</v>
      </c>
      <c r="E19" s="7" t="s">
        <v>1814</v>
      </c>
      <c r="F19" s="7" t="e">
        <f>VLOOKUP(C19,'Fast Track '!B:C,2,FALSE)</f>
        <v>#N/A</v>
      </c>
      <c r="G19" s="7" t="s">
        <v>3724</v>
      </c>
      <c r="H19" s="6" t="s">
        <v>1622</v>
      </c>
      <c r="I19" s="6" t="s">
        <v>3557</v>
      </c>
      <c r="J19" s="6" t="s">
        <v>3558</v>
      </c>
      <c r="K19" s="35" t="s">
        <v>131</v>
      </c>
      <c r="L19" s="37" t="s">
        <v>3645</v>
      </c>
      <c r="M19" t="s">
        <v>3671</v>
      </c>
    </row>
    <row r="20" spans="1:13">
      <c r="A20" s="5">
        <v>19</v>
      </c>
      <c r="B20" s="6" t="s">
        <v>1677</v>
      </c>
      <c r="C20" s="7">
        <v>2022806985</v>
      </c>
      <c r="D20" s="7">
        <v>2201010394</v>
      </c>
      <c r="E20" s="7" t="s">
        <v>1814</v>
      </c>
      <c r="F20" s="7" t="e">
        <f>VLOOKUP(C20,'Fast Track '!B:C,2,FALSE)</f>
        <v>#N/A</v>
      </c>
      <c r="G20" s="7" t="s">
        <v>3725</v>
      </c>
      <c r="H20" s="6" t="s">
        <v>1678</v>
      </c>
      <c r="I20" s="6" t="s">
        <v>3559</v>
      </c>
      <c r="J20" s="6" t="s">
        <v>3560</v>
      </c>
      <c r="K20" s="35" t="s">
        <v>131</v>
      </c>
      <c r="L20" s="37" t="s">
        <v>3645</v>
      </c>
      <c r="M20" t="s">
        <v>3671</v>
      </c>
    </row>
    <row r="21" spans="1:13">
      <c r="A21" s="5">
        <v>20</v>
      </c>
      <c r="B21" s="6" t="s">
        <v>1600</v>
      </c>
      <c r="C21" s="7">
        <v>2022004628</v>
      </c>
      <c r="D21" s="7">
        <v>2201010465</v>
      </c>
      <c r="E21" s="7" t="s">
        <v>1814</v>
      </c>
      <c r="F21" s="7" t="e">
        <f>VLOOKUP(C21,'Fast Track '!B:C,2,FALSE)</f>
        <v>#N/A</v>
      </c>
      <c r="G21" s="7" t="s">
        <v>3726</v>
      </c>
      <c r="H21" s="6" t="s">
        <v>1601</v>
      </c>
      <c r="I21" s="6" t="s">
        <v>3563</v>
      </c>
      <c r="J21" s="6" t="s">
        <v>3564</v>
      </c>
      <c r="K21" s="35" t="s">
        <v>131</v>
      </c>
      <c r="L21" s="37" t="s">
        <v>3645</v>
      </c>
      <c r="M21" t="s">
        <v>3671</v>
      </c>
    </row>
    <row r="22" spans="1:13">
      <c r="A22" s="5">
        <v>21</v>
      </c>
      <c r="B22" s="6" t="s">
        <v>1665</v>
      </c>
      <c r="C22" s="7">
        <v>2022515845</v>
      </c>
      <c r="D22" s="7">
        <v>2201010470</v>
      </c>
      <c r="E22" s="7" t="s">
        <v>1814</v>
      </c>
      <c r="F22" s="7" t="e">
        <f>VLOOKUP(C22,'Fast Track '!B:C,2,FALSE)</f>
        <v>#N/A</v>
      </c>
      <c r="G22" s="7" t="s">
        <v>3727</v>
      </c>
      <c r="H22" s="6" t="s">
        <v>1666</v>
      </c>
      <c r="I22" s="6" t="s">
        <v>3565</v>
      </c>
      <c r="J22" s="6" t="s">
        <v>3566</v>
      </c>
      <c r="K22" s="35" t="s">
        <v>131</v>
      </c>
      <c r="L22" s="37" t="s">
        <v>3645</v>
      </c>
      <c r="M22" t="s">
        <v>3671</v>
      </c>
    </row>
    <row r="23" spans="1:13">
      <c r="A23" s="5">
        <v>22</v>
      </c>
      <c r="B23" s="6" t="s">
        <v>1661</v>
      </c>
      <c r="C23" s="7">
        <v>2022512684</v>
      </c>
      <c r="D23" s="7">
        <v>2201010493</v>
      </c>
      <c r="E23" s="7" t="s">
        <v>1814</v>
      </c>
      <c r="F23" s="7" t="e">
        <f>VLOOKUP(C23,'Fast Track '!B:C,2,FALSE)</f>
        <v>#N/A</v>
      </c>
      <c r="G23" s="7" t="s">
        <v>3728</v>
      </c>
      <c r="H23" s="6" t="s">
        <v>1662</v>
      </c>
      <c r="I23" s="6" t="s">
        <v>3567</v>
      </c>
      <c r="J23" s="6" t="s">
        <v>3568</v>
      </c>
      <c r="K23" s="35" t="s">
        <v>131</v>
      </c>
      <c r="L23" s="37" t="s">
        <v>3645</v>
      </c>
      <c r="M23" t="s">
        <v>3671</v>
      </c>
    </row>
    <row r="24" spans="1:13">
      <c r="A24" s="5">
        <v>23</v>
      </c>
      <c r="B24" s="6" t="s">
        <v>1619</v>
      </c>
      <c r="C24" s="7">
        <v>2022313141</v>
      </c>
      <c r="D24" s="7">
        <v>2201010511</v>
      </c>
      <c r="E24" s="7" t="s">
        <v>1814</v>
      </c>
      <c r="F24" s="7" t="e">
        <f>VLOOKUP(C24,'Fast Track '!B:C,2,FALSE)</f>
        <v>#N/A</v>
      </c>
      <c r="G24" s="7" t="s">
        <v>3729</v>
      </c>
      <c r="H24" s="6" t="s">
        <v>1620</v>
      </c>
      <c r="I24" s="6" t="s">
        <v>3569</v>
      </c>
      <c r="J24" s="6" t="s">
        <v>3570</v>
      </c>
      <c r="K24" s="35" t="s">
        <v>131</v>
      </c>
      <c r="L24" s="37" t="s">
        <v>3644</v>
      </c>
      <c r="M24" t="s">
        <v>3672</v>
      </c>
    </row>
    <row r="25" spans="1:13">
      <c r="A25" s="5">
        <v>24</v>
      </c>
      <c r="B25" s="6" t="s">
        <v>1649</v>
      </c>
      <c r="C25" s="7">
        <v>2022482472</v>
      </c>
      <c r="D25" s="7">
        <v>2201010542</v>
      </c>
      <c r="E25" s="7" t="s">
        <v>1814</v>
      </c>
      <c r="F25" s="7" t="e">
        <f>VLOOKUP(C25,'Fast Track '!B:C,2,FALSE)</f>
        <v>#N/A</v>
      </c>
      <c r="G25" s="7" t="s">
        <v>3730</v>
      </c>
      <c r="H25" s="6" t="s">
        <v>1650</v>
      </c>
      <c r="I25" s="6" t="s">
        <v>3571</v>
      </c>
      <c r="J25" s="6" t="s">
        <v>3572</v>
      </c>
      <c r="K25" s="35" t="s">
        <v>131</v>
      </c>
      <c r="L25" s="37" t="s">
        <v>3644</v>
      </c>
      <c r="M25" t="s">
        <v>3672</v>
      </c>
    </row>
    <row r="26" spans="1:13">
      <c r="A26" s="5">
        <v>25</v>
      </c>
      <c r="B26" s="6" t="s">
        <v>1605</v>
      </c>
      <c r="C26" s="7">
        <v>2022005894</v>
      </c>
      <c r="D26" s="7">
        <v>2201010554</v>
      </c>
      <c r="E26" s="7" t="s">
        <v>1814</v>
      </c>
      <c r="F26" s="7" t="e">
        <f>VLOOKUP(C26,'Fast Track '!B:C,2,FALSE)</f>
        <v>#N/A</v>
      </c>
      <c r="G26" s="7" t="s">
        <v>3731</v>
      </c>
      <c r="H26" s="6" t="s">
        <v>1606</v>
      </c>
      <c r="I26" s="6" t="s">
        <v>3573</v>
      </c>
      <c r="J26" s="6" t="s">
        <v>3574</v>
      </c>
      <c r="K26" s="35" t="s">
        <v>131</v>
      </c>
      <c r="L26" s="37" t="s">
        <v>3644</v>
      </c>
      <c r="M26" t="s">
        <v>3672</v>
      </c>
    </row>
    <row r="27" spans="1:13">
      <c r="A27" s="5">
        <v>26</v>
      </c>
      <c r="B27" s="6" t="s">
        <v>1655</v>
      </c>
      <c r="C27" s="7">
        <v>2022506566</v>
      </c>
      <c r="D27" s="7">
        <v>2201010610</v>
      </c>
      <c r="E27" s="7" t="s">
        <v>1814</v>
      </c>
      <c r="F27" s="7" t="e">
        <f>VLOOKUP(C27,'Fast Track '!B:C,2,FALSE)</f>
        <v>#N/A</v>
      </c>
      <c r="G27" s="7" t="s">
        <v>3732</v>
      </c>
      <c r="H27" s="6" t="s">
        <v>1656</v>
      </c>
      <c r="I27" s="6" t="s">
        <v>3575</v>
      </c>
      <c r="J27" s="6" t="s">
        <v>3576</v>
      </c>
      <c r="K27" s="35" t="s">
        <v>131</v>
      </c>
      <c r="L27" s="37" t="s">
        <v>3644</v>
      </c>
      <c r="M27" t="s">
        <v>3672</v>
      </c>
    </row>
    <row r="28" spans="1:13">
      <c r="A28" s="5">
        <v>27</v>
      </c>
      <c r="B28" s="6" t="s">
        <v>1659</v>
      </c>
      <c r="C28" s="7">
        <v>2022509145</v>
      </c>
      <c r="D28" s="7">
        <v>2201010627</v>
      </c>
      <c r="E28" s="7" t="s">
        <v>1814</v>
      </c>
      <c r="F28" s="7" t="e">
        <f>VLOOKUP(C28,'Fast Track '!B:C,2,FALSE)</f>
        <v>#N/A</v>
      </c>
      <c r="G28" s="7" t="s">
        <v>3733</v>
      </c>
      <c r="H28" s="6" t="s">
        <v>1660</v>
      </c>
      <c r="I28" s="6" t="s">
        <v>3577</v>
      </c>
      <c r="J28" s="6" t="s">
        <v>3578</v>
      </c>
      <c r="K28" s="35" t="s">
        <v>131</v>
      </c>
      <c r="L28" s="37" t="s">
        <v>3644</v>
      </c>
      <c r="M28" t="s">
        <v>3672</v>
      </c>
    </row>
    <row r="29" spans="1:13">
      <c r="A29" s="5">
        <v>28</v>
      </c>
      <c r="B29" s="6" t="s">
        <v>1391</v>
      </c>
      <c r="C29" s="7">
        <v>2022001202</v>
      </c>
      <c r="D29" s="7">
        <v>2201010640</v>
      </c>
      <c r="E29" s="7" t="s">
        <v>1814</v>
      </c>
      <c r="F29" s="7" t="e">
        <f>VLOOKUP(C29,'Fast Track '!B:C,2,FALSE)</f>
        <v>#N/A</v>
      </c>
      <c r="G29" s="7" t="s">
        <v>3734</v>
      </c>
      <c r="H29" s="6" t="s">
        <v>1392</v>
      </c>
      <c r="I29" s="6" t="s">
        <v>3579</v>
      </c>
      <c r="J29" s="6" t="s">
        <v>3580</v>
      </c>
      <c r="K29" s="35" t="s">
        <v>131</v>
      </c>
      <c r="L29" s="37" t="s">
        <v>3644</v>
      </c>
      <c r="M29" t="s">
        <v>3672</v>
      </c>
    </row>
    <row r="30" spans="1:13">
      <c r="A30" s="5">
        <v>29</v>
      </c>
      <c r="B30" s="6" t="s">
        <v>1603</v>
      </c>
      <c r="C30" s="7">
        <v>2022005556</v>
      </c>
      <c r="D30" s="7">
        <v>2201010703</v>
      </c>
      <c r="E30" s="7" t="s">
        <v>1814</v>
      </c>
      <c r="F30" s="7" t="e">
        <f>VLOOKUP(C30,'Fast Track '!B:C,2,FALSE)</f>
        <v>#N/A</v>
      </c>
      <c r="G30" s="7" t="s">
        <v>3735</v>
      </c>
      <c r="H30" s="6" t="s">
        <v>1604</v>
      </c>
      <c r="I30" s="6" t="s">
        <v>3581</v>
      </c>
      <c r="J30" s="6" t="s">
        <v>3582</v>
      </c>
      <c r="K30" s="35" t="s">
        <v>131</v>
      </c>
      <c r="L30" s="37" t="s">
        <v>3644</v>
      </c>
      <c r="M30" t="s">
        <v>3672</v>
      </c>
    </row>
    <row r="31" spans="1:13">
      <c r="A31" s="5">
        <v>30</v>
      </c>
      <c r="B31" s="6" t="s">
        <v>1623</v>
      </c>
      <c r="C31" s="7">
        <v>2022350649</v>
      </c>
      <c r="D31" s="7">
        <v>2201010714</v>
      </c>
      <c r="E31" s="7" t="s">
        <v>1814</v>
      </c>
      <c r="F31" s="7" t="e">
        <f>VLOOKUP(C31,'Fast Track '!B:C,2,FALSE)</f>
        <v>#N/A</v>
      </c>
      <c r="G31" s="7" t="s">
        <v>3736</v>
      </c>
      <c r="H31" s="6" t="s">
        <v>1624</v>
      </c>
      <c r="I31" s="6" t="s">
        <v>3583</v>
      </c>
      <c r="J31" s="6" t="s">
        <v>3584</v>
      </c>
      <c r="K31" s="35" t="s">
        <v>131</v>
      </c>
      <c r="L31" s="37" t="s">
        <v>3644</v>
      </c>
      <c r="M31" t="s">
        <v>3672</v>
      </c>
    </row>
    <row r="32" spans="1:13">
      <c r="A32" s="5">
        <v>31</v>
      </c>
      <c r="B32" s="6" t="s">
        <v>1679</v>
      </c>
      <c r="C32" s="7">
        <v>2022817674</v>
      </c>
      <c r="D32" s="7">
        <v>2201010752</v>
      </c>
      <c r="E32" s="7" t="s">
        <v>1814</v>
      </c>
      <c r="F32" s="7" t="e">
        <f>VLOOKUP(C32,'Fast Track '!B:C,2,FALSE)</f>
        <v>#N/A</v>
      </c>
      <c r="G32" s="7" t="s">
        <v>3737</v>
      </c>
      <c r="H32" s="6" t="s">
        <v>1680</v>
      </c>
      <c r="I32" s="6" t="s">
        <v>3585</v>
      </c>
      <c r="J32" s="6" t="s">
        <v>3586</v>
      </c>
      <c r="K32" s="35" t="s">
        <v>131</v>
      </c>
      <c r="L32" s="37" t="s">
        <v>3644</v>
      </c>
      <c r="M32" t="s">
        <v>3672</v>
      </c>
    </row>
    <row r="33" spans="1:13">
      <c r="A33" s="5">
        <v>32</v>
      </c>
      <c r="B33" s="6" t="s">
        <v>1633</v>
      </c>
      <c r="C33" s="7">
        <v>2022439682</v>
      </c>
      <c r="D33" s="7">
        <v>2201010753</v>
      </c>
      <c r="E33" s="7" t="s">
        <v>1814</v>
      </c>
      <c r="F33" s="7" t="e">
        <f>VLOOKUP(C33,'Fast Track '!B:C,2,FALSE)</f>
        <v>#N/A</v>
      </c>
      <c r="G33" s="7" t="s">
        <v>3738</v>
      </c>
      <c r="H33" s="6" t="s">
        <v>1634</v>
      </c>
      <c r="I33" s="6" t="s">
        <v>3587</v>
      </c>
      <c r="J33" s="6" t="s">
        <v>3588</v>
      </c>
      <c r="K33" s="35" t="s">
        <v>131</v>
      </c>
      <c r="L33" s="37" t="s">
        <v>3644</v>
      </c>
      <c r="M33" t="s">
        <v>3672</v>
      </c>
    </row>
    <row r="34" spans="1:13">
      <c r="A34" s="5">
        <v>33</v>
      </c>
      <c r="B34" s="6" t="s">
        <v>1609</v>
      </c>
      <c r="C34" s="7">
        <v>2022006271</v>
      </c>
      <c r="D34" s="7">
        <v>2201010769</v>
      </c>
      <c r="E34" s="7" t="s">
        <v>1814</v>
      </c>
      <c r="F34" s="7" t="e">
        <f>VLOOKUP(C34,'Fast Track '!B:C,2,FALSE)</f>
        <v>#N/A</v>
      </c>
      <c r="G34" s="7" t="s">
        <v>3739</v>
      </c>
      <c r="H34" s="6" t="s">
        <v>1610</v>
      </c>
      <c r="I34" s="6" t="s">
        <v>3589</v>
      </c>
      <c r="J34" s="6" t="s">
        <v>3590</v>
      </c>
      <c r="K34" s="35" t="s">
        <v>131</v>
      </c>
      <c r="L34" s="37" t="s">
        <v>3644</v>
      </c>
      <c r="M34" t="s">
        <v>3672</v>
      </c>
    </row>
    <row r="35" spans="1:13">
      <c r="A35" s="5">
        <v>34</v>
      </c>
      <c r="B35" s="6" t="s">
        <v>1594</v>
      </c>
      <c r="C35" s="7">
        <v>2022003490</v>
      </c>
      <c r="D35" s="7">
        <v>2201010783</v>
      </c>
      <c r="E35" s="7" t="s">
        <v>1814</v>
      </c>
      <c r="F35" s="7" t="e">
        <f>VLOOKUP(C35,'Fast Track '!B:C,2,FALSE)</f>
        <v>#N/A</v>
      </c>
      <c r="G35" s="7" t="s">
        <v>3740</v>
      </c>
      <c r="H35" s="6" t="s">
        <v>1595</v>
      </c>
      <c r="I35" s="6" t="s">
        <v>3591</v>
      </c>
      <c r="J35" s="6" t="s">
        <v>3592</v>
      </c>
      <c r="K35" s="35" t="s">
        <v>131</v>
      </c>
      <c r="L35" s="37" t="s">
        <v>3644</v>
      </c>
      <c r="M35" t="s">
        <v>3672</v>
      </c>
    </row>
    <row r="36" spans="1:13">
      <c r="A36" s="5">
        <v>35</v>
      </c>
      <c r="B36" s="6" t="s">
        <v>1653</v>
      </c>
      <c r="C36" s="7">
        <v>2022492708</v>
      </c>
      <c r="D36" s="7">
        <v>2201010785</v>
      </c>
      <c r="E36" s="7" t="s">
        <v>1814</v>
      </c>
      <c r="F36" s="7" t="e">
        <f>VLOOKUP(C36,'Fast Track '!B:C,2,FALSE)</f>
        <v>#N/A</v>
      </c>
      <c r="G36" s="7" t="s">
        <v>3741</v>
      </c>
      <c r="H36" s="6" t="s">
        <v>1654</v>
      </c>
      <c r="I36" s="6" t="s">
        <v>3593</v>
      </c>
      <c r="J36" s="6" t="s">
        <v>3594</v>
      </c>
      <c r="K36" s="35" t="s">
        <v>131</v>
      </c>
      <c r="L36" s="37" t="s">
        <v>3644</v>
      </c>
      <c r="M36" t="s">
        <v>3672</v>
      </c>
    </row>
    <row r="37" spans="1:13">
      <c r="A37" s="5">
        <v>36</v>
      </c>
      <c r="B37" s="6" t="s">
        <v>1673</v>
      </c>
      <c r="C37" s="7">
        <v>2022801912</v>
      </c>
      <c r="D37" s="7">
        <v>2201010803</v>
      </c>
      <c r="E37" s="7" t="s">
        <v>1814</v>
      </c>
      <c r="F37" s="7" t="e">
        <f>VLOOKUP(C37,'Fast Track '!B:C,2,FALSE)</f>
        <v>#N/A</v>
      </c>
      <c r="G37" s="7" t="s">
        <v>3742</v>
      </c>
      <c r="H37" s="6" t="s">
        <v>1674</v>
      </c>
      <c r="I37" s="6" t="s">
        <v>3595</v>
      </c>
      <c r="J37" s="6" t="s">
        <v>3596</v>
      </c>
      <c r="K37" s="35" t="s">
        <v>131</v>
      </c>
      <c r="L37" s="37" t="s">
        <v>3644</v>
      </c>
      <c r="M37" t="s">
        <v>3672</v>
      </c>
    </row>
    <row r="38" spans="1:13">
      <c r="A38" s="5">
        <v>37</v>
      </c>
      <c r="B38" s="6" t="s">
        <v>1675</v>
      </c>
      <c r="C38" s="7">
        <v>2022805927</v>
      </c>
      <c r="D38" s="7">
        <v>2201010819</v>
      </c>
      <c r="E38" s="7" t="s">
        <v>1814</v>
      </c>
      <c r="F38" s="7" t="e">
        <f>VLOOKUP(C38,'Fast Track '!B:C,2,FALSE)</f>
        <v>#N/A</v>
      </c>
      <c r="G38" s="7" t="s">
        <v>3743</v>
      </c>
      <c r="H38" s="6" t="s">
        <v>1676</v>
      </c>
      <c r="I38" s="6" t="s">
        <v>3597</v>
      </c>
      <c r="J38" s="6" t="s">
        <v>3598</v>
      </c>
      <c r="K38" s="35" t="s">
        <v>131</v>
      </c>
      <c r="L38" s="37" t="s">
        <v>3644</v>
      </c>
      <c r="M38" t="s">
        <v>3672</v>
      </c>
    </row>
    <row r="39" spans="1:13">
      <c r="A39" s="5">
        <v>38</v>
      </c>
      <c r="B39" s="6" t="s">
        <v>175</v>
      </c>
      <c r="C39" s="7">
        <v>2022387644</v>
      </c>
      <c r="D39" s="7">
        <v>2201010982</v>
      </c>
      <c r="E39" s="7" t="s">
        <v>1814</v>
      </c>
      <c r="F39" s="7" t="e">
        <f>VLOOKUP(C39,'Fast Track '!B:C,2,FALSE)</f>
        <v>#N/A</v>
      </c>
      <c r="G39" s="7" t="s">
        <v>3744</v>
      </c>
      <c r="H39" s="6" t="s">
        <v>1455</v>
      </c>
      <c r="I39" s="6" t="s">
        <v>3599</v>
      </c>
      <c r="J39" s="6" t="s">
        <v>3600</v>
      </c>
      <c r="K39" s="35" t="s">
        <v>131</v>
      </c>
      <c r="L39" s="37" t="s">
        <v>3644</v>
      </c>
      <c r="M39" t="s">
        <v>3672</v>
      </c>
    </row>
    <row r="40" spans="1:13">
      <c r="A40" s="5">
        <v>39</v>
      </c>
      <c r="B40" s="6" t="s">
        <v>1669</v>
      </c>
      <c r="C40" s="7">
        <v>2022570125</v>
      </c>
      <c r="D40" s="7">
        <v>2201010983</v>
      </c>
      <c r="E40" s="7" t="s">
        <v>1814</v>
      </c>
      <c r="F40" s="7" t="e">
        <f>VLOOKUP(C40,'Fast Track '!B:C,2,FALSE)</f>
        <v>#N/A</v>
      </c>
      <c r="G40" s="7" t="s">
        <v>3745</v>
      </c>
      <c r="H40" s="6" t="s">
        <v>1670</v>
      </c>
      <c r="I40" s="6" t="s">
        <v>3601</v>
      </c>
      <c r="J40" s="6" t="s">
        <v>3602</v>
      </c>
      <c r="K40" s="35" t="s">
        <v>131</v>
      </c>
      <c r="L40" s="37" t="s">
        <v>3644</v>
      </c>
      <c r="M40" t="s">
        <v>3672</v>
      </c>
    </row>
    <row r="41" spans="1:13">
      <c r="A41" s="5">
        <v>40</v>
      </c>
      <c r="B41" s="6" t="s">
        <v>1671</v>
      </c>
      <c r="C41" s="7">
        <v>2022572570</v>
      </c>
      <c r="D41" s="7">
        <v>2201010984</v>
      </c>
      <c r="E41" s="7" t="s">
        <v>1814</v>
      </c>
      <c r="F41" s="7" t="e">
        <f>VLOOKUP(C41,'Fast Track '!B:C,2,FALSE)</f>
        <v>#N/A</v>
      </c>
      <c r="G41" s="7" t="s">
        <v>3746</v>
      </c>
      <c r="H41" s="6" t="s">
        <v>1672</v>
      </c>
      <c r="I41" s="6" t="s">
        <v>3603</v>
      </c>
      <c r="J41" s="6" t="s">
        <v>3604</v>
      </c>
      <c r="K41" s="35" t="s">
        <v>131</v>
      </c>
      <c r="L41" s="37" t="s">
        <v>3644</v>
      </c>
      <c r="M41" t="s">
        <v>3672</v>
      </c>
    </row>
    <row r="42" spans="1:13">
      <c r="A42" s="5">
        <v>41</v>
      </c>
      <c r="B42" s="6" t="s">
        <v>1683</v>
      </c>
      <c r="C42" s="7">
        <v>2022836076</v>
      </c>
      <c r="D42" s="7">
        <v>2201010986</v>
      </c>
      <c r="E42" s="7" t="s">
        <v>1814</v>
      </c>
      <c r="F42" s="7" t="e">
        <f>VLOOKUP(C42,'Fast Track '!B:C,2,FALSE)</f>
        <v>#N/A</v>
      </c>
      <c r="G42" s="7" t="s">
        <v>3747</v>
      </c>
      <c r="H42" s="6" t="s">
        <v>1684</v>
      </c>
      <c r="I42" s="6" t="s">
        <v>3605</v>
      </c>
      <c r="J42" s="6" t="s">
        <v>3606</v>
      </c>
      <c r="K42" s="35" t="s">
        <v>131</v>
      </c>
      <c r="L42" s="37" t="s">
        <v>3644</v>
      </c>
      <c r="M42" t="s">
        <v>3672</v>
      </c>
    </row>
    <row r="43" spans="1:13">
      <c r="A43" s="5">
        <v>42</v>
      </c>
      <c r="B43" s="6" t="s">
        <v>1685</v>
      </c>
      <c r="C43" s="7">
        <v>2022836286</v>
      </c>
      <c r="D43" s="7">
        <v>2201010987</v>
      </c>
      <c r="E43" s="7" t="s">
        <v>1814</v>
      </c>
      <c r="F43" s="7" t="e">
        <f>VLOOKUP(C43,'Fast Track '!B:C,2,FALSE)</f>
        <v>#N/A</v>
      </c>
      <c r="G43" s="7" t="s">
        <v>3748</v>
      </c>
      <c r="H43" s="6" t="s">
        <v>1686</v>
      </c>
      <c r="I43" s="6" t="s">
        <v>3607</v>
      </c>
      <c r="J43" s="6" t="s">
        <v>3608</v>
      </c>
      <c r="K43" s="35" t="s">
        <v>131</v>
      </c>
      <c r="L43" s="37" t="s">
        <v>3644</v>
      </c>
      <c r="M43" t="s">
        <v>3672</v>
      </c>
    </row>
    <row r="44" spans="1:13">
      <c r="A44" s="5">
        <v>43</v>
      </c>
      <c r="B44" s="6" t="s">
        <v>1687</v>
      </c>
      <c r="C44" s="7">
        <v>2022837222</v>
      </c>
      <c r="D44" s="7">
        <v>2201010988</v>
      </c>
      <c r="E44" s="7" t="s">
        <v>1814</v>
      </c>
      <c r="F44" s="7" t="e">
        <f>VLOOKUP(C44,'Fast Track '!B:C,2,FALSE)</f>
        <v>#N/A</v>
      </c>
      <c r="G44" s="7" t="s">
        <v>3749</v>
      </c>
      <c r="H44" s="6" t="s">
        <v>1688</v>
      </c>
      <c r="I44" s="6" t="s">
        <v>3609</v>
      </c>
      <c r="J44" s="6" t="s">
        <v>3610</v>
      </c>
      <c r="K44" s="35" t="s">
        <v>131</v>
      </c>
      <c r="L44" s="37" t="s">
        <v>3644</v>
      </c>
      <c r="M44" t="s">
        <v>3672</v>
      </c>
    </row>
    <row r="45" spans="1:13">
      <c r="A45" s="5">
        <v>44</v>
      </c>
      <c r="B45" s="6" t="s">
        <v>1441</v>
      </c>
      <c r="C45" s="7">
        <v>2022305070</v>
      </c>
      <c r="D45" s="7">
        <v>2201010580</v>
      </c>
      <c r="E45" s="7" t="s">
        <v>1814</v>
      </c>
      <c r="F45" s="7" t="e">
        <f>VLOOKUP(C45,'Fast Track '!B:C,2,FALSE)</f>
        <v>#N/A</v>
      </c>
      <c r="G45" s="7" t="s">
        <v>3750</v>
      </c>
      <c r="H45" s="6" t="s">
        <v>1442</v>
      </c>
      <c r="I45" s="6" t="s">
        <v>3353</v>
      </c>
      <c r="J45" s="6" t="s">
        <v>3354</v>
      </c>
      <c r="K45" s="35" t="s">
        <v>131</v>
      </c>
      <c r="L45" s="37" t="s">
        <v>3644</v>
      </c>
      <c r="M45" t="s">
        <v>3672</v>
      </c>
    </row>
    <row r="46" spans="1:13">
      <c r="A46" s="5">
        <v>45</v>
      </c>
      <c r="B46" s="6" t="s">
        <v>1529</v>
      </c>
      <c r="C46" s="7">
        <v>2022007017</v>
      </c>
      <c r="D46" s="7">
        <v>2201010351</v>
      </c>
      <c r="E46" s="7" t="s">
        <v>1814</v>
      </c>
      <c r="F46" s="7" t="e">
        <f>VLOOKUP(C46,'Fast Track '!B:C,2,FALSE)</f>
        <v>#N/A</v>
      </c>
      <c r="G46" s="7" t="s">
        <v>3751</v>
      </c>
      <c r="H46" s="6" t="s">
        <v>1530</v>
      </c>
      <c r="I46" s="6" t="s">
        <v>3477</v>
      </c>
      <c r="J46" s="6" t="s">
        <v>3478</v>
      </c>
      <c r="K46" s="35" t="s">
        <v>131</v>
      </c>
      <c r="L46" s="37" t="s">
        <v>3644</v>
      </c>
      <c r="M46" t="s">
        <v>3672</v>
      </c>
    </row>
    <row r="47" spans="1:13">
      <c r="A47" s="5">
        <v>46</v>
      </c>
      <c r="B47" s="6" t="s">
        <v>1513</v>
      </c>
      <c r="C47" s="7">
        <v>2022001453</v>
      </c>
      <c r="D47" s="7">
        <v>2201010766</v>
      </c>
      <c r="E47" s="7" t="s">
        <v>1814</v>
      </c>
      <c r="F47" s="7" t="e">
        <f>VLOOKUP(C47,'Fast Track '!B:C,2,FALSE)</f>
        <v>#N/A</v>
      </c>
      <c r="G47" s="7" t="s">
        <v>3752</v>
      </c>
      <c r="H47" s="6" t="s">
        <v>1514</v>
      </c>
      <c r="I47" s="6" t="s">
        <v>3479</v>
      </c>
      <c r="J47" s="6" t="s">
        <v>3480</v>
      </c>
      <c r="K47" s="35" t="s">
        <v>131</v>
      </c>
      <c r="L47" s="37" t="s">
        <v>3644</v>
      </c>
      <c r="M47" t="s">
        <v>3672</v>
      </c>
    </row>
    <row r="48" spans="1:13">
      <c r="A48" s="5">
        <v>47</v>
      </c>
      <c r="B48" s="6" t="s">
        <v>1531</v>
      </c>
      <c r="C48" s="7">
        <v>2022007457</v>
      </c>
      <c r="D48" s="7">
        <v>2201010980</v>
      </c>
      <c r="E48" s="7" t="s">
        <v>1814</v>
      </c>
      <c r="F48" s="7" t="e">
        <f>VLOOKUP(C48,'Fast Track '!B:C,2,FALSE)</f>
        <v>#N/A</v>
      </c>
      <c r="G48" s="7" t="s">
        <v>3753</v>
      </c>
      <c r="H48" s="6" t="s">
        <v>1532</v>
      </c>
      <c r="I48" s="6" t="s">
        <v>3481</v>
      </c>
      <c r="J48" s="6" t="s">
        <v>3482</v>
      </c>
      <c r="K48" s="35" t="s">
        <v>131</v>
      </c>
      <c r="L48" s="37" t="s">
        <v>3644</v>
      </c>
      <c r="M48" t="s">
        <v>3672</v>
      </c>
    </row>
  </sheetData>
  <conditionalFormatting sqref="C45:C48">
    <cfRule type="duplicateValues" dxfId="48" priority="4"/>
  </conditionalFormatting>
  <conditionalFormatting sqref="C45:C48">
    <cfRule type="duplicateValues" dxfId="47" priority="1"/>
  </conditionalFormatting>
  <conditionalFormatting sqref="C45:D48">
    <cfRule type="duplicateValues" dxfId="46" priority="2"/>
    <cfRule type="duplicateValues" dxfId="45" priority="3"/>
  </conditionalFormatting>
  <conditionalFormatting sqref="C1:D44">
    <cfRule type="duplicateValues" dxfId="44" priority="724"/>
    <cfRule type="duplicateValues" dxfId="43" priority="725"/>
  </conditionalFormatting>
  <conditionalFormatting sqref="C1:C44">
    <cfRule type="duplicateValues" dxfId="42" priority="920"/>
  </conditionalFormatting>
  <dataValidations count="1">
    <dataValidation type="list" allowBlank="1" showErrorMessage="1" sqref="L2:L48">
      <formula1>"G1,G2"</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3"/>
  <sheetViews>
    <sheetView topLeftCell="A48" workbookViewId="0">
      <selection activeCell="A63" sqref="A63:XFD63"/>
    </sheetView>
  </sheetViews>
  <sheetFormatPr defaultRowHeight="14.5"/>
  <cols>
    <col min="2" max="2" width="26.1796875" customWidth="1"/>
    <col min="3" max="3" width="15.54296875" customWidth="1"/>
    <col min="4" max="4" width="16.36328125" customWidth="1"/>
    <col min="5" max="5" width="19.36328125" bestFit="1" customWidth="1"/>
    <col min="7" max="7" width="21.453125" customWidth="1"/>
    <col min="9" max="9" width="14.453125" customWidth="1"/>
    <col min="10" max="10" width="18.36328125" customWidth="1"/>
    <col min="11" max="11" width="18.90625" customWidth="1"/>
    <col min="12" max="12" width="18.36328125" customWidth="1"/>
  </cols>
  <sheetData>
    <row r="1" spans="1:12" s="57" customFormat="1" ht="25">
      <c r="A1" s="1" t="s">
        <v>1</v>
      </c>
      <c r="B1" s="1" t="s">
        <v>2</v>
      </c>
      <c r="C1" s="1" t="s">
        <v>3</v>
      </c>
      <c r="D1" s="1" t="s">
        <v>4</v>
      </c>
      <c r="E1" s="1" t="s">
        <v>1817</v>
      </c>
      <c r="F1" s="1" t="s">
        <v>3681</v>
      </c>
      <c r="G1" s="1" t="s">
        <v>3692</v>
      </c>
      <c r="H1" s="44" t="s">
        <v>3676</v>
      </c>
      <c r="I1" s="1" t="s">
        <v>6</v>
      </c>
      <c r="J1" s="1" t="s">
        <v>1819</v>
      </c>
      <c r="K1" s="1" t="s">
        <v>1820</v>
      </c>
      <c r="L1" s="1" t="s">
        <v>7</v>
      </c>
    </row>
    <row r="2" spans="1:12" s="57" customFormat="1">
      <c r="A2" s="17">
        <v>1</v>
      </c>
      <c r="B2" s="17" t="s">
        <v>945</v>
      </c>
      <c r="C2" s="17">
        <v>2022432518</v>
      </c>
      <c r="D2" s="17">
        <v>2201010676</v>
      </c>
      <c r="E2" s="7" t="s">
        <v>3646</v>
      </c>
      <c r="F2" s="17" t="e">
        <f>VLOOKUP(C2,'Fast Track '!B:C,2,FALSE)</f>
        <v>#N/A</v>
      </c>
      <c r="G2" s="17" t="s">
        <v>3692</v>
      </c>
      <c r="H2" s="45" t="s">
        <v>3644</v>
      </c>
      <c r="I2" s="17" t="s">
        <v>946</v>
      </c>
      <c r="J2" s="17" t="s">
        <v>1889</v>
      </c>
      <c r="K2" s="17" t="s">
        <v>1890</v>
      </c>
      <c r="L2" s="17" t="s">
        <v>15</v>
      </c>
    </row>
    <row r="3" spans="1:12">
      <c r="A3" s="17">
        <v>2</v>
      </c>
      <c r="B3" s="17" t="s">
        <v>975</v>
      </c>
      <c r="C3" s="17">
        <v>2022517301</v>
      </c>
      <c r="D3" s="17">
        <v>2201010730</v>
      </c>
      <c r="E3" s="7" t="s">
        <v>3646</v>
      </c>
      <c r="F3" s="17" t="e">
        <f>VLOOKUP(C3,'Fast Track '!B:C,2,FALSE)</f>
        <v>#N/A</v>
      </c>
      <c r="G3" s="17" t="s">
        <v>3692</v>
      </c>
      <c r="H3" s="45" t="s">
        <v>3644</v>
      </c>
      <c r="I3" s="17" t="s">
        <v>976</v>
      </c>
      <c r="J3" s="17" t="s">
        <v>1901</v>
      </c>
      <c r="K3" s="17" t="s">
        <v>1902</v>
      </c>
      <c r="L3" s="17" t="s">
        <v>15</v>
      </c>
    </row>
    <row r="4" spans="1:12">
      <c r="A4" s="17">
        <v>3</v>
      </c>
      <c r="B4" s="17" t="s">
        <v>1010</v>
      </c>
      <c r="C4" s="17">
        <v>2023583466</v>
      </c>
      <c r="D4" s="17">
        <v>2301017012</v>
      </c>
      <c r="E4" s="7" t="s">
        <v>3646</v>
      </c>
      <c r="F4" s="17" t="e">
        <f>VLOOKUP(C4,'Fast Track '!B:C,2,FALSE)</f>
        <v>#N/A</v>
      </c>
      <c r="G4" s="17" t="s">
        <v>3692</v>
      </c>
      <c r="H4" s="45" t="s">
        <v>3644</v>
      </c>
      <c r="I4" s="17" t="s">
        <v>1011</v>
      </c>
      <c r="J4" s="17" t="s">
        <v>1939</v>
      </c>
      <c r="K4" s="17" t="s">
        <v>1940</v>
      </c>
      <c r="L4" s="17" t="s">
        <v>15</v>
      </c>
    </row>
    <row r="5" spans="1:12">
      <c r="A5" s="17">
        <v>4</v>
      </c>
      <c r="B5" s="17" t="s">
        <v>1006</v>
      </c>
      <c r="C5" s="17">
        <v>2023500162</v>
      </c>
      <c r="D5" s="17">
        <v>2301017020</v>
      </c>
      <c r="E5" s="7" t="s">
        <v>3646</v>
      </c>
      <c r="F5" s="17" t="e">
        <f>VLOOKUP(C5,'Fast Track '!B:C,2,FALSE)</f>
        <v>#N/A</v>
      </c>
      <c r="G5" s="17" t="s">
        <v>3692</v>
      </c>
      <c r="H5" s="45" t="s">
        <v>3644</v>
      </c>
      <c r="I5" s="17" t="s">
        <v>1007</v>
      </c>
      <c r="J5" s="17" t="s">
        <v>1943</v>
      </c>
      <c r="K5" s="17" t="s">
        <v>1944</v>
      </c>
      <c r="L5" s="17" t="s">
        <v>15</v>
      </c>
    </row>
    <row r="6" spans="1:12">
      <c r="A6" s="17">
        <v>5</v>
      </c>
      <c r="B6" s="17" t="s">
        <v>1018</v>
      </c>
      <c r="C6" s="17">
        <v>2022565603</v>
      </c>
      <c r="D6" s="17">
        <v>2201010257</v>
      </c>
      <c r="E6" s="7" t="s">
        <v>3646</v>
      </c>
      <c r="F6" s="17" t="e">
        <f>VLOOKUP(C6,'Fast Track '!B:C,2,FALSE)</f>
        <v>#N/A</v>
      </c>
      <c r="G6" s="17" t="s">
        <v>3692</v>
      </c>
      <c r="H6" s="45" t="s">
        <v>3645</v>
      </c>
      <c r="I6" s="17" t="s">
        <v>1019</v>
      </c>
      <c r="J6" s="17" t="s">
        <v>1972</v>
      </c>
      <c r="K6" s="17" t="s">
        <v>1973</v>
      </c>
      <c r="L6" s="17" t="s">
        <v>15</v>
      </c>
    </row>
    <row r="7" spans="1:12">
      <c r="A7" s="17">
        <v>6</v>
      </c>
      <c r="B7" s="17" t="s">
        <v>1108</v>
      </c>
      <c r="C7" s="17">
        <v>2022532088</v>
      </c>
      <c r="D7" s="17">
        <v>2201010378</v>
      </c>
      <c r="E7" s="7" t="s">
        <v>3646</v>
      </c>
      <c r="F7" s="17" t="e">
        <f>VLOOKUP(C7,'Fast Track '!B:C,2,FALSE)</f>
        <v>#N/A</v>
      </c>
      <c r="G7" s="17" t="s">
        <v>3692</v>
      </c>
      <c r="H7" s="45" t="s">
        <v>3645</v>
      </c>
      <c r="I7" s="17" t="s">
        <v>1109</v>
      </c>
      <c r="J7" s="17" t="s">
        <v>1992</v>
      </c>
      <c r="K7" s="17" t="s">
        <v>1993</v>
      </c>
      <c r="L7" s="17" t="s">
        <v>15</v>
      </c>
    </row>
    <row r="8" spans="1:12">
      <c r="A8" s="17">
        <v>7</v>
      </c>
      <c r="B8" s="17" t="s">
        <v>306</v>
      </c>
      <c r="C8" s="17">
        <v>2022372515</v>
      </c>
      <c r="D8" s="17">
        <v>2201010518</v>
      </c>
      <c r="E8" s="7" t="s">
        <v>3646</v>
      </c>
      <c r="F8" s="17" t="e">
        <f>VLOOKUP(C8,'Fast Track '!B:C,2,FALSE)</f>
        <v>#N/A</v>
      </c>
      <c r="G8" s="17" t="s">
        <v>3692</v>
      </c>
      <c r="H8" s="45" t="s">
        <v>3644</v>
      </c>
      <c r="I8" s="17" t="s">
        <v>307</v>
      </c>
      <c r="J8" s="17" t="s">
        <v>2122</v>
      </c>
      <c r="K8" s="17" t="s">
        <v>2123</v>
      </c>
      <c r="L8" s="17" t="s">
        <v>15</v>
      </c>
    </row>
    <row r="9" spans="1:12">
      <c r="A9" s="17">
        <v>8</v>
      </c>
      <c r="B9" s="17" t="s">
        <v>610</v>
      </c>
      <c r="C9" s="17">
        <v>2022516167</v>
      </c>
      <c r="D9" s="17">
        <v>2201010073</v>
      </c>
      <c r="E9" s="7" t="s">
        <v>3646</v>
      </c>
      <c r="F9" s="17" t="e">
        <f>VLOOKUP(C9,'Fast Track '!B:C,2,FALSE)</f>
        <v>#N/A</v>
      </c>
      <c r="G9" s="17" t="s">
        <v>3692</v>
      </c>
      <c r="H9" s="45" t="s">
        <v>3645</v>
      </c>
      <c r="I9" s="17" t="s">
        <v>611</v>
      </c>
      <c r="J9" s="17" t="s">
        <v>2349</v>
      </c>
      <c r="K9" s="17" t="s">
        <v>2350</v>
      </c>
      <c r="L9" s="17" t="s">
        <v>15</v>
      </c>
    </row>
    <row r="10" spans="1:12">
      <c r="A10" s="17">
        <v>9</v>
      </c>
      <c r="B10" s="17" t="s">
        <v>583</v>
      </c>
      <c r="C10" s="17">
        <v>2022455176</v>
      </c>
      <c r="D10" s="17">
        <v>2201010326</v>
      </c>
      <c r="E10" s="7" t="s">
        <v>3646</v>
      </c>
      <c r="F10" s="17" t="e">
        <f>VLOOKUP(C10,'Fast Track '!B:C,2,FALSE)</f>
        <v>#N/A</v>
      </c>
      <c r="G10" s="17" t="s">
        <v>3692</v>
      </c>
      <c r="H10" s="45" t="s">
        <v>3645</v>
      </c>
      <c r="I10" s="17" t="s">
        <v>584</v>
      </c>
      <c r="J10" s="17" t="s">
        <v>2377</v>
      </c>
      <c r="K10" s="17" t="s">
        <v>2378</v>
      </c>
      <c r="L10" s="17" t="s">
        <v>15</v>
      </c>
    </row>
    <row r="11" spans="1:12">
      <c r="A11" s="17">
        <v>10</v>
      </c>
      <c r="B11" s="17" t="s">
        <v>753</v>
      </c>
      <c r="C11" s="17">
        <v>2022836012</v>
      </c>
      <c r="D11" s="17">
        <v>2201010405</v>
      </c>
      <c r="E11" s="7" t="s">
        <v>3646</v>
      </c>
      <c r="F11" s="17" t="e">
        <f>VLOOKUP(C11,'Fast Track '!B:C,2,FALSE)</f>
        <v>#N/A</v>
      </c>
      <c r="G11" s="17" t="s">
        <v>3692</v>
      </c>
      <c r="H11" s="45" t="s">
        <v>3645</v>
      </c>
      <c r="I11" s="17" t="s">
        <v>754</v>
      </c>
      <c r="J11" s="17" t="s">
        <v>2507</v>
      </c>
      <c r="K11" s="17" t="s">
        <v>2508</v>
      </c>
      <c r="L11" s="17" t="s">
        <v>15</v>
      </c>
    </row>
    <row r="12" spans="1:12">
      <c r="A12" s="17">
        <v>11</v>
      </c>
      <c r="B12" s="17" t="s">
        <v>747</v>
      </c>
      <c r="C12" s="17">
        <v>2022832236</v>
      </c>
      <c r="D12" s="17">
        <v>2201010443</v>
      </c>
      <c r="E12" s="7" t="s">
        <v>3646</v>
      </c>
      <c r="F12" s="17" t="e">
        <f>VLOOKUP(C12,'Fast Track '!B:C,2,FALSE)</f>
        <v>#N/A</v>
      </c>
      <c r="G12" s="17" t="s">
        <v>3692</v>
      </c>
      <c r="H12" s="45" t="s">
        <v>3645</v>
      </c>
      <c r="I12" s="17" t="s">
        <v>748</v>
      </c>
      <c r="J12" s="17" t="s">
        <v>2515</v>
      </c>
      <c r="K12" s="17" t="s">
        <v>2516</v>
      </c>
      <c r="L12" s="17" t="s">
        <v>15</v>
      </c>
    </row>
    <row r="13" spans="1:12">
      <c r="A13" s="17">
        <v>12</v>
      </c>
      <c r="B13" s="17" t="s">
        <v>335</v>
      </c>
      <c r="C13" s="17">
        <v>2022481225</v>
      </c>
      <c r="D13" s="17">
        <v>2201010652</v>
      </c>
      <c r="E13" s="7" t="s">
        <v>3646</v>
      </c>
      <c r="F13" s="17" t="e">
        <f>VLOOKUP(C13,'Fast Track '!B:C,2,FALSE)</f>
        <v>#N/A</v>
      </c>
      <c r="G13" s="17" t="s">
        <v>3692</v>
      </c>
      <c r="H13" s="32" t="s">
        <v>3644</v>
      </c>
      <c r="I13" s="17" t="s">
        <v>336</v>
      </c>
      <c r="J13" s="17" t="s">
        <v>2146</v>
      </c>
      <c r="K13" s="17" t="s">
        <v>2147</v>
      </c>
      <c r="L13" s="17" t="s">
        <v>15</v>
      </c>
    </row>
    <row r="14" spans="1:12">
      <c r="A14" s="17">
        <v>13</v>
      </c>
      <c r="B14" s="17" t="s">
        <v>549</v>
      </c>
      <c r="C14" s="17">
        <v>2022006210</v>
      </c>
      <c r="D14" s="17">
        <v>2201010109</v>
      </c>
      <c r="E14" s="7" t="s">
        <v>3646</v>
      </c>
      <c r="F14" s="17" t="e">
        <f>VLOOKUP(C14,'Fast Track '!B:C,2,FALSE)</f>
        <v>#N/A</v>
      </c>
      <c r="G14" s="17" t="s">
        <v>3692</v>
      </c>
      <c r="H14" s="45" t="s">
        <v>3645</v>
      </c>
      <c r="I14" s="17" t="s">
        <v>550</v>
      </c>
      <c r="J14" s="17" t="s">
        <v>2351</v>
      </c>
      <c r="K14" s="17" t="s">
        <v>2352</v>
      </c>
      <c r="L14" s="17" t="s">
        <v>15</v>
      </c>
    </row>
    <row r="15" spans="1:12">
      <c r="A15" s="17">
        <v>14</v>
      </c>
      <c r="B15" s="17" t="s">
        <v>381</v>
      </c>
      <c r="C15" s="17">
        <v>2023205860</v>
      </c>
      <c r="D15" s="17">
        <v>2301017011</v>
      </c>
      <c r="E15" s="7" t="s">
        <v>3646</v>
      </c>
      <c r="F15" s="17" t="e">
        <f>VLOOKUP(C15,'Fast Track '!B:C,2,FALSE)</f>
        <v>#N/A</v>
      </c>
      <c r="G15" s="17" t="s">
        <v>3692</v>
      </c>
      <c r="H15" s="45" t="s">
        <v>3645</v>
      </c>
      <c r="I15" s="17" t="s">
        <v>382</v>
      </c>
      <c r="J15" s="17" t="s">
        <v>2196</v>
      </c>
      <c r="K15" s="17" t="s">
        <v>2197</v>
      </c>
      <c r="L15" s="17" t="s">
        <v>15</v>
      </c>
    </row>
    <row r="16" spans="1:12">
      <c r="A16" s="17">
        <v>15</v>
      </c>
      <c r="B16" s="17" t="s">
        <v>440</v>
      </c>
      <c r="C16" s="17">
        <v>2022433429</v>
      </c>
      <c r="D16" s="17">
        <v>2201010083</v>
      </c>
      <c r="E16" s="7" t="s">
        <v>3646</v>
      </c>
      <c r="F16" s="17" t="e">
        <f>VLOOKUP(C16,'Fast Track '!B:C,2,FALSE)</f>
        <v>#N/A</v>
      </c>
      <c r="G16" s="17" t="s">
        <v>3692</v>
      </c>
      <c r="H16" s="45" t="s">
        <v>3645</v>
      </c>
      <c r="I16" s="17" t="s">
        <v>441</v>
      </c>
      <c r="J16" s="17" t="s">
        <v>2212</v>
      </c>
      <c r="K16" s="17" t="s">
        <v>2213</v>
      </c>
      <c r="L16" s="17" t="s">
        <v>15</v>
      </c>
    </row>
    <row r="17" spans="1:12">
      <c r="A17" s="17">
        <v>16</v>
      </c>
      <c r="B17" s="17" t="s">
        <v>442</v>
      </c>
      <c r="C17" s="17">
        <v>2022443216</v>
      </c>
      <c r="D17" s="17">
        <v>2201010545</v>
      </c>
      <c r="E17" s="7" t="s">
        <v>3646</v>
      </c>
      <c r="F17" s="17" t="e">
        <f>VLOOKUP(C17,'Fast Track '!B:C,2,FALSE)</f>
        <v>#N/A</v>
      </c>
      <c r="G17" s="17" t="s">
        <v>3692</v>
      </c>
      <c r="H17" s="45" t="s">
        <v>3645</v>
      </c>
      <c r="I17" s="17" t="s">
        <v>443</v>
      </c>
      <c r="J17" s="17" t="s">
        <v>2271</v>
      </c>
      <c r="K17" s="17" t="s">
        <v>2272</v>
      </c>
      <c r="L17" s="17" t="s">
        <v>15</v>
      </c>
    </row>
    <row r="18" spans="1:12">
      <c r="A18" s="17">
        <v>17</v>
      </c>
      <c r="B18" s="17" t="s">
        <v>394</v>
      </c>
      <c r="C18" s="17">
        <v>2022001775</v>
      </c>
      <c r="D18" s="17">
        <v>2201010641</v>
      </c>
      <c r="E18" s="7" t="s">
        <v>3646</v>
      </c>
      <c r="F18" s="17" t="e">
        <f>VLOOKUP(C18,'Fast Track '!B:C,2,FALSE)</f>
        <v>#N/A</v>
      </c>
      <c r="G18" s="17" t="s">
        <v>3692</v>
      </c>
      <c r="H18" s="45" t="s">
        <v>3645</v>
      </c>
      <c r="I18" s="17" t="s">
        <v>395</v>
      </c>
      <c r="J18" s="17" t="s">
        <v>2289</v>
      </c>
      <c r="K18" s="17" t="s">
        <v>2290</v>
      </c>
      <c r="L18" s="17" t="s">
        <v>15</v>
      </c>
    </row>
    <row r="19" spans="1:12">
      <c r="A19" s="17">
        <v>18</v>
      </c>
      <c r="B19" s="17" t="s">
        <v>643</v>
      </c>
      <c r="C19" s="17">
        <v>2022006402</v>
      </c>
      <c r="D19" s="17">
        <v>2201010229</v>
      </c>
      <c r="E19" s="7" t="s">
        <v>3646</v>
      </c>
      <c r="F19" s="17" t="e">
        <f>VLOOKUP(C19,'Fast Track '!B:C,2,FALSE)</f>
        <v>#N/A</v>
      </c>
      <c r="G19" s="17" t="s">
        <v>3692</v>
      </c>
      <c r="H19" s="45" t="s">
        <v>3644</v>
      </c>
      <c r="I19" s="17" t="s">
        <v>644</v>
      </c>
      <c r="J19" s="17" t="s">
        <v>2361</v>
      </c>
      <c r="K19" s="17" t="s">
        <v>2362</v>
      </c>
      <c r="L19" s="17" t="s">
        <v>15</v>
      </c>
    </row>
    <row r="20" spans="1:12">
      <c r="A20" s="17">
        <v>19</v>
      </c>
      <c r="B20" s="17" t="s">
        <v>442</v>
      </c>
      <c r="C20" s="17">
        <v>2022459779</v>
      </c>
      <c r="D20" s="17">
        <v>2201010546</v>
      </c>
      <c r="E20" s="7" t="s">
        <v>3646</v>
      </c>
      <c r="F20" s="17" t="e">
        <f>VLOOKUP(C20,'Fast Track '!B:C,2,FALSE)</f>
        <v>#N/A</v>
      </c>
      <c r="G20" s="17" t="s">
        <v>3692</v>
      </c>
      <c r="H20" s="45" t="s">
        <v>3644</v>
      </c>
      <c r="I20" s="17" t="s">
        <v>585</v>
      </c>
      <c r="J20" s="17" t="s">
        <v>2403</v>
      </c>
      <c r="K20" s="17" t="s">
        <v>2404</v>
      </c>
      <c r="L20" s="17" t="s">
        <v>15</v>
      </c>
    </row>
    <row r="21" spans="1:12">
      <c r="A21" s="17">
        <v>20</v>
      </c>
      <c r="B21" s="17" t="s">
        <v>569</v>
      </c>
      <c r="C21" s="17">
        <v>2022378413</v>
      </c>
      <c r="D21" s="17">
        <v>2201010659</v>
      </c>
      <c r="E21" s="7" t="s">
        <v>3646</v>
      </c>
      <c r="F21" s="17" t="e">
        <f>VLOOKUP(C21,'Fast Track '!B:C,2,FALSE)</f>
        <v>#N/A</v>
      </c>
      <c r="G21" s="17" t="s">
        <v>3692</v>
      </c>
      <c r="H21" s="45" t="s">
        <v>3644</v>
      </c>
      <c r="I21" s="17" t="s">
        <v>570</v>
      </c>
      <c r="J21" s="17" t="s">
        <v>2423</v>
      </c>
      <c r="K21" s="17" t="s">
        <v>2424</v>
      </c>
      <c r="L21" s="17" t="s">
        <v>15</v>
      </c>
    </row>
    <row r="22" spans="1:12">
      <c r="A22" s="17">
        <v>21</v>
      </c>
      <c r="B22" s="17" t="s">
        <v>631</v>
      </c>
      <c r="C22" s="17">
        <v>2022559297</v>
      </c>
      <c r="D22" s="17">
        <v>2201010066</v>
      </c>
      <c r="E22" s="7" t="s">
        <v>3646</v>
      </c>
      <c r="F22" s="17" t="e">
        <f>VLOOKUP(C22,'Fast Track '!B:C,2,FALSE)</f>
        <v>#N/A</v>
      </c>
      <c r="G22" s="17" t="s">
        <v>3692</v>
      </c>
      <c r="H22" s="45" t="s">
        <v>3645</v>
      </c>
      <c r="I22" s="17" t="s">
        <v>632</v>
      </c>
      <c r="J22" s="17" t="s">
        <v>2347</v>
      </c>
      <c r="K22" s="17" t="s">
        <v>2348</v>
      </c>
      <c r="L22" s="17" t="s">
        <v>15</v>
      </c>
    </row>
    <row r="23" spans="1:12">
      <c r="A23" s="17">
        <v>22</v>
      </c>
      <c r="B23" s="17" t="s">
        <v>724</v>
      </c>
      <c r="C23" s="17">
        <v>2022540836</v>
      </c>
      <c r="D23" s="17">
        <v>2201010879</v>
      </c>
      <c r="E23" s="7" t="s">
        <v>3646</v>
      </c>
      <c r="F23" s="17" t="e">
        <f>VLOOKUP(C23,'Fast Track '!B:C,2,FALSE)</f>
        <v>#N/A</v>
      </c>
      <c r="G23" s="17" t="s">
        <v>3692</v>
      </c>
      <c r="H23" s="45" t="s">
        <v>3644</v>
      </c>
      <c r="I23" s="17" t="s">
        <v>725</v>
      </c>
      <c r="J23" s="17" t="s">
        <v>2573</v>
      </c>
      <c r="K23" s="17" t="s">
        <v>2574</v>
      </c>
      <c r="L23" s="17" t="s">
        <v>15</v>
      </c>
    </row>
    <row r="24" spans="1:12">
      <c r="A24" s="17">
        <v>23</v>
      </c>
      <c r="B24" s="17" t="s">
        <v>109</v>
      </c>
      <c r="C24" s="17">
        <v>2022511372</v>
      </c>
      <c r="D24" s="17">
        <v>2201010225</v>
      </c>
      <c r="E24" s="7" t="s">
        <v>3646</v>
      </c>
      <c r="F24" s="17" t="e">
        <f>VLOOKUP(C24,'Fast Track '!B:C,2,FALSE)</f>
        <v>#N/A</v>
      </c>
      <c r="G24" s="17" t="s">
        <v>3692</v>
      </c>
      <c r="H24" s="45" t="s">
        <v>3644</v>
      </c>
      <c r="I24" s="17" t="s">
        <v>110</v>
      </c>
      <c r="J24" s="17" t="s">
        <v>2645</v>
      </c>
      <c r="K24" s="17" t="s">
        <v>2646</v>
      </c>
      <c r="L24" s="17" t="s">
        <v>15</v>
      </c>
    </row>
    <row r="25" spans="1:12">
      <c r="A25" s="17">
        <v>24</v>
      </c>
      <c r="B25" s="17" t="s">
        <v>37</v>
      </c>
      <c r="C25" s="17">
        <v>2022004614</v>
      </c>
      <c r="D25" s="17">
        <v>2201010561</v>
      </c>
      <c r="E25" s="7" t="s">
        <v>3646</v>
      </c>
      <c r="F25" s="17" t="e">
        <f>VLOOKUP(C25,'Fast Track '!B:C,2,FALSE)</f>
        <v>#N/A</v>
      </c>
      <c r="G25" s="17" t="s">
        <v>3692</v>
      </c>
      <c r="H25" s="45" t="s">
        <v>3644</v>
      </c>
      <c r="I25" s="17" t="s">
        <v>38</v>
      </c>
      <c r="J25" s="17" t="s">
        <v>2679</v>
      </c>
      <c r="K25" s="17" t="s">
        <v>2680</v>
      </c>
      <c r="L25" s="17" t="s">
        <v>15</v>
      </c>
    </row>
    <row r="26" spans="1:12">
      <c r="A26" s="17">
        <v>25</v>
      </c>
      <c r="B26" s="17" t="s">
        <v>780</v>
      </c>
      <c r="C26" s="17">
        <v>2023526347</v>
      </c>
      <c r="D26" s="17">
        <v>2301017007</v>
      </c>
      <c r="E26" s="7" t="s">
        <v>3646</v>
      </c>
      <c r="F26" s="17" t="e">
        <f>VLOOKUP(C26,'Fast Track '!B:C,2,FALSE)</f>
        <v>#N/A</v>
      </c>
      <c r="G26" s="17" t="s">
        <v>3692</v>
      </c>
      <c r="H26" s="45" t="s">
        <v>3644</v>
      </c>
      <c r="I26" s="17" t="s">
        <v>781</v>
      </c>
      <c r="J26" s="17" t="s">
        <v>2066</v>
      </c>
      <c r="K26" s="17" t="s">
        <v>2067</v>
      </c>
      <c r="L26" s="17" t="s">
        <v>15</v>
      </c>
    </row>
    <row r="27" spans="1:12">
      <c r="A27" s="17">
        <v>26</v>
      </c>
      <c r="B27" s="17" t="s">
        <v>80</v>
      </c>
      <c r="C27" s="17">
        <v>2022458909</v>
      </c>
      <c r="D27" s="17">
        <v>2201010311</v>
      </c>
      <c r="E27" s="7" t="s">
        <v>3646</v>
      </c>
      <c r="F27" s="17" t="e">
        <f>VLOOKUP(C27,'Fast Track '!B:C,2,FALSE)</f>
        <v>#N/A</v>
      </c>
      <c r="G27" s="17" t="s">
        <v>3692</v>
      </c>
      <c r="H27" s="45" t="s">
        <v>3645</v>
      </c>
      <c r="I27" s="17" t="s">
        <v>81</v>
      </c>
      <c r="J27" s="17" t="s">
        <v>2651</v>
      </c>
      <c r="K27" s="17" t="s">
        <v>2652</v>
      </c>
      <c r="L27" s="17" t="s">
        <v>15</v>
      </c>
    </row>
    <row r="28" spans="1:12">
      <c r="A28" s="17">
        <v>27</v>
      </c>
      <c r="B28" s="17" t="s">
        <v>76</v>
      </c>
      <c r="C28" s="17">
        <v>2022436300</v>
      </c>
      <c r="D28" s="17">
        <v>2201010356</v>
      </c>
      <c r="E28" s="7" t="s">
        <v>3646</v>
      </c>
      <c r="F28" s="17" t="e">
        <f>VLOOKUP(C28,'Fast Track '!B:C,2,FALSE)</f>
        <v>#N/A</v>
      </c>
      <c r="G28" s="17" t="s">
        <v>3692</v>
      </c>
      <c r="H28" s="45" t="s">
        <v>3645</v>
      </c>
      <c r="I28" s="17" t="s">
        <v>77</v>
      </c>
      <c r="J28" s="17" t="s">
        <v>2655</v>
      </c>
      <c r="K28" s="17" t="s">
        <v>2656</v>
      </c>
      <c r="L28" s="17" t="s">
        <v>15</v>
      </c>
    </row>
    <row r="29" spans="1:12">
      <c r="A29" s="17">
        <v>28</v>
      </c>
      <c r="B29" s="17" t="s">
        <v>191</v>
      </c>
      <c r="C29" s="17">
        <v>2022416656</v>
      </c>
      <c r="D29" s="17">
        <v>2201010169</v>
      </c>
      <c r="E29" s="7" t="s">
        <v>3646</v>
      </c>
      <c r="F29" s="17" t="e">
        <f>VLOOKUP(C29,'Fast Track '!B:C,2,FALSE)</f>
        <v>#N/A</v>
      </c>
      <c r="G29" s="17" t="s">
        <v>3692</v>
      </c>
      <c r="H29" s="45" t="s">
        <v>3644</v>
      </c>
      <c r="I29" s="17" t="s">
        <v>192</v>
      </c>
      <c r="J29" s="17" t="s">
        <v>2742</v>
      </c>
      <c r="K29" s="17" t="s">
        <v>2743</v>
      </c>
      <c r="L29" s="17" t="s">
        <v>15</v>
      </c>
    </row>
    <row r="30" spans="1:12">
      <c r="A30" s="17">
        <v>29</v>
      </c>
      <c r="B30" s="17" t="s">
        <v>249</v>
      </c>
      <c r="C30" s="17">
        <v>2022832635</v>
      </c>
      <c r="D30" s="17">
        <v>2201010406</v>
      </c>
      <c r="E30" s="7" t="s">
        <v>3646</v>
      </c>
      <c r="F30" s="17" t="e">
        <f>VLOOKUP(C30,'Fast Track '!B:C,2,FALSE)</f>
        <v>#N/A</v>
      </c>
      <c r="G30" s="17" t="s">
        <v>3692</v>
      </c>
      <c r="H30" s="45" t="s">
        <v>3644</v>
      </c>
      <c r="I30" s="17" t="s">
        <v>250</v>
      </c>
      <c r="J30" s="17" t="s">
        <v>2762</v>
      </c>
      <c r="K30" s="17" t="s">
        <v>2763</v>
      </c>
      <c r="L30" s="17" t="s">
        <v>15</v>
      </c>
    </row>
    <row r="31" spans="1:12">
      <c r="A31" s="17">
        <v>30</v>
      </c>
      <c r="B31" s="6" t="s">
        <v>1227</v>
      </c>
      <c r="C31" s="7">
        <v>2022543048</v>
      </c>
      <c r="D31" s="7">
        <v>2201010315</v>
      </c>
      <c r="E31" s="7" t="s">
        <v>3646</v>
      </c>
      <c r="F31" s="17" t="e">
        <f>VLOOKUP(C31,'Fast Track '!B:C,2,FALSE)</f>
        <v>#N/A</v>
      </c>
      <c r="G31" s="17" t="s">
        <v>3692</v>
      </c>
      <c r="H31" s="45" t="s">
        <v>3645</v>
      </c>
      <c r="I31" s="6" t="s">
        <v>1228</v>
      </c>
      <c r="J31" s="6" t="s">
        <v>2895</v>
      </c>
      <c r="K31" s="6" t="s">
        <v>2896</v>
      </c>
      <c r="L31" s="6" t="s">
        <v>532</v>
      </c>
    </row>
    <row r="32" spans="1:12">
      <c r="A32" s="17">
        <v>31</v>
      </c>
      <c r="B32" s="6" t="s">
        <v>1160</v>
      </c>
      <c r="C32" s="7">
        <v>2022321571</v>
      </c>
      <c r="D32" s="7">
        <v>2201010336</v>
      </c>
      <c r="E32" s="7" t="s">
        <v>3646</v>
      </c>
      <c r="F32" s="17" t="e">
        <f>VLOOKUP(C32,'Fast Track '!B:C,2,FALSE)</f>
        <v>#N/A</v>
      </c>
      <c r="G32" s="17" t="s">
        <v>3692</v>
      </c>
      <c r="H32" s="45" t="s">
        <v>3645</v>
      </c>
      <c r="I32" s="6" t="s">
        <v>1161</v>
      </c>
      <c r="J32" s="6" t="s">
        <v>2899</v>
      </c>
      <c r="K32" s="6" t="s">
        <v>2900</v>
      </c>
      <c r="L32" s="6" t="s">
        <v>532</v>
      </c>
    </row>
    <row r="33" spans="1:12">
      <c r="A33" s="17">
        <v>32</v>
      </c>
      <c r="B33" s="6" t="s">
        <v>1146</v>
      </c>
      <c r="C33" s="7">
        <v>2022005401</v>
      </c>
      <c r="D33" s="7">
        <v>2201010341</v>
      </c>
      <c r="E33" s="7" t="s">
        <v>3646</v>
      </c>
      <c r="F33" s="17" t="e">
        <f>VLOOKUP(C33,'Fast Track '!B:C,2,FALSE)</f>
        <v>#N/A</v>
      </c>
      <c r="G33" s="17" t="s">
        <v>3692</v>
      </c>
      <c r="H33" s="45" t="s">
        <v>3645</v>
      </c>
      <c r="I33" s="6" t="s">
        <v>1147</v>
      </c>
      <c r="J33" s="6" t="s">
        <v>2903</v>
      </c>
      <c r="K33" s="6" t="s">
        <v>2904</v>
      </c>
      <c r="L33" s="6" t="s">
        <v>532</v>
      </c>
    </row>
    <row r="34" spans="1:12">
      <c r="A34" s="17">
        <v>33</v>
      </c>
      <c r="B34" s="6" t="s">
        <v>1199</v>
      </c>
      <c r="C34" s="7">
        <v>2022464237</v>
      </c>
      <c r="D34" s="7">
        <v>2201010411</v>
      </c>
      <c r="E34" s="7" t="s">
        <v>3646</v>
      </c>
      <c r="F34" s="17" t="e">
        <f>VLOOKUP(C34,'Fast Track '!B:C,2,FALSE)</f>
        <v>#N/A</v>
      </c>
      <c r="G34" s="17" t="s">
        <v>3692</v>
      </c>
      <c r="H34" s="45" t="s">
        <v>3644</v>
      </c>
      <c r="I34" s="6" t="s">
        <v>1200</v>
      </c>
      <c r="J34" s="6" t="s">
        <v>2909</v>
      </c>
      <c r="K34" s="6" t="s">
        <v>2910</v>
      </c>
      <c r="L34" s="6" t="s">
        <v>532</v>
      </c>
    </row>
    <row r="35" spans="1:12">
      <c r="A35" s="17">
        <v>34</v>
      </c>
      <c r="B35" s="6" t="s">
        <v>1185</v>
      </c>
      <c r="C35" s="7">
        <v>2022442734</v>
      </c>
      <c r="D35" s="7">
        <v>2201010662</v>
      </c>
      <c r="E35" s="7" t="s">
        <v>3646</v>
      </c>
      <c r="F35" s="17" t="e">
        <f>VLOOKUP(C35,'Fast Track '!B:C,2,FALSE)</f>
        <v>#N/A</v>
      </c>
      <c r="G35" s="17" t="s">
        <v>3692</v>
      </c>
      <c r="H35" s="45" t="s">
        <v>3644</v>
      </c>
      <c r="I35" s="6" t="s">
        <v>1186</v>
      </c>
      <c r="J35" s="6" t="s">
        <v>2933</v>
      </c>
      <c r="K35" s="6" t="s">
        <v>2934</v>
      </c>
      <c r="L35" s="6" t="s">
        <v>532</v>
      </c>
    </row>
    <row r="36" spans="1:12">
      <c r="A36" s="17">
        <v>35</v>
      </c>
      <c r="B36" s="6" t="s">
        <v>1158</v>
      </c>
      <c r="C36" s="7">
        <v>2022306140</v>
      </c>
      <c r="D36" s="7">
        <v>2201010674</v>
      </c>
      <c r="E36" s="7" t="s">
        <v>3646</v>
      </c>
      <c r="F36" s="17" t="e">
        <f>VLOOKUP(C36,'Fast Track '!B:C,2,FALSE)</f>
        <v>#N/A</v>
      </c>
      <c r="G36" s="17" t="s">
        <v>3692</v>
      </c>
      <c r="H36" s="45" t="s">
        <v>3644</v>
      </c>
      <c r="I36" s="6" t="s">
        <v>1159</v>
      </c>
      <c r="J36" s="6" t="s">
        <v>2935</v>
      </c>
      <c r="K36" s="6" t="s">
        <v>2936</v>
      </c>
      <c r="L36" s="6" t="s">
        <v>532</v>
      </c>
    </row>
    <row r="37" spans="1:12">
      <c r="A37" s="17">
        <v>36</v>
      </c>
      <c r="B37" s="6" t="s">
        <v>1150</v>
      </c>
      <c r="C37" s="7">
        <v>2022006059</v>
      </c>
      <c r="D37" s="7">
        <v>2201010738</v>
      </c>
      <c r="E37" s="7" t="s">
        <v>3646</v>
      </c>
      <c r="F37" s="17" t="e">
        <f>VLOOKUP(C37,'Fast Track '!B:C,2,FALSE)</f>
        <v>#N/A</v>
      </c>
      <c r="G37" s="17" t="s">
        <v>3692</v>
      </c>
      <c r="H37" s="45" t="s">
        <v>3644</v>
      </c>
      <c r="I37" s="6" t="s">
        <v>1151</v>
      </c>
      <c r="J37" s="6" t="s">
        <v>2941</v>
      </c>
      <c r="K37" s="6" t="s">
        <v>2942</v>
      </c>
      <c r="L37" s="6" t="s">
        <v>532</v>
      </c>
    </row>
    <row r="38" spans="1:12">
      <c r="A38" s="17">
        <v>37</v>
      </c>
      <c r="B38" s="6" t="s">
        <v>1268</v>
      </c>
      <c r="C38" s="7">
        <v>2021390811</v>
      </c>
      <c r="D38" s="7">
        <v>210101238</v>
      </c>
      <c r="E38" s="7" t="s">
        <v>3646</v>
      </c>
      <c r="F38" s="17" t="e">
        <f>VLOOKUP(C38,'Fast Track '!B:C,2,FALSE)</f>
        <v>#N/A</v>
      </c>
      <c r="G38" s="17" t="s">
        <v>3692</v>
      </c>
      <c r="H38" s="45" t="s">
        <v>3645</v>
      </c>
      <c r="I38" s="6" t="s">
        <v>1269</v>
      </c>
      <c r="J38" s="6" t="s">
        <v>3119</v>
      </c>
      <c r="K38" s="6" t="s">
        <v>3120</v>
      </c>
      <c r="L38" s="6" t="s">
        <v>532</v>
      </c>
    </row>
    <row r="39" spans="1:12">
      <c r="A39" s="17">
        <v>38</v>
      </c>
      <c r="B39" s="6" t="s">
        <v>1266</v>
      </c>
      <c r="C39" s="7">
        <v>2021369165</v>
      </c>
      <c r="D39" s="7">
        <v>2101134004</v>
      </c>
      <c r="E39" s="7" t="s">
        <v>3646</v>
      </c>
      <c r="F39" s="17" t="e">
        <f>VLOOKUP(C39,'Fast Track '!B:C,2,FALSE)</f>
        <v>#N/A</v>
      </c>
      <c r="G39" s="17" t="s">
        <v>3692</v>
      </c>
      <c r="H39" s="45" t="s">
        <v>3645</v>
      </c>
      <c r="I39" s="11" t="s">
        <v>1267</v>
      </c>
      <c r="J39" s="6" t="s">
        <v>3121</v>
      </c>
      <c r="K39" s="6" t="s">
        <v>3122</v>
      </c>
      <c r="L39" s="6" t="s">
        <v>532</v>
      </c>
    </row>
    <row r="40" spans="1:12">
      <c r="A40" s="17">
        <v>39</v>
      </c>
      <c r="B40" s="6" t="s">
        <v>1287</v>
      </c>
      <c r="C40" s="7">
        <v>2022006849</v>
      </c>
      <c r="D40" s="7">
        <v>2201010092</v>
      </c>
      <c r="E40" s="7" t="s">
        <v>3646</v>
      </c>
      <c r="F40" s="17" t="e">
        <f>VLOOKUP(C40,'Fast Track '!B:C,2,FALSE)</f>
        <v>#N/A</v>
      </c>
      <c r="G40" s="17" t="s">
        <v>3692</v>
      </c>
      <c r="H40" s="45" t="s">
        <v>3645</v>
      </c>
      <c r="I40" s="6" t="s">
        <v>1288</v>
      </c>
      <c r="J40" s="6" t="s">
        <v>3125</v>
      </c>
      <c r="K40" s="6" t="s">
        <v>3126</v>
      </c>
      <c r="L40" s="6" t="s">
        <v>532</v>
      </c>
    </row>
    <row r="41" spans="1:12">
      <c r="A41" s="17">
        <v>40</v>
      </c>
      <c r="B41" s="6" t="s">
        <v>1270</v>
      </c>
      <c r="C41" s="7">
        <v>2022000628</v>
      </c>
      <c r="D41" s="7">
        <v>2201010313</v>
      </c>
      <c r="E41" s="7" t="s">
        <v>3646</v>
      </c>
      <c r="F41" s="17" t="e">
        <f>VLOOKUP(C41,'Fast Track '!B:C,2,FALSE)</f>
        <v>#N/A</v>
      </c>
      <c r="G41" s="17" t="s">
        <v>3692</v>
      </c>
      <c r="H41" s="45" t="s">
        <v>3645</v>
      </c>
      <c r="I41" s="6" t="s">
        <v>1271</v>
      </c>
      <c r="J41" s="6" t="s">
        <v>3143</v>
      </c>
      <c r="K41" s="6" t="s">
        <v>3144</v>
      </c>
      <c r="L41" s="6" t="s">
        <v>532</v>
      </c>
    </row>
    <row r="42" spans="1:12">
      <c r="A42" s="17">
        <v>41</v>
      </c>
      <c r="B42" s="6" t="s">
        <v>1351</v>
      </c>
      <c r="C42" s="7">
        <v>2022563312</v>
      </c>
      <c r="D42" s="7">
        <v>2201010532</v>
      </c>
      <c r="E42" s="7" t="s">
        <v>3646</v>
      </c>
      <c r="F42" s="17" t="e">
        <f>VLOOKUP(C42,'Fast Track '!B:C,2,FALSE)</f>
        <v>#N/A</v>
      </c>
      <c r="G42" s="17" t="s">
        <v>3692</v>
      </c>
      <c r="H42" s="45" t="s">
        <v>3645</v>
      </c>
      <c r="I42" s="6" t="s">
        <v>1352</v>
      </c>
      <c r="J42" s="6" t="s">
        <v>3161</v>
      </c>
      <c r="K42" s="6" t="s">
        <v>3162</v>
      </c>
      <c r="L42" s="6" t="s">
        <v>532</v>
      </c>
    </row>
    <row r="43" spans="1:12">
      <c r="A43" s="17">
        <v>42</v>
      </c>
      <c r="B43" s="6" t="s">
        <v>1364</v>
      </c>
      <c r="C43" s="7">
        <v>2022368174</v>
      </c>
      <c r="D43" s="7">
        <v>2201010728</v>
      </c>
      <c r="E43" s="7" t="s">
        <v>3646</v>
      </c>
      <c r="F43" s="17" t="e">
        <f>VLOOKUP(C43,'Fast Track '!B:C,2,FALSE)</f>
        <v>#N/A</v>
      </c>
      <c r="G43" s="17" t="s">
        <v>3692</v>
      </c>
      <c r="H43" s="45" t="s">
        <v>3644</v>
      </c>
      <c r="I43" s="6" t="s">
        <v>1365</v>
      </c>
      <c r="J43" s="6" t="s">
        <v>3175</v>
      </c>
      <c r="K43" s="6" t="s">
        <v>3176</v>
      </c>
      <c r="L43" s="6" t="s">
        <v>532</v>
      </c>
    </row>
    <row r="44" spans="1:12">
      <c r="A44" s="17">
        <v>43</v>
      </c>
      <c r="B44" s="6" t="s">
        <v>1291</v>
      </c>
      <c r="C44" s="7">
        <v>2022007387</v>
      </c>
      <c r="D44" s="7">
        <v>2201010925</v>
      </c>
      <c r="E44" s="7" t="s">
        <v>3646</v>
      </c>
      <c r="F44" s="17" t="e">
        <f>VLOOKUP(C44,'Fast Track '!B:C,2,FALSE)</f>
        <v>#N/A</v>
      </c>
      <c r="G44" s="17" t="s">
        <v>3692</v>
      </c>
      <c r="H44" s="45" t="s">
        <v>3644</v>
      </c>
      <c r="I44" s="6" t="s">
        <v>1292</v>
      </c>
      <c r="J44" s="6" t="s">
        <v>3185</v>
      </c>
      <c r="K44" s="6" t="s">
        <v>3186</v>
      </c>
      <c r="L44" s="6" t="s">
        <v>532</v>
      </c>
    </row>
    <row r="45" spans="1:12">
      <c r="A45" s="17">
        <v>44</v>
      </c>
      <c r="B45" s="6" t="s">
        <v>1547</v>
      </c>
      <c r="C45" s="7">
        <v>2022386358</v>
      </c>
      <c r="D45" s="7">
        <v>2201010033</v>
      </c>
      <c r="E45" s="7" t="s">
        <v>3646</v>
      </c>
      <c r="F45" s="17" t="e">
        <f>VLOOKUP(C45,'Fast Track '!B:C,2,FALSE)</f>
        <v>#N/A</v>
      </c>
      <c r="G45" s="17" t="s">
        <v>3692</v>
      </c>
      <c r="H45" s="45" t="s">
        <v>3644</v>
      </c>
      <c r="I45" s="6" t="s">
        <v>1548</v>
      </c>
      <c r="J45" s="6" t="s">
        <v>3385</v>
      </c>
      <c r="K45" s="6" t="s">
        <v>3386</v>
      </c>
      <c r="L45" s="6" t="s">
        <v>532</v>
      </c>
    </row>
    <row r="46" spans="1:12">
      <c r="A46" s="17">
        <v>45</v>
      </c>
      <c r="B46" s="6" t="s">
        <v>850</v>
      </c>
      <c r="C46" s="7">
        <v>2022398713</v>
      </c>
      <c r="D46" s="7">
        <v>2201010017</v>
      </c>
      <c r="E46" s="7" t="s">
        <v>3646</v>
      </c>
      <c r="F46" s="17" t="e">
        <f>VLOOKUP(C46,'Fast Track '!B:C,2,FALSE)</f>
        <v>#N/A</v>
      </c>
      <c r="G46" s="17" t="s">
        <v>3692</v>
      </c>
      <c r="H46" s="45" t="s">
        <v>3645</v>
      </c>
      <c r="I46" s="6" t="s">
        <v>851</v>
      </c>
      <c r="J46" s="6" t="s">
        <v>3239</v>
      </c>
      <c r="K46" s="6" t="s">
        <v>3240</v>
      </c>
      <c r="L46" s="6" t="s">
        <v>532</v>
      </c>
    </row>
    <row r="47" spans="1:12">
      <c r="A47" s="17">
        <v>46</v>
      </c>
      <c r="B47" s="6" t="s">
        <v>1385</v>
      </c>
      <c r="C47" s="7">
        <v>2022508386</v>
      </c>
      <c r="D47" s="7">
        <v>2201010025</v>
      </c>
      <c r="E47" s="7" t="s">
        <v>3646</v>
      </c>
      <c r="F47" s="17" t="e">
        <f>VLOOKUP(C47,'Fast Track '!B:C,2,FALSE)</f>
        <v>#N/A</v>
      </c>
      <c r="G47" s="17" t="s">
        <v>3692</v>
      </c>
      <c r="H47" s="45" t="s">
        <v>3645</v>
      </c>
      <c r="I47" s="6" t="s">
        <v>1386</v>
      </c>
      <c r="J47" s="6" t="s">
        <v>3241</v>
      </c>
      <c r="K47" s="6" t="s">
        <v>3242</v>
      </c>
      <c r="L47" s="6" t="s">
        <v>532</v>
      </c>
    </row>
    <row r="48" spans="1:12">
      <c r="A48" s="17">
        <v>47</v>
      </c>
      <c r="B48" s="6" t="s">
        <v>846</v>
      </c>
      <c r="C48" s="7">
        <v>2022361815</v>
      </c>
      <c r="D48" s="7">
        <v>2201010195</v>
      </c>
      <c r="E48" s="7" t="s">
        <v>3646</v>
      </c>
      <c r="F48" s="17" t="e">
        <f>VLOOKUP(C48,'Fast Track '!B:C,2,FALSE)</f>
        <v>#N/A</v>
      </c>
      <c r="G48" s="17" t="s">
        <v>3692</v>
      </c>
      <c r="H48" s="45" t="s">
        <v>3645</v>
      </c>
      <c r="I48" s="6" t="s">
        <v>847</v>
      </c>
      <c r="J48" s="6" t="s">
        <v>3257</v>
      </c>
      <c r="K48" s="6" t="s">
        <v>3258</v>
      </c>
      <c r="L48" s="6" t="s">
        <v>532</v>
      </c>
    </row>
    <row r="49" spans="1:12">
      <c r="A49" s="17">
        <v>48</v>
      </c>
      <c r="B49" s="6" t="s">
        <v>860</v>
      </c>
      <c r="C49" s="7">
        <v>2022451626</v>
      </c>
      <c r="D49" s="7">
        <v>2201010471</v>
      </c>
      <c r="E49" s="7" t="s">
        <v>3646</v>
      </c>
      <c r="F49" s="17" t="e">
        <f>VLOOKUP(C49,'Fast Track '!B:C,2,FALSE)</f>
        <v>#N/A</v>
      </c>
      <c r="G49" s="17" t="s">
        <v>3692</v>
      </c>
      <c r="H49" s="45" t="s">
        <v>3645</v>
      </c>
      <c r="I49" s="6" t="s">
        <v>861</v>
      </c>
      <c r="J49" s="6" t="s">
        <v>3277</v>
      </c>
      <c r="K49" s="6" t="s">
        <v>3278</v>
      </c>
      <c r="L49" s="6" t="s">
        <v>532</v>
      </c>
    </row>
    <row r="50" spans="1:12">
      <c r="A50" s="17">
        <v>49</v>
      </c>
      <c r="B50" s="6" t="s">
        <v>880</v>
      </c>
      <c r="C50" s="7">
        <v>2022548738</v>
      </c>
      <c r="D50" s="7">
        <v>2201010578</v>
      </c>
      <c r="E50" s="7" t="s">
        <v>3646</v>
      </c>
      <c r="F50" s="17" t="e">
        <f>VLOOKUP(C50,'Fast Track '!B:C,2,FALSE)</f>
        <v>#N/A</v>
      </c>
      <c r="G50" s="17" t="s">
        <v>3692</v>
      </c>
      <c r="H50" s="45" t="s">
        <v>3645</v>
      </c>
      <c r="I50" s="6" t="s">
        <v>881</v>
      </c>
      <c r="J50" s="6" t="s">
        <v>3287</v>
      </c>
      <c r="K50" s="6" t="s">
        <v>3288</v>
      </c>
      <c r="L50" s="6" t="s">
        <v>532</v>
      </c>
    </row>
    <row r="51" spans="1:12">
      <c r="A51" s="17">
        <v>50</v>
      </c>
      <c r="B51" s="6" t="s">
        <v>854</v>
      </c>
      <c r="C51" s="7">
        <v>2022409813</v>
      </c>
      <c r="D51" s="7">
        <v>2201010702</v>
      </c>
      <c r="E51" s="7" t="s">
        <v>3646</v>
      </c>
      <c r="F51" s="17" t="e">
        <f>VLOOKUP(C51,'Fast Track '!B:C,2,FALSE)</f>
        <v>#N/A</v>
      </c>
      <c r="G51" s="17" t="s">
        <v>3692</v>
      </c>
      <c r="H51" s="45" t="s">
        <v>3644</v>
      </c>
      <c r="I51" s="6" t="s">
        <v>855</v>
      </c>
      <c r="J51" s="6" t="s">
        <v>3303</v>
      </c>
      <c r="K51" s="6" t="s">
        <v>3304</v>
      </c>
      <c r="L51" s="6" t="s">
        <v>532</v>
      </c>
    </row>
    <row r="52" spans="1:12">
      <c r="A52" s="17">
        <v>51</v>
      </c>
      <c r="B52" s="6" t="s">
        <v>1527</v>
      </c>
      <c r="C52" s="7">
        <v>2022006170</v>
      </c>
      <c r="D52" s="7">
        <v>2201010761</v>
      </c>
      <c r="E52" s="7" t="s">
        <v>3646</v>
      </c>
      <c r="F52" s="17" t="e">
        <f>VLOOKUP(C52,'Fast Track '!B:C,2,FALSE)</f>
        <v>#N/A</v>
      </c>
      <c r="G52" s="17" t="s">
        <v>3692</v>
      </c>
      <c r="H52" s="45" t="s">
        <v>3644</v>
      </c>
      <c r="I52" s="6" t="s">
        <v>1528</v>
      </c>
      <c r="J52" s="6" t="s">
        <v>3415</v>
      </c>
      <c r="K52" s="6" t="s">
        <v>3416</v>
      </c>
      <c r="L52" s="6" t="s">
        <v>532</v>
      </c>
    </row>
    <row r="53" spans="1:12">
      <c r="A53" s="17">
        <v>52</v>
      </c>
      <c r="B53" s="6" t="s">
        <v>1767</v>
      </c>
      <c r="C53" s="7">
        <v>2022477719</v>
      </c>
      <c r="D53" s="7">
        <v>2201010759</v>
      </c>
      <c r="E53" s="7" t="s">
        <v>3646</v>
      </c>
      <c r="F53" s="17" t="e">
        <f>VLOOKUP(C53,'Fast Track '!B:C,2,FALSE)</f>
        <v>#N/A</v>
      </c>
      <c r="G53" s="17" t="s">
        <v>3692</v>
      </c>
      <c r="H53" s="45" t="s">
        <v>3644</v>
      </c>
      <c r="I53" s="6" t="s">
        <v>1768</v>
      </c>
      <c r="J53" s="6" t="s">
        <v>3069</v>
      </c>
      <c r="K53" s="6" t="s">
        <v>3070</v>
      </c>
      <c r="L53" s="6" t="s">
        <v>1276</v>
      </c>
    </row>
    <row r="54" spans="1:12">
      <c r="A54" s="17">
        <v>53</v>
      </c>
      <c r="B54" s="6" t="s">
        <v>1366</v>
      </c>
      <c r="C54" s="7">
        <v>2022603519</v>
      </c>
      <c r="D54" s="7">
        <v>2201010952</v>
      </c>
      <c r="E54" s="7" t="s">
        <v>3646</v>
      </c>
      <c r="F54" s="17" t="e">
        <f>VLOOKUP(C54,'Fast Track '!B:C,2,FALSE)</f>
        <v>#N/A</v>
      </c>
      <c r="G54" s="17" t="s">
        <v>3692</v>
      </c>
      <c r="H54" s="45" t="s">
        <v>3644</v>
      </c>
      <c r="I54" s="6" t="s">
        <v>1367</v>
      </c>
      <c r="J54" s="6" t="s">
        <v>3095</v>
      </c>
      <c r="K54" s="6" t="s">
        <v>3096</v>
      </c>
      <c r="L54" s="6" t="s">
        <v>1276</v>
      </c>
    </row>
    <row r="55" spans="1:12">
      <c r="A55" s="17">
        <v>54</v>
      </c>
      <c r="B55" s="6" t="s">
        <v>705</v>
      </c>
      <c r="C55" s="7">
        <v>2022617520</v>
      </c>
      <c r="D55" s="7">
        <v>2201010954</v>
      </c>
      <c r="E55" s="7" t="s">
        <v>3646</v>
      </c>
      <c r="F55" s="17" t="e">
        <f>VLOOKUP(C55,'Fast Track '!B:C,2,FALSE)</f>
        <v>#N/A</v>
      </c>
      <c r="G55" s="17" t="s">
        <v>3692</v>
      </c>
      <c r="H55" s="45" t="s">
        <v>3644</v>
      </c>
      <c r="I55" s="6" t="s">
        <v>1786</v>
      </c>
      <c r="J55" s="6" t="s">
        <v>3097</v>
      </c>
      <c r="K55" s="6" t="s">
        <v>3098</v>
      </c>
      <c r="L55" s="6" t="s">
        <v>1276</v>
      </c>
    </row>
    <row r="56" spans="1:12">
      <c r="A56" s="17">
        <v>55</v>
      </c>
      <c r="B56" s="6" t="s">
        <v>1706</v>
      </c>
      <c r="C56" s="7">
        <v>2022005947</v>
      </c>
      <c r="D56" s="7">
        <v>2201010179</v>
      </c>
      <c r="E56" s="7" t="s">
        <v>3646</v>
      </c>
      <c r="F56" s="17" t="e">
        <f>VLOOKUP(C56,'Fast Track '!B:C,2,FALSE)</f>
        <v>#N/A</v>
      </c>
      <c r="G56" s="17" t="s">
        <v>3692</v>
      </c>
      <c r="H56" s="45" t="s">
        <v>3645</v>
      </c>
      <c r="I56" s="6" t="s">
        <v>1707</v>
      </c>
      <c r="J56" s="6" t="s">
        <v>3199</v>
      </c>
      <c r="K56" s="6" t="s">
        <v>3200</v>
      </c>
      <c r="L56" s="6" t="s">
        <v>1276</v>
      </c>
    </row>
    <row r="57" spans="1:12">
      <c r="A57" s="17">
        <v>56</v>
      </c>
      <c r="B57" s="6" t="s">
        <v>1490</v>
      </c>
      <c r="C57" s="7">
        <v>2022603988</v>
      </c>
      <c r="D57" s="7">
        <v>2201010953</v>
      </c>
      <c r="E57" s="7" t="s">
        <v>3646</v>
      </c>
      <c r="F57" s="17" t="e">
        <f>VLOOKUP(C57,'Fast Track '!B:C,2,FALSE)</f>
        <v>#N/A</v>
      </c>
      <c r="G57" s="17" t="s">
        <v>3692</v>
      </c>
      <c r="H57" s="45" t="s">
        <v>3645</v>
      </c>
      <c r="I57" s="6" t="s">
        <v>1491</v>
      </c>
      <c r="J57" s="6" t="s">
        <v>3333</v>
      </c>
      <c r="K57" s="6" t="s">
        <v>3334</v>
      </c>
      <c r="L57" s="6" t="s">
        <v>1276</v>
      </c>
    </row>
    <row r="58" spans="1:12">
      <c r="A58" s="17">
        <v>57</v>
      </c>
      <c r="B58" s="6" t="s">
        <v>1439</v>
      </c>
      <c r="C58" s="7">
        <v>2022008213</v>
      </c>
      <c r="D58" s="7">
        <v>2201010981</v>
      </c>
      <c r="E58" s="7" t="s">
        <v>3646</v>
      </c>
      <c r="F58" s="17" t="e">
        <f>VLOOKUP(C58,'Fast Track '!B:C,2,FALSE)</f>
        <v>#N/A</v>
      </c>
      <c r="G58" s="17" t="s">
        <v>3692</v>
      </c>
      <c r="H58" s="45" t="s">
        <v>3645</v>
      </c>
      <c r="I58" s="6" t="s">
        <v>1440</v>
      </c>
      <c r="J58" s="6" t="s">
        <v>3335</v>
      </c>
      <c r="K58" s="6" t="s">
        <v>3336</v>
      </c>
      <c r="L58" s="6" t="s">
        <v>1276</v>
      </c>
    </row>
    <row r="59" spans="1:12">
      <c r="A59" s="17">
        <v>58</v>
      </c>
      <c r="B59" s="6" t="s">
        <v>1643</v>
      </c>
      <c r="C59" s="7">
        <v>2022473539</v>
      </c>
      <c r="D59" s="7">
        <v>2201010019</v>
      </c>
      <c r="E59" s="7" t="s">
        <v>3646</v>
      </c>
      <c r="F59" s="17" t="e">
        <f>VLOOKUP(C59,'Fast Track '!B:C,2,FALSE)</f>
        <v>#N/A</v>
      </c>
      <c r="G59" s="17" t="s">
        <v>3692</v>
      </c>
      <c r="H59" s="45" t="s">
        <v>3645</v>
      </c>
      <c r="I59" s="6" t="s">
        <v>1644</v>
      </c>
      <c r="J59" s="6" t="s">
        <v>3523</v>
      </c>
      <c r="K59" s="6" t="s">
        <v>3524</v>
      </c>
      <c r="L59" s="6" t="s">
        <v>131</v>
      </c>
    </row>
    <row r="60" spans="1:12">
      <c r="A60" s="17">
        <v>59</v>
      </c>
      <c r="B60" s="6" t="s">
        <v>1647</v>
      </c>
      <c r="C60" s="7">
        <v>2022476924</v>
      </c>
      <c r="D60" s="7">
        <v>2201010449</v>
      </c>
      <c r="E60" s="7" t="s">
        <v>3646</v>
      </c>
      <c r="F60" s="17" t="e">
        <f>VLOOKUP(C60,'Fast Track '!B:C,2,FALSE)</f>
        <v>#N/A</v>
      </c>
      <c r="G60" s="17" t="s">
        <v>3692</v>
      </c>
      <c r="H60" s="45" t="s">
        <v>3644</v>
      </c>
      <c r="I60" s="6" t="s">
        <v>1648</v>
      </c>
      <c r="J60" s="6" t="s">
        <v>3561</v>
      </c>
      <c r="K60" s="6" t="s">
        <v>3562</v>
      </c>
      <c r="L60" s="6" t="s">
        <v>131</v>
      </c>
    </row>
    <row r="61" spans="1:12">
      <c r="A61" s="17">
        <v>60</v>
      </c>
      <c r="B61" s="6" t="s">
        <v>1613</v>
      </c>
      <c r="C61" s="7">
        <v>2022007628</v>
      </c>
      <c r="D61" s="7">
        <v>2201010978</v>
      </c>
      <c r="E61" s="7" t="s">
        <v>3646</v>
      </c>
      <c r="F61" s="17" t="e">
        <f>VLOOKUP(C61,'Fast Track '!B:C,2,FALSE)</f>
        <v>#N/A</v>
      </c>
      <c r="G61" s="17" t="s">
        <v>3692</v>
      </c>
      <c r="H61" s="45" t="s">
        <v>3645</v>
      </c>
      <c r="I61" s="6" t="s">
        <v>1614</v>
      </c>
      <c r="J61" s="6" t="s">
        <v>3517</v>
      </c>
      <c r="K61" s="6" t="s">
        <v>3518</v>
      </c>
      <c r="L61" s="6" t="s">
        <v>1372</v>
      </c>
    </row>
    <row r="62" spans="1:12" ht="15" thickBot="1">
      <c r="A62" s="17">
        <v>61</v>
      </c>
      <c r="B62" s="6" t="s">
        <v>1515</v>
      </c>
      <c r="C62" s="7">
        <v>2022003323</v>
      </c>
      <c r="D62" s="7">
        <v>2201010065</v>
      </c>
      <c r="E62" s="7" t="s">
        <v>3646</v>
      </c>
      <c r="F62" s="17" t="e">
        <f>VLOOKUP(C62,'Fast Track '!B:C,2,FALSE)</f>
        <v>#N/A</v>
      </c>
      <c r="G62" s="17" t="s">
        <v>3692</v>
      </c>
      <c r="H62" s="45" t="s">
        <v>3644</v>
      </c>
      <c r="I62" s="6" t="s">
        <v>1516</v>
      </c>
      <c r="J62" s="6" t="s">
        <v>3355</v>
      </c>
      <c r="K62" s="6" t="s">
        <v>3356</v>
      </c>
      <c r="L62" s="6" t="s">
        <v>1401</v>
      </c>
    </row>
    <row r="63" spans="1:12" ht="15" thickBot="1">
      <c r="A63" s="58"/>
      <c r="B63" s="17"/>
      <c r="C63" s="17"/>
      <c r="D63" s="17"/>
      <c r="F63" s="17"/>
      <c r="G63" s="17"/>
      <c r="H63" s="45"/>
      <c r="I63" s="63"/>
      <c r="J63" s="17"/>
      <c r="K63" s="17"/>
      <c r="L63" s="17"/>
    </row>
  </sheetData>
  <conditionalFormatting sqref="C1">
    <cfRule type="duplicateValues" dxfId="41" priority="43"/>
  </conditionalFormatting>
  <conditionalFormatting sqref="C1">
    <cfRule type="duplicateValues" dxfId="40" priority="40"/>
  </conditionalFormatting>
  <conditionalFormatting sqref="C1:D1">
    <cfRule type="duplicateValues" dxfId="39" priority="41"/>
    <cfRule type="duplicateValues" dxfId="38" priority="42"/>
  </conditionalFormatting>
  <conditionalFormatting sqref="H7">
    <cfRule type="uniqueValues" dxfId="37" priority="39"/>
  </conditionalFormatting>
  <conditionalFormatting sqref="H22">
    <cfRule type="uniqueValues" dxfId="36" priority="38"/>
  </conditionalFormatting>
  <conditionalFormatting sqref="C31:C37">
    <cfRule type="duplicateValues" dxfId="35" priority="35"/>
  </conditionalFormatting>
  <conditionalFormatting sqref="C31:D37">
    <cfRule type="duplicateValues" dxfId="34" priority="36"/>
    <cfRule type="duplicateValues" dxfId="33" priority="37"/>
  </conditionalFormatting>
  <conditionalFormatting sqref="C38:D44">
    <cfRule type="duplicateValues" dxfId="32" priority="32"/>
    <cfRule type="duplicateValues" dxfId="31" priority="33"/>
  </conditionalFormatting>
  <conditionalFormatting sqref="C38:C44">
    <cfRule type="duplicateValues" dxfId="30" priority="34"/>
  </conditionalFormatting>
  <conditionalFormatting sqref="C45">
    <cfRule type="duplicateValues" dxfId="29" priority="29"/>
  </conditionalFormatting>
  <conditionalFormatting sqref="C45:D45">
    <cfRule type="duplicateValues" dxfId="28" priority="30"/>
    <cfRule type="duplicateValues" dxfId="27" priority="31"/>
  </conditionalFormatting>
  <conditionalFormatting sqref="C46:C51">
    <cfRule type="duplicateValues" dxfId="26" priority="26"/>
  </conditionalFormatting>
  <conditionalFormatting sqref="C46:D51">
    <cfRule type="duplicateValues" dxfId="25" priority="27"/>
    <cfRule type="duplicateValues" dxfId="24" priority="28"/>
  </conditionalFormatting>
  <conditionalFormatting sqref="C52">
    <cfRule type="duplicateValues" dxfId="23" priority="25"/>
  </conditionalFormatting>
  <conditionalFormatting sqref="C52">
    <cfRule type="duplicateValues" dxfId="22" priority="22"/>
  </conditionalFormatting>
  <conditionalFormatting sqref="C52:D52">
    <cfRule type="duplicateValues" dxfId="21" priority="23"/>
    <cfRule type="duplicateValues" dxfId="20" priority="24"/>
  </conditionalFormatting>
  <conditionalFormatting sqref="C53:C55">
    <cfRule type="duplicateValues" dxfId="19" priority="19"/>
  </conditionalFormatting>
  <conditionalFormatting sqref="C53:D55">
    <cfRule type="duplicateValues" dxfId="18" priority="20"/>
    <cfRule type="duplicateValues" dxfId="17" priority="21"/>
  </conditionalFormatting>
  <conditionalFormatting sqref="C56:C58">
    <cfRule type="duplicateValues" dxfId="16" priority="16"/>
  </conditionalFormatting>
  <conditionalFormatting sqref="C56:D58">
    <cfRule type="duplicateValues" dxfId="15" priority="17"/>
    <cfRule type="duplicateValues" dxfId="14" priority="18"/>
  </conditionalFormatting>
  <conditionalFormatting sqref="C59:C60">
    <cfRule type="duplicateValues" dxfId="13" priority="13"/>
  </conditionalFormatting>
  <conditionalFormatting sqref="C59:D60">
    <cfRule type="duplicateValues" dxfId="12" priority="14"/>
    <cfRule type="duplicateValues" dxfId="11" priority="15"/>
  </conditionalFormatting>
  <conditionalFormatting sqref="C62">
    <cfRule type="duplicateValues" dxfId="10" priority="8"/>
  </conditionalFormatting>
  <conditionalFormatting sqref="C62">
    <cfRule type="duplicateValues" dxfId="9" priority="5"/>
  </conditionalFormatting>
  <conditionalFormatting sqref="C62:D62">
    <cfRule type="duplicateValues" dxfId="8" priority="6"/>
    <cfRule type="duplicateValues" dxfId="7" priority="7"/>
  </conditionalFormatting>
  <conditionalFormatting sqref="C61">
    <cfRule type="duplicateValues" dxfId="6" priority="399"/>
  </conditionalFormatting>
  <conditionalFormatting sqref="C61:D61">
    <cfRule type="duplicateValues" dxfId="5" priority="401"/>
    <cfRule type="duplicateValues" dxfId="4" priority="402"/>
  </conditionalFormatting>
  <conditionalFormatting sqref="C63">
    <cfRule type="duplicateValues" dxfId="3" priority="4"/>
  </conditionalFormatting>
  <conditionalFormatting sqref="C63">
    <cfRule type="duplicateValues" dxfId="2" priority="1"/>
  </conditionalFormatting>
  <conditionalFormatting sqref="C63:D63">
    <cfRule type="duplicateValues" dxfId="1" priority="2"/>
    <cfRule type="duplicateValues" dxfId="0" priority="3"/>
  </conditionalFormatting>
  <dataValidations count="1">
    <dataValidation type="list" allowBlank="1" showErrorMessage="1" sqref="H2:H63">
      <formula1>"G1,G2"</formula1>
    </dataValidation>
  </dataValidations>
  <hyperlinks>
    <hyperlink ref="I39"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2501_MIS </vt:lpstr>
      <vt:lpstr>Sheet1</vt:lpstr>
      <vt:lpstr>MIS</vt:lpstr>
      <vt:lpstr>Fast Track </vt:lpstr>
      <vt:lpstr>A</vt:lpstr>
      <vt:lpstr>B</vt:lpstr>
      <vt:lpstr>C</vt:lpstr>
      <vt:lpstr>D</vt:lpstr>
      <vt:lpstr>E</vt:lpstr>
      <vt:lpstr>F</vt:lpstr>
      <vt:lpstr>G</vt:lpstr>
      <vt:lpstr>H</vt:lpstr>
      <vt:lpstr>AIML_J</vt:lpstr>
      <vt:lpstr>AIML_K</vt:lpstr>
      <vt:lpstr>AIML_L</vt:lpstr>
      <vt:lpstr>DS_M</vt:lpstr>
      <vt:lpstr>Cyber-O</vt:lpstr>
      <vt:lpstr>New 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EXPERT SOLUTIONS</cp:lastModifiedBy>
  <cp:lastPrinted>2025-01-08T10:28:30Z</cp:lastPrinted>
  <dcterms:created xsi:type="dcterms:W3CDTF">2024-11-11T05:38:21Z</dcterms:created>
  <dcterms:modified xsi:type="dcterms:W3CDTF">2026-01-03T10:29:28Z</dcterms:modified>
</cp:coreProperties>
</file>